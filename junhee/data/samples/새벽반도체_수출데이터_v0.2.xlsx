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기업정보" sheetId="1" state="visible" r:id="rId1"/>
    <sheet xmlns:r="http://schemas.openxmlformats.org/officeDocument/2006/relationships" name="제품정보" sheetId="2" state="visible" r:id="rId2"/>
    <sheet xmlns:r="http://schemas.openxmlformats.org/officeDocument/2006/relationships" name="거래처" sheetId="3" state="visible" r:id="rId3"/>
    <sheet xmlns:r="http://schemas.openxmlformats.org/officeDocument/2006/relationships" name="수출실적" sheetId="4" state="visible" r:id="rId4"/>
    <sheet xmlns:r="http://schemas.openxmlformats.org/officeDocument/2006/relationships" name="물류" sheetId="5" state="visible" r:id="rId5"/>
    <sheet xmlns:r="http://schemas.openxmlformats.org/officeDocument/2006/relationships" name="월별집계" sheetId="6" state="visible" r:id="rId6"/>
    <sheet xmlns:r="http://schemas.openxmlformats.org/officeDocument/2006/relationships" name="결측목록" sheetId="7" state="visible" r:id="rId7"/>
  </sheets>
  <definedNames>
    <definedName name="_xlnm._FilterDatabase" localSheetId="3" hidden="1">'수출실적'!$A$1:$Q$359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%"/>
    <numFmt numFmtId="166" formatCode="yyyy-mm-dd h:mm:ss"/>
    <numFmt numFmtId="167" formatCode="yyyy-mm-dd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C000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Noto Sans CJK SC"/>
      <family val="2"/>
      <b val="1"/>
      <sz val="13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color rgb="FF666666"/>
      <sz val="9"/>
    </font>
    <font>
      <name val="Arial"/>
      <charset val="1"/>
      <family val="0"/>
      <color rgb="FF666666"/>
      <sz val="9"/>
    </font>
    <font>
      <name val="Arial"/>
      <charset val="1"/>
      <family val="0"/>
      <b val="1"/>
      <sz val="13"/>
    </font>
    <font>
      <name val="Noto Sans CJK SC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CE4D6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4" fontId="7" fillId="2" borderId="0" applyAlignment="1" pivotButton="0" quotePrefix="0" xfId="0">
      <alignment horizontal="general" vertical="bottom"/>
    </xf>
    <xf numFmtId="3" fontId="7" fillId="2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4" fontId="7" fillId="2" borderId="0" applyAlignment="1" pivotButton="0" quotePrefix="0" xfId="0">
      <alignment horizontal="general" vertical="bottom"/>
    </xf>
    <xf numFmtId="3" fontId="7" fillId="2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16" fillId="3" borderId="0" pivotButton="0" quotePrefix="0" xfId="0"/>
    <xf numFmtId="167" fontId="0" fillId="0" borderId="0" pivotButton="0" quotePrefix="0" xfId="0"/>
    <xf numFmtId="4" fontId="0" fillId="0" borderId="0" pivotButton="0" quotePrefix="0" xfId="0"/>
    <xf numFmtId="3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7" min="1" max="1"/>
    <col width="70" customWidth="1" style="27" min="2" max="3"/>
  </cols>
  <sheetData>
    <row r="1" ht="17.15" customHeight="1" s="28">
      <c r="A1" s="29" t="inlineStr">
        <is>
          <t>시연용 가상 데이터. 실제 기업 자료가 아님</t>
        </is>
      </c>
    </row>
    <row r="2"/>
    <row r="3" ht="15" customHeight="1" s="28">
      <c r="A3" s="30" t="inlineStr">
        <is>
          <t>template_version</t>
        </is>
      </c>
      <c r="B3" s="31" t="inlineStr">
        <is>
          <t>0.2</t>
        </is>
      </c>
    </row>
    <row r="4" ht="15" customHeight="1" s="28">
      <c r="A4" s="30" t="inlineStr">
        <is>
          <t>company</t>
        </is>
      </c>
      <c r="B4" s="32" t="inlineStr">
        <is>
          <t>새벽반도체</t>
        </is>
      </c>
    </row>
    <row r="5" ht="15" customHeight="1" s="28">
      <c r="A5" s="30" t="inlineStr">
        <is>
          <t>company_en</t>
        </is>
      </c>
      <c r="B5" s="31" t="inlineStr">
        <is>
          <t>Saebyeok Semiconductor</t>
        </is>
      </c>
    </row>
    <row r="6" ht="15" customHeight="1" s="28">
      <c r="A6" s="30" t="inlineStr">
        <is>
          <t>data_class</t>
        </is>
      </c>
      <c r="B6" s="32" t="inlineStr">
        <is>
          <t>가상데이터</t>
        </is>
      </c>
    </row>
    <row r="7" ht="15" customHeight="1" s="28">
      <c r="A7" s="33" t="inlineStr">
        <is>
          <t>기준기간</t>
        </is>
      </c>
      <c r="B7" s="31" t="inlineStr">
        <is>
          <t>2023-01 ~ 2025-12 (월별, 일부 달 자료 없음)</t>
        </is>
      </c>
    </row>
    <row r="8" ht="15" customHeight="1" s="28">
      <c r="A8" s="33" t="inlineStr">
        <is>
          <t>금액 통화</t>
        </is>
      </c>
      <c r="B8" s="34" t="n"/>
    </row>
    <row r="9" ht="26.85" customHeight="1" s="28">
      <c r="A9" s="33" t="inlineStr">
        <is>
          <t>환산 환율</t>
        </is>
      </c>
      <c r="B9" s="31" t="inlineStr">
        <is>
          <t>FRED H.10 EXKOUS 원/달러 월평균 (junhee/data/raw/external/fred_EXKOUS_krw_per_usd_monthly.csv)</t>
        </is>
      </c>
    </row>
    <row r="10" ht="15" customHeight="1" s="28">
      <c r="A10" s="33" t="inlineStr">
        <is>
          <t>생성 근거</t>
        </is>
      </c>
      <c r="B10" s="32" t="inlineStr">
        <is>
          <t>근거 자료 없음 — 결측치 처리 시연용으로 임의 생성한 가상 회사 (사업보고서 기반 아님)</t>
        </is>
      </c>
    </row>
    <row r="11" ht="15" customHeight="1" s="28">
      <c r="A11" s="33" t="inlineStr">
        <is>
          <t>작성일</t>
        </is>
      </c>
      <c r="B11" s="31" t="inlineStr">
        <is>
          <t>2026-09-26</t>
        </is>
      </c>
    </row>
    <row r="12"/>
    <row r="13" ht="16.15" customHeight="1" s="28">
      <c r="A13" s="35" t="inlineStr">
        <is>
          <t>대시보드 항목 ↔ 이 파일의 입력값</t>
        </is>
      </c>
    </row>
    <row r="14" ht="15" customHeight="1" s="28">
      <c r="A14" s="36" t="inlineStr">
        <is>
          <t>대시보드 항목</t>
        </is>
      </c>
      <c r="B14" s="36" t="inlineStr">
        <is>
          <t>이 파일에서 쓰는 값</t>
        </is>
      </c>
      <c r="C14" s="36" t="inlineStr">
        <is>
          <t>공개자료·API 쪽에서 붙는 값 (이 파일에는 없음)</t>
        </is>
      </c>
    </row>
    <row r="15" ht="29.85" customHeight="1" s="28">
      <c r="A15" s="37" t="inlineStr">
        <is>
          <t>공통</t>
        </is>
      </c>
      <c r="B15" s="37" t="inlineStr">
        <is>
          <t>회사·제품명(제품정보), 입력 HSK와 분석 HS6(제품정보), 목적국(수출실적·거래처), 자료기간(기준기간)</t>
        </is>
      </c>
      <c r="C15" s="37" t="inlineStr">
        <is>
          <t>기준일·출처는 공개자료 쪽</t>
        </is>
      </c>
    </row>
    <row r="16" ht="29.85" customHeight="1" s="28">
      <c r="A16" s="38" t="inlineStr">
        <is>
          <t>1. 규제</t>
        </is>
      </c>
      <c r="B16" s="37" t="inlineStr">
        <is>
          <t>제품정보.입력HSK → HSK 연계표 통제번호 후보 / 거래처.법인명·주소 → CSL 검색</t>
        </is>
      </c>
      <c r="C16" s="37" t="inlineStr">
        <is>
          <t>통제번호·품목명, 목적국 수입규제 기록, CSL 명단 (발견 사실만 표시, '없음'을 '규제 없음'으로 판정하지 않음)</t>
        </is>
      </c>
    </row>
    <row r="17" ht="15" customHeight="1" s="28">
      <c r="A17" s="38" t="inlineStr">
        <is>
          <t>2. 시장성</t>
        </is>
      </c>
      <c r="B17" s="37" t="inlineStr">
        <is>
          <t>수출실적의 목적국·HS·월별 금액(회사 수출 흐름, 월별집계 시트)</t>
        </is>
      </c>
      <c r="C17" s="37" t="inlineStr">
        <is>
          <t>목적국 총수입, 한국의 해당국 수출, 성장률, 한국산 점유율, WSTS 업황</t>
        </is>
      </c>
    </row>
    <row r="18" ht="15" customHeight="1" s="28">
      <c r="A18" s="38" t="inlineStr">
        <is>
          <t>3. 가격</t>
        </is>
      </c>
      <c r="B18" s="37" t="inlineStr">
        <is>
          <t>수출실적의 금액·순중량(kg) → 회사 kg당 단가 / 통화 → 참고환율 통화 선택</t>
        </is>
      </c>
      <c r="C18" s="37" t="inlineStr">
        <is>
          <t>무역통계 단가, 관세 참고치(WTO), 참고환율, 수출입물가지수, 운송비 참고</t>
        </is>
      </c>
    </row>
    <row r="19" ht="29.85" customHeight="1" s="28">
      <c r="A19" s="38" t="inlineStr">
        <is>
          <t>4. 물류</t>
        </is>
      </c>
      <c r="B19" s="37" t="inlineStr">
        <is>
          <t>물류 시트의 출발지·도착지 코드(공항 IATA·항만 UN/LOCODE)와 선적일 → 운항·입출항 조회 조건 / 예정·실제 도착일 → 납기 준수율·리드타임 / 운임(USD) → 운송비 비중 (v0.3 추가, 가정값)</t>
        </is>
      </c>
      <c r="C19" s="37" t="inlineStr">
        <is>
          <t>인천공항 화물편 일정·운항 횟수, 선박 입출항 기록 (직항·배송시간은 확정하지 않음)</t>
        </is>
      </c>
    </row>
    <row r="20" ht="15" customHeight="1" s="28">
      <c r="A20" s="38" t="inlineStr">
        <is>
          <t>5. 안정성</t>
        </is>
      </c>
      <c r="B20" s="37" t="inlineStr">
        <is>
          <t>월별집계 시트의 월별 금액·전월대비(회사 수출 변동 참고)</t>
        </is>
      </c>
      <c r="C20" s="37" t="inlineStr">
        <is>
          <t>목적국 월별 수입금액, CV, 급감 이력, 환율 변동성</t>
        </is>
      </c>
    </row>
    <row r="21" ht="15" customHeight="1" s="28">
      <c r="A21" s="37" t="inlineStr">
        <is>
          <t>제외</t>
        </is>
      </c>
      <c r="B21" s="37" t="inlineStr">
        <is>
          <t>원가·이익률, 허가·인증 충족 여부 — 이 파일에 넣지 않음 (납기·운임은 시연용 가정값으로 물류 시트에 추가)</t>
        </is>
      </c>
      <c r="C21" s="37" t="inlineStr">
        <is>
          <t>팀 공유 문서 '이번 기본 범위에서 제외할 항목'</t>
        </is>
      </c>
    </row>
    <row r="22"/>
    <row r="23" ht="15" customHeight="1" s="28">
      <c r="A23" s="39" t="inlineStr">
        <is>
          <t>의도적으로 넣은 결측·예외 위치는 '결측목록' 시트에 전부 기록했습니다. 빈칸을 0이나 임의 값으로 채우지 않습니다.</t>
        </is>
      </c>
    </row>
    <row r="24" ht="15" customHeight="1" s="28">
      <c r="A24" s="39" t="inlineStr">
        <is>
          <t>금액 통화(기업정보 B8)도 일부러 비워 둔 결측 항목입니다.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14" customWidth="1" style="27" min="2" max="2"/>
    <col width="22" customWidth="1" style="27" min="3" max="3"/>
    <col width="13" customWidth="1" style="27" min="4" max="4"/>
    <col width="10" customWidth="1" style="27" min="5" max="5"/>
    <col width="9" customWidth="1" style="27" min="6" max="6"/>
    <col width="10" customWidth="1" style="27" min="7" max="7"/>
    <col width="26" customWidth="1" style="27" min="8" max="8"/>
    <col width="7" customWidth="1" style="27" min="9" max="9"/>
    <col width="12" customWidth="1" style="27" min="10" max="10"/>
    <col width="48" customWidth="1" style="27" min="11" max="11"/>
  </cols>
  <sheetData>
    <row r="1" ht="15" customHeight="1" s="28">
      <c r="A1" s="36" t="inlineStr">
        <is>
          <t>제품ID</t>
        </is>
      </c>
      <c r="B1" s="36" t="inlineStr">
        <is>
          <t>모델명</t>
        </is>
      </c>
      <c r="C1" s="36" t="inlineStr">
        <is>
          <t>제품군</t>
        </is>
      </c>
      <c r="D1" s="36" t="inlineStr">
        <is>
          <t>입력HSK</t>
        </is>
      </c>
      <c r="E1" s="40" t="inlineStr">
        <is>
          <t>HS코드</t>
        </is>
      </c>
      <c r="F1" s="40" t="inlineStr">
        <is>
          <t>HS버전</t>
        </is>
      </c>
      <c r="G1" s="36" t="inlineStr">
        <is>
          <t>제조국</t>
        </is>
      </c>
      <c r="H1" s="36" t="inlineStr">
        <is>
          <t>사양</t>
        </is>
      </c>
      <c r="I1" s="36" t="inlineStr">
        <is>
          <t>단위</t>
        </is>
      </c>
      <c r="J1" s="36" t="inlineStr">
        <is>
          <t>단위중량(g)</t>
        </is>
      </c>
      <c r="K1" s="36" t="inlineStr">
        <is>
          <t>분류비고</t>
        </is>
      </c>
    </row>
    <row r="2" ht="15" customHeight="1" s="28">
      <c r="A2" s="41" t="inlineStr">
        <is>
          <t>P-SB-001</t>
        </is>
      </c>
      <c r="B2" s="41" t="inlineStr">
        <is>
          <t>SBM-32</t>
        </is>
      </c>
      <c r="C2" s="42" t="inlineStr">
        <is>
          <t>시스템반도체(MCU)</t>
        </is>
      </c>
      <c r="D2" s="41" t="inlineStr">
        <is>
          <t>8542311000</t>
        </is>
      </c>
      <c r="E2" s="41" t="inlineStr">
        <is>
          <t>854231</t>
        </is>
      </c>
      <c r="F2" s="41" t="inlineStr">
        <is>
          <t>HS2022</t>
        </is>
      </c>
      <c r="G2" s="42" t="inlineStr">
        <is>
          <t>대한민국</t>
        </is>
      </c>
      <c r="H2" s="41" t="inlineStr">
        <is>
          <t>32bit MCU 저전력</t>
        </is>
      </c>
      <c r="I2" s="41" t="inlineStr">
        <is>
          <t>EA</t>
        </is>
      </c>
      <c r="J2" s="41" t="n">
        <v>0.35</v>
      </c>
      <c r="K2" s="41" t="n"/>
    </row>
    <row r="3" ht="15" customHeight="1" s="28">
      <c r="A3" s="41" t="inlineStr">
        <is>
          <t>P-SB-002</t>
        </is>
      </c>
      <c r="B3" s="41" t="inlineStr">
        <is>
          <t>SBE-64</t>
        </is>
      </c>
      <c r="C3" s="41" t="inlineStr">
        <is>
          <t>NAND(eMMC)</t>
        </is>
      </c>
      <c r="D3" s="41" t="inlineStr">
        <is>
          <t>8542321030</t>
        </is>
      </c>
      <c r="E3" s="41" t="inlineStr">
        <is>
          <t>854232</t>
        </is>
      </c>
      <c r="F3" s="41" t="inlineStr">
        <is>
          <t>HS2022</t>
        </is>
      </c>
      <c r="G3" s="42" t="inlineStr">
        <is>
          <t>대한민국</t>
        </is>
      </c>
      <c r="H3" s="41" t="inlineStr">
        <is>
          <t>eMMC 5.1 64GB</t>
        </is>
      </c>
      <c r="I3" s="41" t="inlineStr">
        <is>
          <t>EA</t>
        </is>
      </c>
      <c r="J3" s="41" t="n">
        <v>0.9</v>
      </c>
      <c r="K3" s="41" t="n"/>
    </row>
    <row r="4" ht="15" customHeight="1" s="28">
      <c r="A4" s="41" t="inlineStr">
        <is>
          <t>P-SB-003</t>
        </is>
      </c>
      <c r="B4" s="41" t="inlineStr">
        <is>
          <t>SBP-12</t>
        </is>
      </c>
      <c r="C4" s="42" t="inlineStr">
        <is>
          <t>전원관리 IC</t>
        </is>
      </c>
      <c r="D4" s="43" t="n"/>
      <c r="E4" s="43" t="n"/>
      <c r="F4" s="41" t="inlineStr">
        <is>
          <t>HS2022</t>
        </is>
      </c>
      <c r="G4" s="42" t="inlineStr">
        <is>
          <t>대한민국</t>
        </is>
      </c>
      <c r="H4" s="41" t="inlineStr">
        <is>
          <t>PMIC 12채널</t>
        </is>
      </c>
      <c r="I4" s="41" t="inlineStr">
        <is>
          <t>EA</t>
        </is>
      </c>
      <c r="J4" s="41" t="n">
        <v>0.25</v>
      </c>
      <c r="K4" s="41" t="inlineStr">
        <is>
          <t>HS 미확인 — 입력HSK·HS코드 비어 있음 (결측)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34" customWidth="1" style="27" min="2" max="2"/>
    <col width="22" customWidth="1" style="27" min="3" max="3"/>
    <col width="42" customWidth="1" style="27" min="4" max="4"/>
    <col width="14" customWidth="1" style="27" min="5" max="5"/>
    <col width="9" customWidth="1" style="27" min="6" max="7"/>
    <col width="13" customWidth="1" style="27" min="8" max="8"/>
  </cols>
  <sheetData>
    <row r="1" ht="15" customHeight="1" s="28">
      <c r="A1" s="36" t="inlineStr">
        <is>
          <t>거래처ID</t>
        </is>
      </c>
      <c r="B1" s="36" t="inlineStr">
        <is>
          <t>법인명</t>
        </is>
      </c>
      <c r="C1" s="36" t="inlineStr">
        <is>
          <t>별칭</t>
        </is>
      </c>
      <c r="D1" s="36" t="inlineStr">
        <is>
          <t>주소</t>
        </is>
      </c>
      <c r="E1" s="36" t="inlineStr">
        <is>
          <t>도시</t>
        </is>
      </c>
      <c r="F1" s="36" t="inlineStr">
        <is>
          <t>국가</t>
        </is>
      </c>
      <c r="G1" s="36" t="inlineStr">
        <is>
          <t>국가코드</t>
        </is>
      </c>
      <c r="H1" s="36" t="inlineStr">
        <is>
          <t>최종사용자관계</t>
        </is>
      </c>
    </row>
    <row r="2" ht="15" customHeight="1" s="28">
      <c r="A2" s="41" t="inlineStr">
        <is>
          <t>C-SB-01</t>
        </is>
      </c>
      <c r="B2" s="41" t="inlineStr">
        <is>
          <t>Blue Mesa Controls Inc.</t>
        </is>
      </c>
      <c r="C2" s="42" t="inlineStr">
        <is>
          <t>블루메사 컨트롤즈</t>
        </is>
      </c>
      <c r="D2" s="41" t="inlineStr">
        <is>
          <t>3100 Mesa Dr, Austin, TX 78731</t>
        </is>
      </c>
      <c r="E2" s="41" t="inlineStr">
        <is>
          <t>Austin</t>
        </is>
      </c>
      <c r="F2" s="42" t="inlineStr">
        <is>
          <t>미국</t>
        </is>
      </c>
      <c r="G2" s="41" t="inlineStr">
        <is>
          <t>US</t>
        </is>
      </c>
      <c r="H2" s="42" t="inlineStr">
        <is>
          <t>최종사용자</t>
        </is>
      </c>
    </row>
    <row r="3" ht="15" customHeight="1" s="28">
      <c r="A3" s="41" t="inlineStr">
        <is>
          <t>C-SB-02</t>
        </is>
      </c>
      <c r="B3" s="41" t="inlineStr">
        <is>
          <t>Monterrey Electrónica S.A.</t>
        </is>
      </c>
      <c r="C3" s="42" t="inlineStr">
        <is>
          <t>몬테레이 일렉트로니카</t>
        </is>
      </c>
      <c r="D3" s="41" t="inlineStr">
        <is>
          <t>Av. Constitución 450, Monterrey, N.L.</t>
        </is>
      </c>
      <c r="E3" s="41" t="inlineStr">
        <is>
          <t>Monterrey</t>
        </is>
      </c>
      <c r="F3" s="42" t="inlineStr">
        <is>
          <t>멕시코</t>
        </is>
      </c>
      <c r="G3" s="41" t="inlineStr">
        <is>
          <t>MX</t>
        </is>
      </c>
      <c r="H3" s="42" t="inlineStr">
        <is>
          <t>최종사용자</t>
        </is>
      </c>
    </row>
    <row r="4" ht="15" customHeight="1" s="28">
      <c r="A4" s="41" t="inlineStr">
        <is>
          <t>C-SB-03</t>
        </is>
      </c>
      <c r="B4" s="41" t="inlineStr">
        <is>
          <t>Da Nang Smart Devices Co., Ltd.</t>
        </is>
      </c>
      <c r="C4" s="42" t="inlineStr">
        <is>
          <t>다낭 스마트 디바이스</t>
        </is>
      </c>
      <c r="D4" s="43" t="n"/>
      <c r="E4" s="41" t="inlineStr">
        <is>
          <t>Da Nang</t>
        </is>
      </c>
      <c r="F4" s="42" t="inlineStr">
        <is>
          <t>베트남</t>
        </is>
      </c>
      <c r="G4" s="41" t="inlineStr">
        <is>
          <t>VN</t>
        </is>
      </c>
      <c r="H4" s="42" t="inlineStr">
        <is>
          <t>최종사용자</t>
        </is>
      </c>
    </row>
    <row r="5" ht="15" customHeight="1" s="28">
      <c r="A5" s="41" t="inlineStr">
        <is>
          <t>C-SB-04</t>
        </is>
      </c>
      <c r="B5" s="43" t="n"/>
      <c r="C5" s="42" t="inlineStr">
        <is>
          <t>푸네 오토 일렉트릭</t>
        </is>
      </c>
      <c r="D5" s="41" t="inlineStr">
        <is>
          <t>Chakan MIDC, Pune, Maharashtra</t>
        </is>
      </c>
      <c r="E5" s="41" t="inlineStr">
        <is>
          <t>Pune</t>
        </is>
      </c>
      <c r="F5" s="42" t="inlineStr">
        <is>
          <t>인도</t>
        </is>
      </c>
      <c r="G5" s="41" t="inlineStr">
        <is>
          <t>IN</t>
        </is>
      </c>
      <c r="H5" s="42" t="inlineStr">
        <is>
          <t>유통업체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3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7" min="1" max="1"/>
    <col width="11" customWidth="1" style="27" min="2" max="2"/>
    <col width="9" customWidth="1" style="27" min="3" max="3"/>
    <col width="7" customWidth="1" style="27" min="4" max="4"/>
    <col width="10" customWidth="1" style="27" min="5" max="6"/>
    <col width="8" customWidth="1" style="27" min="7" max="7"/>
    <col width="9" customWidth="1" style="27" min="8" max="8"/>
    <col width="12" customWidth="1" style="27" min="9" max="9"/>
    <col width="6" customWidth="1" style="27" min="10" max="10"/>
    <col width="11" customWidth="1" style="27" min="11" max="11"/>
    <col width="14" customWidth="1" style="27" min="12" max="12"/>
    <col width="6" customWidth="1" style="27" min="13" max="13"/>
    <col width="9" customWidth="1" style="27" min="14" max="14"/>
    <col width="8" customWidth="1" style="27" min="15" max="15"/>
    <col width="13" customWidth="1" style="27" min="16" max="16"/>
    <col width="16" customWidth="1" style="27" min="17" max="17"/>
  </cols>
  <sheetData>
    <row r="1" ht="38.05" customHeight="1" s="28">
      <c r="A1" s="36" t="inlineStr">
        <is>
          <t>실적ID</t>
        </is>
      </c>
      <c r="B1" s="36" t="inlineStr">
        <is>
          <t>거래일</t>
        </is>
      </c>
      <c r="C1" s="36" t="inlineStr">
        <is>
          <t>거래월</t>
        </is>
      </c>
      <c r="D1" s="36" t="inlineStr">
        <is>
          <t>연도</t>
        </is>
      </c>
      <c r="E1" s="36" t="inlineStr">
        <is>
          <t>제품ID</t>
        </is>
      </c>
      <c r="F1" s="36" t="inlineStr">
        <is>
          <t>거래처ID</t>
        </is>
      </c>
      <c r="G1" s="36" t="inlineStr">
        <is>
          <t>목적국</t>
        </is>
      </c>
      <c r="H1" s="36" t="inlineStr">
        <is>
          <t>목적국코드</t>
        </is>
      </c>
      <c r="I1" s="36" t="inlineStr">
        <is>
          <t>수량</t>
        </is>
      </c>
      <c r="J1" s="36" t="inlineStr">
        <is>
          <t>단위</t>
        </is>
      </c>
      <c r="K1" s="36" t="inlineStr">
        <is>
          <t>순중량(kg)</t>
        </is>
      </c>
      <c r="L1" s="36" t="inlineStr">
        <is>
          <t>금액</t>
        </is>
      </c>
      <c r="M1" s="36" t="inlineStr">
        <is>
          <t>통화</t>
        </is>
      </c>
      <c r="N1" s="36" t="inlineStr">
        <is>
          <t>인코텀즈</t>
        </is>
      </c>
      <c r="O1" s="36" t="inlineStr">
        <is>
          <t>취소반품</t>
        </is>
      </c>
      <c r="P1" s="36" t="inlineStr">
        <is>
          <t>적용환율(KRW/USD)</t>
        </is>
      </c>
      <c r="Q1" s="36" t="inlineStr">
        <is>
          <t>원화환산(원)</t>
        </is>
      </c>
    </row>
    <row r="2" ht="15" customHeight="1" s="28">
      <c r="A2" s="44" t="inlineStr">
        <is>
          <t>R-SB-0001</t>
        </is>
      </c>
      <c r="B2" s="45" t="n">
        <v>44931</v>
      </c>
      <c r="C2" s="44" t="inlineStr">
        <is>
          <t>2023-01</t>
        </is>
      </c>
      <c r="D2" s="44" t="n">
        <v>2023</v>
      </c>
      <c r="E2" s="44" t="inlineStr">
        <is>
          <t>P-SB-003</t>
        </is>
      </c>
      <c r="F2" s="44" t="inlineStr">
        <is>
          <t>C-SB-04</t>
        </is>
      </c>
      <c r="G2" s="46" t="inlineStr">
        <is>
          <t>인도</t>
        </is>
      </c>
      <c r="H2" s="44" t="inlineStr">
        <is>
          <t>IN</t>
        </is>
      </c>
      <c r="I2" s="47" t="n">
        <v>0</v>
      </c>
      <c r="J2" s="44" t="inlineStr">
        <is>
          <t>EA</t>
        </is>
      </c>
      <c r="K2" s="48" t="n">
        <v>0</v>
      </c>
      <c r="L2" s="48" t="n">
        <v>0</v>
      </c>
      <c r="M2" s="44" t="inlineStr">
        <is>
          <t>USD</t>
        </is>
      </c>
      <c r="N2" s="44" t="inlineStr">
        <is>
          <t>FOB</t>
        </is>
      </c>
      <c r="O2" s="44" t="inlineStr">
        <is>
          <t>Y</t>
        </is>
      </c>
      <c r="P2" s="48" t="n">
        <v>1243.0705</v>
      </c>
      <c r="Q2" s="47">
        <f>IF(OR(L2="",M2="",P2=""),"",L2*P2)</f>
        <v/>
      </c>
    </row>
    <row r="3" ht="15" customHeight="1" s="28">
      <c r="A3" s="44" t="inlineStr">
        <is>
          <t>R-SB-0002</t>
        </is>
      </c>
      <c r="B3" s="45" t="n">
        <v>44940</v>
      </c>
      <c r="C3" s="44" t="inlineStr">
        <is>
          <t>2023-01</t>
        </is>
      </c>
      <c r="D3" s="44" t="n">
        <v>2023</v>
      </c>
      <c r="E3" s="49" t="n"/>
      <c r="F3" s="44" t="inlineStr">
        <is>
          <t>C-SB-02</t>
        </is>
      </c>
      <c r="G3" s="46" t="inlineStr">
        <is>
          <t>멕시코</t>
        </is>
      </c>
      <c r="H3" s="44" t="inlineStr">
        <is>
          <t>MX</t>
        </is>
      </c>
      <c r="I3" s="47" t="n">
        <v>14887</v>
      </c>
      <c r="J3" s="44" t="inlineStr">
        <is>
          <t>EA</t>
        </is>
      </c>
      <c r="K3" s="48" t="n">
        <v>13.4</v>
      </c>
      <c r="L3" s="48" t="n">
        <v>60841.25</v>
      </c>
      <c r="M3" s="44" t="inlineStr">
        <is>
          <t>USD</t>
        </is>
      </c>
      <c r="N3" s="44" t="inlineStr">
        <is>
          <t>FOB</t>
        </is>
      </c>
      <c r="O3" s="44" t="inlineStr">
        <is>
          <t>N</t>
        </is>
      </c>
      <c r="P3" s="48" t="n">
        <v>1243.0705</v>
      </c>
      <c r="Q3" s="47">
        <f>IF(OR(L3="",M3="",P3=""),"",L3*P3)</f>
        <v/>
      </c>
    </row>
    <row r="4" ht="15" customHeight="1" s="28">
      <c r="A4" s="44" t="inlineStr">
        <is>
          <t>R-SB-0003</t>
        </is>
      </c>
      <c r="B4" s="45" t="n">
        <v>44941</v>
      </c>
      <c r="C4" s="44" t="inlineStr">
        <is>
          <t>2023-01</t>
        </is>
      </c>
      <c r="D4" s="44" t="n">
        <v>2023</v>
      </c>
      <c r="E4" s="44" t="inlineStr">
        <is>
          <t>P-SB-003</t>
        </is>
      </c>
      <c r="F4" s="44" t="inlineStr">
        <is>
          <t>C-SB-02</t>
        </is>
      </c>
      <c r="G4" s="46" t="inlineStr">
        <is>
          <t>멕시코</t>
        </is>
      </c>
      <c r="H4" s="44" t="inlineStr">
        <is>
          <t>MX</t>
        </is>
      </c>
      <c r="I4" s="47" t="n">
        <v>0</v>
      </c>
      <c r="J4" s="44" t="inlineStr">
        <is>
          <t>EA</t>
        </is>
      </c>
      <c r="K4" s="48" t="n">
        <v>0</v>
      </c>
      <c r="L4" s="48" t="n">
        <v>0</v>
      </c>
      <c r="M4" s="44" t="inlineStr">
        <is>
          <t>USD</t>
        </is>
      </c>
      <c r="N4" s="44" t="inlineStr">
        <is>
          <t>FOB</t>
        </is>
      </c>
      <c r="O4" s="44" t="inlineStr">
        <is>
          <t>Y</t>
        </is>
      </c>
      <c r="P4" s="48" t="n">
        <v>1243.0705</v>
      </c>
      <c r="Q4" s="47">
        <f>IF(OR(L4="",M4="",P4=""),"",L4*P4)</f>
        <v/>
      </c>
    </row>
    <row r="5" ht="15" customHeight="1" s="28">
      <c r="A5" s="44" t="inlineStr">
        <is>
          <t>R-SB-0004</t>
        </is>
      </c>
      <c r="B5" s="45" t="n">
        <v>44944</v>
      </c>
      <c r="C5" s="44" t="inlineStr">
        <is>
          <t>2023-01</t>
        </is>
      </c>
      <c r="D5" s="44" t="n">
        <v>2023</v>
      </c>
      <c r="E5" s="44" t="inlineStr">
        <is>
          <t>P-SB-001</t>
        </is>
      </c>
      <c r="F5" s="44" t="inlineStr">
        <is>
          <t>C-SB-03</t>
        </is>
      </c>
      <c r="G5" s="46" t="inlineStr">
        <is>
          <t>베트남</t>
        </is>
      </c>
      <c r="H5" s="44" t="inlineStr">
        <is>
          <t>VN</t>
        </is>
      </c>
      <c r="I5" s="47" t="n">
        <v>57829</v>
      </c>
      <c r="J5" s="44" t="inlineStr">
        <is>
          <t>EA</t>
        </is>
      </c>
      <c r="K5" s="48" t="n">
        <v>20.24</v>
      </c>
      <c r="L5" s="48" t="n">
        <v>103613.39</v>
      </c>
      <c r="M5" s="44" t="inlineStr">
        <is>
          <t>USD</t>
        </is>
      </c>
      <c r="N5" s="44" t="inlineStr">
        <is>
          <t>FOB</t>
        </is>
      </c>
      <c r="O5" s="44" t="inlineStr">
        <is>
          <t>N</t>
        </is>
      </c>
      <c r="P5" s="48" t="n">
        <v>1243.0705</v>
      </c>
      <c r="Q5" s="47">
        <f>IF(OR(L5="",M5="",P5=""),"",L5*P5)</f>
        <v/>
      </c>
    </row>
    <row r="6" ht="15" customHeight="1" s="28">
      <c r="A6" s="44" t="inlineStr">
        <is>
          <t>R-SB-0005</t>
        </is>
      </c>
      <c r="B6" s="45" t="n">
        <v>44944</v>
      </c>
      <c r="C6" s="44" t="inlineStr">
        <is>
          <t>2023-01</t>
        </is>
      </c>
      <c r="D6" s="44" t="n">
        <v>2023</v>
      </c>
      <c r="E6" s="44" t="inlineStr">
        <is>
          <t>P-SB-002</t>
        </is>
      </c>
      <c r="F6" s="44" t="inlineStr">
        <is>
          <t>C-SB-04</t>
        </is>
      </c>
      <c r="G6" s="46" t="inlineStr">
        <is>
          <t>인도</t>
        </is>
      </c>
      <c r="H6" s="44" t="inlineStr">
        <is>
          <t>IN</t>
        </is>
      </c>
      <c r="I6" s="47" t="n">
        <v>6980</v>
      </c>
      <c r="J6" s="44" t="inlineStr">
        <is>
          <t>EA</t>
        </is>
      </c>
      <c r="K6" s="48" t="n">
        <v>6.28</v>
      </c>
      <c r="L6" s="48" t="n">
        <v>28119.93</v>
      </c>
      <c r="M6" s="44" t="inlineStr">
        <is>
          <t>USD</t>
        </is>
      </c>
      <c r="N6" s="44" t="inlineStr">
        <is>
          <t>FOB</t>
        </is>
      </c>
      <c r="O6" s="44" t="inlineStr">
        <is>
          <t>N</t>
        </is>
      </c>
      <c r="P6" s="48" t="n">
        <v>1243.0705</v>
      </c>
      <c r="Q6" s="47">
        <f>IF(OR(L6="",M6="",P6=""),"",L6*P6)</f>
        <v/>
      </c>
    </row>
    <row r="7" ht="15" customHeight="1" s="28">
      <c r="A7" s="44" t="inlineStr">
        <is>
          <t>R-SB-0006</t>
        </is>
      </c>
      <c r="B7" s="45" t="n">
        <v>44945</v>
      </c>
      <c r="C7" s="44" t="inlineStr">
        <is>
          <t>2023-01</t>
        </is>
      </c>
      <c r="D7" s="44" t="n">
        <v>2023</v>
      </c>
      <c r="E7" s="44" t="inlineStr">
        <is>
          <t>P-SB-001</t>
        </is>
      </c>
      <c r="F7" s="44" t="inlineStr">
        <is>
          <t>C-SB-02</t>
        </is>
      </c>
      <c r="G7" s="46" t="inlineStr">
        <is>
          <t>멕시코</t>
        </is>
      </c>
      <c r="H7" s="44" t="inlineStr">
        <is>
          <t>MX</t>
        </is>
      </c>
      <c r="I7" s="47" t="n">
        <v>62497</v>
      </c>
      <c r="J7" s="44" t="inlineStr">
        <is>
          <t>EA</t>
        </is>
      </c>
      <c r="K7" s="48" t="n">
        <v>21.87</v>
      </c>
      <c r="L7" s="48" t="n">
        <v>115042.04</v>
      </c>
      <c r="M7" s="44" t="inlineStr">
        <is>
          <t>USD</t>
        </is>
      </c>
      <c r="N7" s="44" t="inlineStr">
        <is>
          <t>FOB</t>
        </is>
      </c>
      <c r="O7" s="44" t="inlineStr">
        <is>
          <t>N</t>
        </is>
      </c>
      <c r="P7" s="48" t="n">
        <v>1243.0705</v>
      </c>
      <c r="Q7" s="47">
        <f>IF(OR(L7="",M7="",P7=""),"",L7*P7)</f>
        <v/>
      </c>
    </row>
    <row r="8" ht="15" customHeight="1" s="28">
      <c r="A8" s="44" t="inlineStr">
        <is>
          <t>R-SB-0007</t>
        </is>
      </c>
      <c r="B8" s="45" t="n">
        <v>44948</v>
      </c>
      <c r="C8" s="44" t="inlineStr">
        <is>
          <t>2023-01</t>
        </is>
      </c>
      <c r="D8" s="44" t="n">
        <v>2023</v>
      </c>
      <c r="E8" s="44" t="inlineStr">
        <is>
          <t>P-SB-001</t>
        </is>
      </c>
      <c r="F8" s="44" t="inlineStr">
        <is>
          <t>C-SB-01</t>
        </is>
      </c>
      <c r="G8" s="46" t="inlineStr">
        <is>
          <t>미국</t>
        </is>
      </c>
      <c r="H8" s="44" t="inlineStr">
        <is>
          <t>US</t>
        </is>
      </c>
      <c r="I8" s="47" t="n">
        <v>87729</v>
      </c>
      <c r="J8" s="44" t="inlineStr">
        <is>
          <t>EA</t>
        </is>
      </c>
      <c r="K8" s="48" t="n">
        <v>30.71</v>
      </c>
      <c r="L8" s="48" t="n">
        <v>162868.67</v>
      </c>
      <c r="M8" s="44" t="inlineStr">
        <is>
          <t>USD</t>
        </is>
      </c>
      <c r="N8" s="44" t="inlineStr">
        <is>
          <t>FOB</t>
        </is>
      </c>
      <c r="O8" s="44" t="inlineStr">
        <is>
          <t>N</t>
        </is>
      </c>
      <c r="P8" s="48" t="n">
        <v>1243.0705</v>
      </c>
      <c r="Q8" s="47">
        <f>IF(OR(L8="",M8="",P8=""),"",L8*P8)</f>
        <v/>
      </c>
    </row>
    <row r="9" ht="15" customHeight="1" s="28">
      <c r="A9" s="44" t="inlineStr">
        <is>
          <t>R-SB-0008</t>
        </is>
      </c>
      <c r="B9" s="45" t="n">
        <v>44950</v>
      </c>
      <c r="C9" s="44" t="inlineStr">
        <is>
          <t>2023-01</t>
        </is>
      </c>
      <c r="D9" s="44" t="n">
        <v>2023</v>
      </c>
      <c r="E9" s="44" t="inlineStr">
        <is>
          <t>P-SB-002</t>
        </is>
      </c>
      <c r="F9" s="44" t="inlineStr">
        <is>
          <t>C-SB-01</t>
        </is>
      </c>
      <c r="G9" s="46" t="inlineStr">
        <is>
          <t>미국</t>
        </is>
      </c>
      <c r="H9" s="44" t="inlineStr">
        <is>
          <t>US</t>
        </is>
      </c>
      <c r="I9" s="47" t="n">
        <v>25855</v>
      </c>
      <c r="J9" s="44" t="inlineStr">
        <is>
          <t>EA</t>
        </is>
      </c>
      <c r="K9" s="50" t="n"/>
      <c r="L9" s="48" t="n">
        <v>103227.01</v>
      </c>
      <c r="M9" s="44" t="inlineStr">
        <is>
          <t>USD</t>
        </is>
      </c>
      <c r="N9" s="44" t="inlineStr">
        <is>
          <t>FOB</t>
        </is>
      </c>
      <c r="O9" s="44" t="inlineStr">
        <is>
          <t>N</t>
        </is>
      </c>
      <c r="P9" s="48" t="n">
        <v>1243.0705</v>
      </c>
      <c r="Q9" s="47">
        <f>IF(OR(L9="",M9="",P9=""),"",L9*P9)</f>
        <v/>
      </c>
    </row>
    <row r="10" ht="15" customHeight="1" s="28">
      <c r="A10" s="44" t="inlineStr">
        <is>
          <t>R-SB-0009</t>
        </is>
      </c>
      <c r="B10" s="45" t="n">
        <v>44951</v>
      </c>
      <c r="C10" s="44" t="inlineStr">
        <is>
          <t>2023-01</t>
        </is>
      </c>
      <c r="D10" s="44" t="n">
        <v>2023</v>
      </c>
      <c r="E10" s="44" t="inlineStr">
        <is>
          <t>P-SB-003</t>
        </is>
      </c>
      <c r="F10" s="44" t="inlineStr">
        <is>
          <t>C-SB-03</t>
        </is>
      </c>
      <c r="G10" s="46" t="inlineStr">
        <is>
          <t>베트남</t>
        </is>
      </c>
      <c r="H10" s="44" t="inlineStr">
        <is>
          <t>VN</t>
        </is>
      </c>
      <c r="I10" s="47" t="n">
        <v>30306</v>
      </c>
      <c r="J10" s="44" t="inlineStr">
        <is>
          <t>EA</t>
        </is>
      </c>
      <c r="K10" s="48" t="n">
        <v>7.58</v>
      </c>
      <c r="L10" s="48" t="n">
        <v>28038.29</v>
      </c>
      <c r="M10" s="44" t="inlineStr">
        <is>
          <t>USD</t>
        </is>
      </c>
      <c r="N10" s="44" t="inlineStr">
        <is>
          <t>FOB</t>
        </is>
      </c>
      <c r="O10" s="44" t="inlineStr">
        <is>
          <t>N</t>
        </is>
      </c>
      <c r="P10" s="48" t="n">
        <v>1243.0705</v>
      </c>
      <c r="Q10" s="47">
        <f>IF(OR(L10="",M10="",P10=""),"",L10*P10)</f>
        <v/>
      </c>
    </row>
    <row r="11" ht="15" customHeight="1" s="28">
      <c r="A11" s="44" t="inlineStr">
        <is>
          <t>R-SB-0010</t>
        </is>
      </c>
      <c r="B11" s="45" t="n">
        <v>44953</v>
      </c>
      <c r="C11" s="44" t="inlineStr">
        <is>
          <t>2023-01</t>
        </is>
      </c>
      <c r="D11" s="44" t="n">
        <v>2023</v>
      </c>
      <c r="E11" s="44" t="inlineStr">
        <is>
          <t>P-SB-002</t>
        </is>
      </c>
      <c r="F11" s="44" t="inlineStr">
        <is>
          <t>C-SB-03</t>
        </is>
      </c>
      <c r="G11" s="46" t="inlineStr">
        <is>
          <t>베트남</t>
        </is>
      </c>
      <c r="H11" s="44" t="inlineStr">
        <is>
          <t>VN</t>
        </is>
      </c>
      <c r="I11" s="47" t="n">
        <v>10239</v>
      </c>
      <c r="J11" s="44" t="inlineStr">
        <is>
          <t>EA</t>
        </is>
      </c>
      <c r="K11" s="48" t="n">
        <v>9.220000000000001</v>
      </c>
      <c r="L11" s="48" t="n">
        <v>40256.83</v>
      </c>
      <c r="M11" s="44" t="inlineStr">
        <is>
          <t>USD</t>
        </is>
      </c>
      <c r="N11" s="44" t="inlineStr">
        <is>
          <t>FOB</t>
        </is>
      </c>
      <c r="O11" s="44" t="inlineStr">
        <is>
          <t>N</t>
        </is>
      </c>
      <c r="P11" s="48" t="n">
        <v>1243.0705</v>
      </c>
      <c r="Q11" s="47">
        <f>IF(OR(L11="",M11="",P11=""),"",L11*P11)</f>
        <v/>
      </c>
    </row>
    <row r="12" ht="15" customHeight="1" s="28">
      <c r="A12" s="44" t="inlineStr">
        <is>
          <t>R-SB-0010</t>
        </is>
      </c>
      <c r="B12" s="45" t="n">
        <v>44953</v>
      </c>
      <c r="C12" s="44" t="inlineStr">
        <is>
          <t>2023-01</t>
        </is>
      </c>
      <c r="D12" s="44" t="n">
        <v>2023</v>
      </c>
      <c r="E12" s="44" t="inlineStr">
        <is>
          <t>P-SB-002</t>
        </is>
      </c>
      <c r="F12" s="44" t="inlineStr">
        <is>
          <t>C-SB-03</t>
        </is>
      </c>
      <c r="G12" s="46" t="inlineStr">
        <is>
          <t>베트남</t>
        </is>
      </c>
      <c r="H12" s="44" t="inlineStr">
        <is>
          <t>VN</t>
        </is>
      </c>
      <c r="I12" s="47" t="n">
        <v>10239</v>
      </c>
      <c r="J12" s="44" t="inlineStr">
        <is>
          <t>EA</t>
        </is>
      </c>
      <c r="K12" s="48" t="n">
        <v>9.220000000000001</v>
      </c>
      <c r="L12" s="48" t="n">
        <v>40256.83</v>
      </c>
      <c r="M12" s="44" t="inlineStr">
        <is>
          <t>USD</t>
        </is>
      </c>
      <c r="N12" s="44" t="inlineStr">
        <is>
          <t>FOB</t>
        </is>
      </c>
      <c r="O12" s="44" t="inlineStr">
        <is>
          <t>N</t>
        </is>
      </c>
      <c r="P12" s="48" t="n">
        <v>1243.0705</v>
      </c>
      <c r="Q12" s="47">
        <f>IF(OR(L12="",M12="",P12=""),"",L12*P12)</f>
        <v/>
      </c>
    </row>
    <row r="13" ht="15" customHeight="1" s="28">
      <c r="A13" s="44" t="inlineStr">
        <is>
          <t>R-SB-0011</t>
        </is>
      </c>
      <c r="B13" s="45" t="n">
        <v>44953</v>
      </c>
      <c r="C13" s="44" t="inlineStr">
        <is>
          <t>2023-01</t>
        </is>
      </c>
      <c r="D13" s="44" t="n">
        <v>2023</v>
      </c>
      <c r="E13" s="44" t="inlineStr">
        <is>
          <t>P-SB-001</t>
        </is>
      </c>
      <c r="F13" s="44" t="inlineStr">
        <is>
          <t>C-SB-04</t>
        </is>
      </c>
      <c r="G13" s="46" t="inlineStr">
        <is>
          <t>인도</t>
        </is>
      </c>
      <c r="H13" s="44" t="inlineStr">
        <is>
          <t>IN</t>
        </is>
      </c>
      <c r="I13" s="47" t="n">
        <v>29897</v>
      </c>
      <c r="J13" s="44" t="inlineStr">
        <is>
          <t>EA</t>
        </is>
      </c>
      <c r="K13" s="48" t="n">
        <v>10.46</v>
      </c>
      <c r="L13" s="48" t="n">
        <v>52492.02</v>
      </c>
      <c r="M13" s="44" t="inlineStr">
        <is>
          <t>USD</t>
        </is>
      </c>
      <c r="N13" s="44" t="inlineStr">
        <is>
          <t>FOB</t>
        </is>
      </c>
      <c r="O13" s="44" t="inlineStr">
        <is>
          <t>N</t>
        </is>
      </c>
      <c r="P13" s="48" t="n">
        <v>1243.0705</v>
      </c>
      <c r="Q13" s="47">
        <f>IF(OR(L13="",M13="",P13=""),"",L13*P13)</f>
        <v/>
      </c>
    </row>
    <row r="14" ht="15" customHeight="1" s="28">
      <c r="A14" s="44" t="inlineStr">
        <is>
          <t>R-SB-0012</t>
        </is>
      </c>
      <c r="B14" s="45" t="n">
        <v>44970</v>
      </c>
      <c r="C14" s="44" t="inlineStr">
        <is>
          <t>2023-02</t>
        </is>
      </c>
      <c r="D14" s="44" t="n">
        <v>2023</v>
      </c>
      <c r="E14" s="44" t="inlineStr">
        <is>
          <t>P-SB-001</t>
        </is>
      </c>
      <c r="F14" s="44" t="inlineStr">
        <is>
          <t>C-SB-03</t>
        </is>
      </c>
      <c r="G14" s="46" t="inlineStr">
        <is>
          <t>베트남</t>
        </is>
      </c>
      <c r="H14" s="44" t="inlineStr">
        <is>
          <t>VN</t>
        </is>
      </c>
      <c r="I14" s="47" t="n">
        <v>42947</v>
      </c>
      <c r="J14" s="44" t="inlineStr">
        <is>
          <t>EA</t>
        </is>
      </c>
      <c r="K14" s="48" t="n">
        <v>15.03</v>
      </c>
      <c r="L14" s="50" t="n"/>
      <c r="M14" s="44" t="inlineStr">
        <is>
          <t>USD</t>
        </is>
      </c>
      <c r="N14" s="44" t="inlineStr">
        <is>
          <t>FOB</t>
        </is>
      </c>
      <c r="O14" s="44" t="inlineStr">
        <is>
          <t>N</t>
        </is>
      </c>
      <c r="P14" s="48" t="n">
        <v>1275.4205</v>
      </c>
      <c r="Q14" s="47">
        <f>IF(OR(L14="",M14="",P14=""),"",L14*P14)</f>
        <v/>
      </c>
    </row>
    <row r="15" ht="15" customHeight="1" s="28">
      <c r="A15" s="44" t="inlineStr">
        <is>
          <t>R-SB-0013</t>
        </is>
      </c>
      <c r="B15" s="45" t="n">
        <v>44973</v>
      </c>
      <c r="C15" s="44" t="inlineStr">
        <is>
          <t>2023-02</t>
        </is>
      </c>
      <c r="D15" s="44" t="n">
        <v>2023</v>
      </c>
      <c r="E15" s="44" t="inlineStr">
        <is>
          <t>P-SB-001</t>
        </is>
      </c>
      <c r="F15" s="44" t="inlineStr">
        <is>
          <t>C-SB-01</t>
        </is>
      </c>
      <c r="G15" s="46" t="inlineStr">
        <is>
          <t>미국</t>
        </is>
      </c>
      <c r="H15" s="44" t="inlineStr">
        <is>
          <t>US</t>
        </is>
      </c>
      <c r="I15" s="47" t="n">
        <v>129045</v>
      </c>
      <c r="J15" s="44" t="inlineStr">
        <is>
          <t>EA</t>
        </is>
      </c>
      <c r="K15" s="48" t="n">
        <v>45.17</v>
      </c>
      <c r="L15" s="48" t="n">
        <v>241961.89</v>
      </c>
      <c r="M15" s="44" t="inlineStr">
        <is>
          <t>USD</t>
        </is>
      </c>
      <c r="N15" s="44" t="inlineStr">
        <is>
          <t>FOB</t>
        </is>
      </c>
      <c r="O15" s="44" t="inlineStr">
        <is>
          <t>N</t>
        </is>
      </c>
      <c r="P15" s="48" t="n">
        <v>1275.4205</v>
      </c>
      <c r="Q15" s="47">
        <f>IF(OR(L15="",M15="",P15=""),"",L15*P15)</f>
        <v/>
      </c>
    </row>
    <row r="16" ht="15" customHeight="1" s="28">
      <c r="A16" s="44" t="inlineStr">
        <is>
          <t>R-SB-0014</t>
        </is>
      </c>
      <c r="B16" s="45" t="n">
        <v>44973</v>
      </c>
      <c r="C16" s="44" t="inlineStr">
        <is>
          <t>2023-02</t>
        </is>
      </c>
      <c r="D16" s="44" t="n">
        <v>2023</v>
      </c>
      <c r="E16" s="44" t="inlineStr">
        <is>
          <t>P-SB-002</t>
        </is>
      </c>
      <c r="F16" s="44" t="inlineStr">
        <is>
          <t>C-SB-03</t>
        </is>
      </c>
      <c r="G16" s="46" t="inlineStr">
        <is>
          <t>베트남</t>
        </is>
      </c>
      <c r="H16" s="44" t="inlineStr">
        <is>
          <t>VN</t>
        </is>
      </c>
      <c r="I16" s="47" t="n">
        <v>10568</v>
      </c>
      <c r="J16" s="44" t="inlineStr">
        <is>
          <t>EA</t>
        </is>
      </c>
      <c r="K16" s="48" t="n">
        <v>9.51</v>
      </c>
      <c r="L16" s="50" t="n"/>
      <c r="M16" s="44" t="inlineStr">
        <is>
          <t>USD</t>
        </is>
      </c>
      <c r="N16" s="44" t="inlineStr">
        <is>
          <t>FOB</t>
        </is>
      </c>
      <c r="O16" s="44" t="inlineStr">
        <is>
          <t>N</t>
        </is>
      </c>
      <c r="P16" s="48" t="n">
        <v>1275.4205</v>
      </c>
      <c r="Q16" s="47">
        <f>IF(OR(L16="",M16="",P16=""),"",L16*P16)</f>
        <v/>
      </c>
    </row>
    <row r="17" ht="15" customHeight="1" s="28">
      <c r="A17" s="44" t="inlineStr">
        <is>
          <t>R-SB-0015</t>
        </is>
      </c>
      <c r="B17" s="45" t="n">
        <v>44973</v>
      </c>
      <c r="C17" s="44" t="inlineStr">
        <is>
          <t>2023-02</t>
        </is>
      </c>
      <c r="D17" s="44" t="n">
        <v>2023</v>
      </c>
      <c r="E17" s="44" t="inlineStr">
        <is>
          <t>P-SB-002</t>
        </is>
      </c>
      <c r="F17" s="44" t="inlineStr">
        <is>
          <t>C-SB-04</t>
        </is>
      </c>
      <c r="G17" s="46" t="inlineStr">
        <is>
          <t>인도</t>
        </is>
      </c>
      <c r="H17" s="44" t="inlineStr">
        <is>
          <t>IN</t>
        </is>
      </c>
      <c r="I17" s="47" t="n">
        <v>5904</v>
      </c>
      <c r="J17" s="44" t="inlineStr">
        <is>
          <t>EA</t>
        </is>
      </c>
      <c r="K17" s="48" t="n">
        <v>5.31</v>
      </c>
      <c r="L17" s="48" t="n">
        <v>23372.32</v>
      </c>
      <c r="M17" s="44" t="inlineStr">
        <is>
          <t>USD</t>
        </is>
      </c>
      <c r="N17" s="44" t="inlineStr">
        <is>
          <t>FOB</t>
        </is>
      </c>
      <c r="O17" s="44" t="inlineStr">
        <is>
          <t>N</t>
        </is>
      </c>
      <c r="P17" s="48" t="n">
        <v>1275.4205</v>
      </c>
      <c r="Q17" s="47">
        <f>IF(OR(L17="",M17="",P17=""),"",L17*P17)</f>
        <v/>
      </c>
    </row>
    <row r="18" ht="15" customHeight="1" s="28">
      <c r="A18" s="44" t="inlineStr">
        <is>
          <t>R-SB-0016</t>
        </is>
      </c>
      <c r="B18" s="45" t="n">
        <v>44974</v>
      </c>
      <c r="C18" s="44" t="inlineStr">
        <is>
          <t>2023-02</t>
        </is>
      </c>
      <c r="D18" s="44" t="n">
        <v>2023</v>
      </c>
      <c r="E18" s="44" t="inlineStr">
        <is>
          <t>P-SB-001</t>
        </is>
      </c>
      <c r="F18" s="44" t="inlineStr">
        <is>
          <t>C-SB-02</t>
        </is>
      </c>
      <c r="G18" s="46" t="inlineStr">
        <is>
          <t>멕시코</t>
        </is>
      </c>
      <c r="H18" s="44" t="inlineStr">
        <is>
          <t>MX</t>
        </is>
      </c>
      <c r="I18" s="47" t="n">
        <v>61785</v>
      </c>
      <c r="J18" s="44" t="inlineStr">
        <is>
          <t>EA</t>
        </is>
      </c>
      <c r="K18" s="48" t="n">
        <v>21.62</v>
      </c>
      <c r="L18" s="48" t="n">
        <v>116547.02</v>
      </c>
      <c r="M18" s="44" t="inlineStr">
        <is>
          <t>USD</t>
        </is>
      </c>
      <c r="N18" s="44" t="inlineStr">
        <is>
          <t>FOB</t>
        </is>
      </c>
      <c r="O18" s="44" t="inlineStr">
        <is>
          <t>N</t>
        </is>
      </c>
      <c r="P18" s="48" t="n">
        <v>1275.4205</v>
      </c>
      <c r="Q18" s="47">
        <f>IF(OR(L18="",M18="",P18=""),"",L18*P18)</f>
        <v/>
      </c>
    </row>
    <row r="19" ht="15" customHeight="1" s="28">
      <c r="A19" s="44" t="inlineStr">
        <is>
          <t>R-SB-0017</t>
        </is>
      </c>
      <c r="B19" s="45" t="n">
        <v>44974</v>
      </c>
      <c r="C19" s="44" t="inlineStr">
        <is>
          <t>2023-02</t>
        </is>
      </c>
      <c r="D19" s="44" t="n">
        <v>2023</v>
      </c>
      <c r="E19" s="44" t="inlineStr">
        <is>
          <t>P-SB-003</t>
        </is>
      </c>
      <c r="F19" s="44" t="inlineStr">
        <is>
          <t>C-SB-02</t>
        </is>
      </c>
      <c r="G19" s="46" t="inlineStr">
        <is>
          <t>멕시코</t>
        </is>
      </c>
      <c r="H19" s="44" t="inlineStr">
        <is>
          <t>MX</t>
        </is>
      </c>
      <c r="I19" s="47" t="n">
        <v>41915</v>
      </c>
      <c r="J19" s="44" t="inlineStr">
        <is>
          <t>EA</t>
        </is>
      </c>
      <c r="K19" s="48" t="n">
        <v>10.48</v>
      </c>
      <c r="L19" s="48" t="n">
        <v>37597.31</v>
      </c>
      <c r="M19" s="44" t="inlineStr">
        <is>
          <t>USD</t>
        </is>
      </c>
      <c r="N19" s="44" t="inlineStr">
        <is>
          <t>FOB</t>
        </is>
      </c>
      <c r="O19" s="44" t="inlineStr">
        <is>
          <t>N</t>
        </is>
      </c>
      <c r="P19" s="48" t="n">
        <v>1275.4205</v>
      </c>
      <c r="Q19" s="47">
        <f>IF(OR(L19="",M19="",P19=""),"",L19*P19)</f>
        <v/>
      </c>
    </row>
    <row r="20" ht="15" customHeight="1" s="28">
      <c r="A20" s="44" t="inlineStr">
        <is>
          <t>R-SB-0018</t>
        </is>
      </c>
      <c r="B20" s="45" t="n">
        <v>44975</v>
      </c>
      <c r="C20" s="44" t="inlineStr">
        <is>
          <t>2023-02</t>
        </is>
      </c>
      <c r="D20" s="44" t="n">
        <v>2023</v>
      </c>
      <c r="E20" s="44" t="inlineStr">
        <is>
          <t>P-SB-003</t>
        </is>
      </c>
      <c r="F20" s="44" t="inlineStr">
        <is>
          <t>C-SB-04</t>
        </is>
      </c>
      <c r="G20" s="46" t="inlineStr">
        <is>
          <t>인도</t>
        </is>
      </c>
      <c r="H20" s="44" t="inlineStr">
        <is>
          <t>IN</t>
        </is>
      </c>
      <c r="I20" s="47" t="n">
        <v>13015</v>
      </c>
      <c r="J20" s="44" t="inlineStr">
        <is>
          <t>EA</t>
        </is>
      </c>
      <c r="K20" s="50" t="n"/>
      <c r="L20" s="48" t="n">
        <v>11653.49</v>
      </c>
      <c r="M20" s="44" t="inlineStr">
        <is>
          <t>USD</t>
        </is>
      </c>
      <c r="N20" s="44" t="inlineStr">
        <is>
          <t>FOB</t>
        </is>
      </c>
      <c r="O20" s="44" t="inlineStr">
        <is>
          <t>N</t>
        </is>
      </c>
      <c r="P20" s="48" t="n">
        <v>1275.4205</v>
      </c>
      <c r="Q20" s="47">
        <f>IF(OR(L20="",M20="",P20=""),"",L20*P20)</f>
        <v/>
      </c>
    </row>
    <row r="21" ht="15" customHeight="1" s="28">
      <c r="A21" s="44" t="inlineStr">
        <is>
          <t>R-SB-0019</t>
        </is>
      </c>
      <c r="B21" s="45" t="n">
        <v>44978</v>
      </c>
      <c r="C21" s="44" t="inlineStr">
        <is>
          <t>2023-02</t>
        </is>
      </c>
      <c r="D21" s="44" t="n">
        <v>2023</v>
      </c>
      <c r="E21" s="44" t="inlineStr">
        <is>
          <t>P-SB-002</t>
        </is>
      </c>
      <c r="F21" s="44" t="inlineStr">
        <is>
          <t>C-SB-02</t>
        </is>
      </c>
      <c r="G21" s="46" t="inlineStr">
        <is>
          <t>멕시코</t>
        </is>
      </c>
      <c r="H21" s="44" t="inlineStr">
        <is>
          <t>MX</t>
        </is>
      </c>
      <c r="I21" s="47" t="n">
        <v>17504</v>
      </c>
      <c r="J21" s="44" t="inlineStr">
        <is>
          <t>EA</t>
        </is>
      </c>
      <c r="K21" s="50" t="n"/>
      <c r="L21" s="48" t="n">
        <v>66739.05</v>
      </c>
      <c r="M21" s="44" t="inlineStr">
        <is>
          <t>USD</t>
        </is>
      </c>
      <c r="N21" s="44" t="inlineStr">
        <is>
          <t>FOB</t>
        </is>
      </c>
      <c r="O21" s="44" t="inlineStr">
        <is>
          <t>N</t>
        </is>
      </c>
      <c r="P21" s="48" t="n">
        <v>1275.4205</v>
      </c>
      <c r="Q21" s="47">
        <f>IF(OR(L21="",M21="",P21=""),"",L21*P21)</f>
        <v/>
      </c>
    </row>
    <row r="22" ht="15" customHeight="1" s="28">
      <c r="A22" s="44" t="inlineStr">
        <is>
          <t>R-SB-0020</t>
        </is>
      </c>
      <c r="B22" s="45" t="n">
        <v>44978</v>
      </c>
      <c r="C22" s="44" t="inlineStr">
        <is>
          <t>2023-02</t>
        </is>
      </c>
      <c r="D22" s="44" t="n">
        <v>2023</v>
      </c>
      <c r="E22" s="44" t="inlineStr">
        <is>
          <t>P-SB-003</t>
        </is>
      </c>
      <c r="F22" s="44" t="inlineStr">
        <is>
          <t>C-SB-03</t>
        </is>
      </c>
      <c r="G22" s="46" t="inlineStr">
        <is>
          <t>베트남</t>
        </is>
      </c>
      <c r="H22" s="44" t="inlineStr">
        <is>
          <t>VN</t>
        </is>
      </c>
      <c r="I22" s="47" t="n">
        <v>23980</v>
      </c>
      <c r="J22" s="44" t="inlineStr">
        <is>
          <t>EA</t>
        </is>
      </c>
      <c r="K22" s="48" t="n">
        <v>6</v>
      </c>
      <c r="L22" s="48" t="n">
        <v>22321.39</v>
      </c>
      <c r="M22" s="44" t="inlineStr">
        <is>
          <t>USD</t>
        </is>
      </c>
      <c r="N22" s="44" t="inlineStr">
        <is>
          <t>FOB</t>
        </is>
      </c>
      <c r="O22" s="44" t="inlineStr">
        <is>
          <t>N</t>
        </is>
      </c>
      <c r="P22" s="48" t="n">
        <v>1275.4205</v>
      </c>
      <c r="Q22" s="47">
        <f>IF(OR(L22="",M22="",P22=""),"",L22*P22)</f>
        <v/>
      </c>
    </row>
    <row r="23" ht="15" customHeight="1" s="28">
      <c r="A23" s="44" t="inlineStr">
        <is>
          <t>R-SB-0021</t>
        </is>
      </c>
      <c r="B23" s="45" t="n">
        <v>44980</v>
      </c>
      <c r="C23" s="44" t="inlineStr">
        <is>
          <t>2023-02</t>
        </is>
      </c>
      <c r="D23" s="44" t="n">
        <v>2023</v>
      </c>
      <c r="E23" s="44" t="inlineStr">
        <is>
          <t>P-SB-003</t>
        </is>
      </c>
      <c r="F23" s="44" t="inlineStr">
        <is>
          <t>C-SB-01</t>
        </is>
      </c>
      <c r="G23" s="46" t="inlineStr">
        <is>
          <t>미국</t>
        </is>
      </c>
      <c r="H23" s="44" t="inlineStr">
        <is>
          <t>US</t>
        </is>
      </c>
      <c r="I23" s="47" t="n">
        <v>81466</v>
      </c>
      <c r="J23" s="44" t="inlineStr">
        <is>
          <t>EA</t>
        </is>
      </c>
      <c r="K23" s="48" t="n">
        <v>20.37</v>
      </c>
      <c r="L23" s="48" t="n">
        <v>70792.35000000001</v>
      </c>
      <c r="M23" s="44" t="inlineStr">
        <is>
          <t>USD</t>
        </is>
      </c>
      <c r="N23" s="44" t="inlineStr">
        <is>
          <t>FOB</t>
        </is>
      </c>
      <c r="O23" s="44" t="inlineStr">
        <is>
          <t>N</t>
        </is>
      </c>
      <c r="P23" s="48" t="n">
        <v>1275.4205</v>
      </c>
      <c r="Q23" s="47">
        <f>IF(OR(L23="",M23="",P23=""),"",L23*P23)</f>
        <v/>
      </c>
    </row>
    <row r="24" ht="15" customHeight="1" s="28">
      <c r="A24" s="44" t="inlineStr">
        <is>
          <t>R-SB-0022</t>
        </is>
      </c>
      <c r="B24" s="45" t="n">
        <v>44990</v>
      </c>
      <c r="C24" s="44" t="inlineStr">
        <is>
          <t>2023-03</t>
        </is>
      </c>
      <c r="D24" s="44" t="n">
        <v>2023</v>
      </c>
      <c r="E24" s="44" t="inlineStr">
        <is>
          <t>P-SB-001</t>
        </is>
      </c>
      <c r="F24" s="44" t="inlineStr">
        <is>
          <t>C-SB-02</t>
        </is>
      </c>
      <c r="G24" s="46" t="inlineStr">
        <is>
          <t>멕시코</t>
        </is>
      </c>
      <c r="H24" s="44" t="inlineStr">
        <is>
          <t>MX</t>
        </is>
      </c>
      <c r="I24" s="47" t="n">
        <v>76671</v>
      </c>
      <c r="J24" s="44" t="inlineStr">
        <is>
          <t>EA</t>
        </is>
      </c>
      <c r="K24" s="48" t="n">
        <v>26.83</v>
      </c>
      <c r="L24" s="50" t="n"/>
      <c r="M24" s="44" t="inlineStr">
        <is>
          <t>USD</t>
        </is>
      </c>
      <c r="N24" s="44" t="inlineStr">
        <is>
          <t>FOB</t>
        </is>
      </c>
      <c r="O24" s="44" t="inlineStr">
        <is>
          <t>N</t>
        </is>
      </c>
      <c r="P24" s="48" t="n">
        <v>1306.0161</v>
      </c>
      <c r="Q24" s="47">
        <f>IF(OR(L24="",M24="",P24=""),"",L24*P24)</f>
        <v/>
      </c>
    </row>
    <row r="25" ht="15" customHeight="1" s="28">
      <c r="A25" s="44" t="inlineStr">
        <is>
          <t>R-SB-0023</t>
        </is>
      </c>
      <c r="B25" s="45" t="n">
        <v>44991</v>
      </c>
      <c r="C25" s="44" t="inlineStr">
        <is>
          <t>2023-03</t>
        </is>
      </c>
      <c r="D25" s="44" t="n">
        <v>2023</v>
      </c>
      <c r="E25" s="44" t="inlineStr">
        <is>
          <t>P-SB-003</t>
        </is>
      </c>
      <c r="F25" s="44" t="inlineStr">
        <is>
          <t>C-SB-04</t>
        </is>
      </c>
      <c r="G25" s="46" t="inlineStr">
        <is>
          <t>인도</t>
        </is>
      </c>
      <c r="H25" s="44" t="inlineStr">
        <is>
          <t>IN</t>
        </is>
      </c>
      <c r="I25" s="47" t="n">
        <v>13848</v>
      </c>
      <c r="J25" s="44" t="inlineStr">
        <is>
          <t>EA</t>
        </is>
      </c>
      <c r="K25" s="48" t="n">
        <v>3.46</v>
      </c>
      <c r="L25" s="48" t="n">
        <v>12482</v>
      </c>
      <c r="M25" s="44" t="inlineStr">
        <is>
          <t>USD</t>
        </is>
      </c>
      <c r="N25" s="44" t="inlineStr">
        <is>
          <t>FOB</t>
        </is>
      </c>
      <c r="O25" s="44" t="inlineStr">
        <is>
          <t>N</t>
        </is>
      </c>
      <c r="P25" s="48" t="n">
        <v>1306.0161</v>
      </c>
      <c r="Q25" s="47">
        <f>IF(OR(L25="",M25="",P25=""),"",L25*P25)</f>
        <v/>
      </c>
    </row>
    <row r="26" ht="15" customHeight="1" s="28">
      <c r="A26" s="44" t="inlineStr">
        <is>
          <t>R-SB-0024</t>
        </is>
      </c>
      <c r="B26" s="45" t="n">
        <v>44994</v>
      </c>
      <c r="C26" s="44" t="inlineStr">
        <is>
          <t>2023-03</t>
        </is>
      </c>
      <c r="D26" s="44" t="n">
        <v>2023</v>
      </c>
      <c r="E26" s="44" t="inlineStr">
        <is>
          <t>P-SB-001</t>
        </is>
      </c>
      <c r="F26" s="44" t="inlineStr">
        <is>
          <t>C-SB-01</t>
        </is>
      </c>
      <c r="G26" s="46" t="inlineStr">
        <is>
          <t>미국</t>
        </is>
      </c>
      <c r="H26" s="44" t="inlineStr">
        <is>
          <t>US</t>
        </is>
      </c>
      <c r="I26" s="51" t="n"/>
      <c r="J26" s="44" t="inlineStr">
        <is>
          <t>EA</t>
        </is>
      </c>
      <c r="K26" s="48" t="n">
        <v>49.49</v>
      </c>
      <c r="L26" s="48" t="n">
        <v>255934.2</v>
      </c>
      <c r="M26" s="44" t="inlineStr">
        <is>
          <t>USD</t>
        </is>
      </c>
      <c r="N26" s="44" t="inlineStr">
        <is>
          <t>FOB</t>
        </is>
      </c>
      <c r="O26" s="44" t="inlineStr">
        <is>
          <t>N</t>
        </is>
      </c>
      <c r="P26" s="48" t="n">
        <v>1306.0161</v>
      </c>
      <c r="Q26" s="47">
        <f>IF(OR(L26="",M26="",P26=""),"",L26*P26)</f>
        <v/>
      </c>
    </row>
    <row r="27" ht="15" customHeight="1" s="28">
      <c r="A27" s="44" t="inlineStr">
        <is>
          <t>R-SB-0025</t>
        </is>
      </c>
      <c r="B27" s="45" t="n">
        <v>44996</v>
      </c>
      <c r="C27" s="44" t="inlineStr">
        <is>
          <t>2023-03</t>
        </is>
      </c>
      <c r="D27" s="44" t="n">
        <v>2023</v>
      </c>
      <c r="E27" s="44" t="inlineStr">
        <is>
          <t>P-SB-001</t>
        </is>
      </c>
      <c r="F27" s="44" t="inlineStr">
        <is>
          <t>C-SB-03</t>
        </is>
      </c>
      <c r="G27" s="46" t="inlineStr">
        <is>
          <t>베트남</t>
        </is>
      </c>
      <c r="H27" s="44" t="inlineStr">
        <is>
          <t>VN</t>
        </is>
      </c>
      <c r="I27" s="47" t="n">
        <v>46200</v>
      </c>
      <c r="J27" s="44" t="inlineStr">
        <is>
          <t>EA</t>
        </is>
      </c>
      <c r="K27" s="48" t="n">
        <v>16.17</v>
      </c>
      <c r="L27" s="48" t="n">
        <v>85849.7</v>
      </c>
      <c r="M27" s="44" t="inlineStr">
        <is>
          <t>USD</t>
        </is>
      </c>
      <c r="N27" s="44" t="inlineStr">
        <is>
          <t>FOB</t>
        </is>
      </c>
      <c r="O27" s="44" t="inlineStr">
        <is>
          <t>N</t>
        </is>
      </c>
      <c r="P27" s="48" t="n">
        <v>1306.0161</v>
      </c>
      <c r="Q27" s="47">
        <f>IF(OR(L27="",M27="",P27=""),"",L27*P27)</f>
        <v/>
      </c>
    </row>
    <row r="28" ht="15" customHeight="1" s="28">
      <c r="A28" s="44" t="inlineStr">
        <is>
          <t>R-SB-0026</t>
        </is>
      </c>
      <c r="B28" s="45" t="n">
        <v>44997</v>
      </c>
      <c r="C28" s="44" t="inlineStr">
        <is>
          <t>2023-03</t>
        </is>
      </c>
      <c r="D28" s="44" t="n">
        <v>2023</v>
      </c>
      <c r="E28" s="44" t="inlineStr">
        <is>
          <t>P-SB-002</t>
        </is>
      </c>
      <c r="F28" s="44" t="inlineStr">
        <is>
          <t>C-SB-03</t>
        </is>
      </c>
      <c r="G28" s="46" t="inlineStr">
        <is>
          <t>베트남</t>
        </is>
      </c>
      <c r="H28" s="44" t="inlineStr">
        <is>
          <t>VN</t>
        </is>
      </c>
      <c r="I28" s="47" t="n">
        <v>15411</v>
      </c>
      <c r="J28" s="44" t="inlineStr">
        <is>
          <t>EA</t>
        </is>
      </c>
      <c r="K28" s="48" t="n">
        <v>13.87</v>
      </c>
      <c r="L28" s="48" t="n">
        <v>59061.77</v>
      </c>
      <c r="M28" s="44" t="inlineStr">
        <is>
          <t>USD</t>
        </is>
      </c>
      <c r="N28" s="44" t="inlineStr">
        <is>
          <t>FOB</t>
        </is>
      </c>
      <c r="O28" s="44" t="inlineStr">
        <is>
          <t>N</t>
        </is>
      </c>
      <c r="P28" s="48" t="n">
        <v>1306.0161</v>
      </c>
      <c r="Q28" s="47">
        <f>IF(OR(L28="",M28="",P28=""),"",L28*P28)</f>
        <v/>
      </c>
    </row>
    <row r="29" ht="15" customHeight="1" s="28">
      <c r="A29" s="44" t="inlineStr">
        <is>
          <t>R-SB-0027</t>
        </is>
      </c>
      <c r="B29" s="45" t="n">
        <v>44998</v>
      </c>
      <c r="C29" s="44" t="inlineStr">
        <is>
          <t>2023-03</t>
        </is>
      </c>
      <c r="D29" s="44" t="n">
        <v>2023</v>
      </c>
      <c r="E29" s="44" t="inlineStr">
        <is>
          <t>P-SB-003</t>
        </is>
      </c>
      <c r="F29" s="44" t="inlineStr">
        <is>
          <t>C-SB-01</t>
        </is>
      </c>
      <c r="G29" s="46" t="inlineStr">
        <is>
          <t>미국</t>
        </is>
      </c>
      <c r="H29" s="44" t="inlineStr">
        <is>
          <t>US</t>
        </is>
      </c>
      <c r="I29" s="47" t="n">
        <v>59526</v>
      </c>
      <c r="J29" s="44" t="inlineStr">
        <is>
          <t>EA</t>
        </is>
      </c>
      <c r="K29" s="48" t="n">
        <v>14.88</v>
      </c>
      <c r="L29" s="48" t="n">
        <v>55115.17</v>
      </c>
      <c r="M29" s="44" t="inlineStr">
        <is>
          <t>USD</t>
        </is>
      </c>
      <c r="N29" s="44" t="inlineStr">
        <is>
          <t>FOB</t>
        </is>
      </c>
      <c r="O29" s="44" t="inlineStr">
        <is>
          <t>N</t>
        </is>
      </c>
      <c r="P29" s="48" t="n">
        <v>1306.0161</v>
      </c>
      <c r="Q29" s="47">
        <f>IF(OR(L29="",M29="",P29=""),"",L29*P29)</f>
        <v/>
      </c>
    </row>
    <row r="30" ht="15" customHeight="1" s="28">
      <c r="A30" s="44" t="inlineStr">
        <is>
          <t>R-SB-0028</t>
        </is>
      </c>
      <c r="B30" s="45" t="n">
        <v>45001</v>
      </c>
      <c r="C30" s="44" t="inlineStr">
        <is>
          <t>2023-03</t>
        </is>
      </c>
      <c r="D30" s="44" t="n">
        <v>2023</v>
      </c>
      <c r="E30" s="44" t="inlineStr">
        <is>
          <t>P-SB-003</t>
        </is>
      </c>
      <c r="F30" s="44" t="inlineStr">
        <is>
          <t>C-SB-03</t>
        </is>
      </c>
      <c r="G30" s="46" t="inlineStr">
        <is>
          <t>베트남</t>
        </is>
      </c>
      <c r="H30" s="44" t="inlineStr">
        <is>
          <t>VN</t>
        </is>
      </c>
      <c r="I30" s="47" t="n">
        <v>23887</v>
      </c>
      <c r="J30" s="44" t="inlineStr">
        <is>
          <t>EA</t>
        </is>
      </c>
      <c r="K30" s="48" t="n">
        <v>5.97</v>
      </c>
      <c r="L30" s="48" t="n">
        <v>22305</v>
      </c>
      <c r="M30" s="44" t="inlineStr">
        <is>
          <t>USD</t>
        </is>
      </c>
      <c r="N30" s="44" t="inlineStr">
        <is>
          <t>FOB</t>
        </is>
      </c>
      <c r="O30" s="44" t="inlineStr">
        <is>
          <t>N</t>
        </is>
      </c>
      <c r="P30" s="48" t="n">
        <v>1306.0161</v>
      </c>
      <c r="Q30" s="47">
        <f>IF(OR(L30="",M30="",P30=""),"",L30*P30)</f>
        <v/>
      </c>
    </row>
    <row r="31" ht="15" customHeight="1" s="28">
      <c r="A31" s="44" t="inlineStr">
        <is>
          <t>R-SB-0029</t>
        </is>
      </c>
      <c r="B31" s="45" t="n">
        <v>45001</v>
      </c>
      <c r="C31" s="44" t="inlineStr">
        <is>
          <t>2023-03</t>
        </is>
      </c>
      <c r="D31" s="44" t="n">
        <v>2023</v>
      </c>
      <c r="E31" s="44" t="inlineStr">
        <is>
          <t>P-SB-002</t>
        </is>
      </c>
      <c r="F31" s="44" t="inlineStr">
        <is>
          <t>C-SB-04</t>
        </is>
      </c>
      <c r="G31" s="46" t="inlineStr">
        <is>
          <t>인도</t>
        </is>
      </c>
      <c r="H31" s="44" t="inlineStr">
        <is>
          <t>IN</t>
        </is>
      </c>
      <c r="I31" s="47" t="n">
        <v>5192</v>
      </c>
      <c r="J31" s="44" t="inlineStr">
        <is>
          <t>EA</t>
        </is>
      </c>
      <c r="K31" s="48" t="n">
        <v>4.67</v>
      </c>
      <c r="L31" s="48" t="n">
        <v>21493.95</v>
      </c>
      <c r="M31" s="44" t="inlineStr">
        <is>
          <t>USD</t>
        </is>
      </c>
      <c r="N31" s="44" t="inlineStr">
        <is>
          <t>FOB</t>
        </is>
      </c>
      <c r="O31" s="44" t="inlineStr">
        <is>
          <t>N</t>
        </is>
      </c>
      <c r="P31" s="48" t="n">
        <v>1306.0161</v>
      </c>
      <c r="Q31" s="47">
        <f>IF(OR(L31="",M31="",P31=""),"",L31*P31)</f>
        <v/>
      </c>
    </row>
    <row r="32" ht="15" customHeight="1" s="28">
      <c r="A32" s="44" t="inlineStr">
        <is>
          <t>R-SB-0030</t>
        </is>
      </c>
      <c r="B32" s="45" t="n">
        <v>45007</v>
      </c>
      <c r="C32" s="44" t="inlineStr">
        <is>
          <t>2023-03</t>
        </is>
      </c>
      <c r="D32" s="44" t="n">
        <v>2023</v>
      </c>
      <c r="E32" s="44" t="inlineStr">
        <is>
          <t>P-SB-002</t>
        </is>
      </c>
      <c r="F32" s="44" t="inlineStr">
        <is>
          <t>C-SB-01</t>
        </is>
      </c>
      <c r="G32" s="46" t="inlineStr">
        <is>
          <t>미국</t>
        </is>
      </c>
      <c r="H32" s="44" t="inlineStr">
        <is>
          <t>US</t>
        </is>
      </c>
      <c r="I32" s="47" t="n">
        <v>26338</v>
      </c>
      <c r="J32" s="44" t="inlineStr">
        <is>
          <t>EA</t>
        </is>
      </c>
      <c r="K32" s="48" t="n">
        <v>23.7</v>
      </c>
      <c r="L32" s="48" t="n">
        <v>105084.15</v>
      </c>
      <c r="M32" s="44" t="inlineStr">
        <is>
          <t>USD</t>
        </is>
      </c>
      <c r="N32" s="44" t="inlineStr">
        <is>
          <t>FOB</t>
        </is>
      </c>
      <c r="O32" s="44" t="inlineStr">
        <is>
          <t>N</t>
        </is>
      </c>
      <c r="P32" s="48" t="n">
        <v>1306.0161</v>
      </c>
      <c r="Q32" s="47">
        <f>IF(OR(L32="",M32="",P32=""),"",L32*P32)</f>
        <v/>
      </c>
    </row>
    <row r="33" ht="15" customHeight="1" s="28">
      <c r="A33" s="44" t="inlineStr">
        <is>
          <t>R-SB-0031</t>
        </is>
      </c>
      <c r="B33" s="45" t="n">
        <v>45008</v>
      </c>
      <c r="C33" s="44" t="inlineStr">
        <is>
          <t>2023-03</t>
        </is>
      </c>
      <c r="D33" s="44" t="n">
        <v>2023</v>
      </c>
      <c r="E33" s="44" t="inlineStr">
        <is>
          <t>P-SB-003</t>
        </is>
      </c>
      <c r="F33" s="44" t="inlineStr">
        <is>
          <t>C-SB-02</t>
        </is>
      </c>
      <c r="G33" s="46" t="inlineStr">
        <is>
          <t>멕시코</t>
        </is>
      </c>
      <c r="H33" s="44" t="inlineStr">
        <is>
          <t>MX</t>
        </is>
      </c>
      <c r="I33" s="47" t="n">
        <v>47060</v>
      </c>
      <c r="J33" s="44" t="inlineStr">
        <is>
          <t>EA</t>
        </is>
      </c>
      <c r="K33" s="48" t="n">
        <v>11.77</v>
      </c>
      <c r="L33" s="48" t="n">
        <v>40729.18</v>
      </c>
      <c r="M33" s="44" t="inlineStr">
        <is>
          <t>USD</t>
        </is>
      </c>
      <c r="N33" s="44" t="inlineStr">
        <is>
          <t>FOB</t>
        </is>
      </c>
      <c r="O33" s="44" t="inlineStr">
        <is>
          <t>N</t>
        </is>
      </c>
      <c r="P33" s="48" t="n">
        <v>1306.0161</v>
      </c>
      <c r="Q33" s="47">
        <f>IF(OR(L33="",M33="",P33=""),"",L33*P33)</f>
        <v/>
      </c>
    </row>
    <row r="34" ht="15" customHeight="1" s="28">
      <c r="A34" s="44" t="inlineStr">
        <is>
          <t>R-SB-0032</t>
        </is>
      </c>
      <c r="B34" s="45" t="n">
        <v>45012</v>
      </c>
      <c r="C34" s="44" t="inlineStr">
        <is>
          <t>2023-03</t>
        </is>
      </c>
      <c r="D34" s="44" t="n">
        <v>2023</v>
      </c>
      <c r="E34" s="44" t="inlineStr">
        <is>
          <t>P-SB-002</t>
        </is>
      </c>
      <c r="F34" s="44" t="inlineStr">
        <is>
          <t>C-SB-02</t>
        </is>
      </c>
      <c r="G34" s="46" t="inlineStr">
        <is>
          <t>멕시코</t>
        </is>
      </c>
      <c r="H34" s="44" t="inlineStr">
        <is>
          <t>MX</t>
        </is>
      </c>
      <c r="I34" s="47" t="n">
        <v>13810</v>
      </c>
      <c r="J34" s="44" t="inlineStr">
        <is>
          <t>EA</t>
        </is>
      </c>
      <c r="K34" s="48" t="n">
        <v>12.43</v>
      </c>
      <c r="L34" s="48" t="n">
        <v>54844.58</v>
      </c>
      <c r="M34" s="44" t="inlineStr">
        <is>
          <t>USD</t>
        </is>
      </c>
      <c r="N34" s="44" t="inlineStr">
        <is>
          <t>FOB</t>
        </is>
      </c>
      <c r="O34" s="44" t="inlineStr">
        <is>
          <t>N</t>
        </is>
      </c>
      <c r="P34" s="48" t="n">
        <v>1306.0161</v>
      </c>
      <c r="Q34" s="47">
        <f>IF(OR(L34="",M34="",P34=""),"",L34*P34)</f>
        <v/>
      </c>
    </row>
    <row r="35" ht="15" customHeight="1" s="28">
      <c r="A35" s="44" t="inlineStr">
        <is>
          <t>R-SB-0033</t>
        </is>
      </c>
      <c r="B35" s="45" t="n">
        <v>45019</v>
      </c>
      <c r="C35" s="44" t="inlineStr">
        <is>
          <t>2023-04</t>
        </is>
      </c>
      <c r="D35" s="44" t="n">
        <v>2023</v>
      </c>
      <c r="E35" s="44" t="inlineStr">
        <is>
          <t>P-SB-001</t>
        </is>
      </c>
      <c r="F35" s="44" t="inlineStr">
        <is>
          <t>C-SB-04</t>
        </is>
      </c>
      <c r="G35" s="46" t="inlineStr">
        <is>
          <t>인도</t>
        </is>
      </c>
      <c r="H35" s="44" t="inlineStr">
        <is>
          <t>IN</t>
        </is>
      </c>
      <c r="I35" s="47" t="n">
        <v>28955</v>
      </c>
      <c r="J35" s="44" t="inlineStr">
        <is>
          <t>EA</t>
        </is>
      </c>
      <c r="K35" s="48" t="n">
        <v>10.13</v>
      </c>
      <c r="L35" s="48" t="n">
        <v>53534.27</v>
      </c>
      <c r="M35" s="44" t="inlineStr">
        <is>
          <t>USD</t>
        </is>
      </c>
      <c r="N35" s="44" t="inlineStr">
        <is>
          <t>FOB</t>
        </is>
      </c>
      <c r="O35" s="44" t="inlineStr">
        <is>
          <t>N</t>
        </is>
      </c>
      <c r="P35" s="48" t="n">
        <v>1322.057</v>
      </c>
      <c r="Q35" s="47">
        <f>IF(OR(L35="",M35="",P35=""),"",L35*P35)</f>
        <v/>
      </c>
    </row>
    <row r="36" ht="15" customHeight="1" s="28">
      <c r="A36" s="44" t="inlineStr">
        <is>
          <t>R-SB-0034</t>
        </is>
      </c>
      <c r="B36" s="45" t="n">
        <v>45027</v>
      </c>
      <c r="C36" s="44" t="inlineStr">
        <is>
          <t>2023-04</t>
        </is>
      </c>
      <c r="D36" s="44" t="n">
        <v>2023</v>
      </c>
      <c r="E36" s="44" t="inlineStr">
        <is>
          <t>P-SB-002</t>
        </is>
      </c>
      <c r="F36" s="44" t="inlineStr">
        <is>
          <t>C-SB-04</t>
        </is>
      </c>
      <c r="G36" s="46" t="inlineStr">
        <is>
          <t>인도</t>
        </is>
      </c>
      <c r="H36" s="44" t="inlineStr">
        <is>
          <t>IN</t>
        </is>
      </c>
      <c r="I36" s="47" t="n">
        <v>5863</v>
      </c>
      <c r="J36" s="44" t="inlineStr">
        <is>
          <t>EA</t>
        </is>
      </c>
      <c r="K36" s="48" t="n">
        <v>5.28</v>
      </c>
      <c r="L36" s="48" t="n">
        <v>23148.7</v>
      </c>
      <c r="M36" s="44" t="inlineStr">
        <is>
          <t>USD</t>
        </is>
      </c>
      <c r="N36" s="44" t="inlineStr">
        <is>
          <t>FOB</t>
        </is>
      </c>
      <c r="O36" s="44" t="inlineStr">
        <is>
          <t>N</t>
        </is>
      </c>
      <c r="P36" s="48" t="n">
        <v>1322.057</v>
      </c>
      <c r="Q36" s="47">
        <f>IF(OR(L36="",M36="",P36=""),"",L36*P36)</f>
        <v/>
      </c>
    </row>
    <row r="37" ht="15" customHeight="1" s="28">
      <c r="A37" s="44" t="inlineStr">
        <is>
          <t>R-SB-0035</t>
        </is>
      </c>
      <c r="B37" s="45" t="n">
        <v>45028</v>
      </c>
      <c r="C37" s="44" t="inlineStr">
        <is>
          <t>2023-04</t>
        </is>
      </c>
      <c r="D37" s="44" t="n">
        <v>2023</v>
      </c>
      <c r="E37" s="44" t="inlineStr">
        <is>
          <t>P-SB-003</t>
        </is>
      </c>
      <c r="F37" s="44" t="inlineStr">
        <is>
          <t>C-SB-02</t>
        </is>
      </c>
      <c r="G37" s="46" t="inlineStr">
        <is>
          <t>멕시코</t>
        </is>
      </c>
      <c r="H37" s="44" t="inlineStr">
        <is>
          <t>MX</t>
        </is>
      </c>
      <c r="I37" s="47" t="n">
        <v>40500</v>
      </c>
      <c r="J37" s="44" t="inlineStr">
        <is>
          <t>EA</t>
        </is>
      </c>
      <c r="K37" s="48" t="n">
        <v>10.12</v>
      </c>
      <c r="L37" s="48" t="n">
        <v>38145.77</v>
      </c>
      <c r="M37" s="44" t="inlineStr">
        <is>
          <t>USD</t>
        </is>
      </c>
      <c r="N37" s="44" t="inlineStr">
        <is>
          <t>FOB</t>
        </is>
      </c>
      <c r="O37" s="44" t="inlineStr">
        <is>
          <t>N</t>
        </is>
      </c>
      <c r="P37" s="48" t="n">
        <v>1322.057</v>
      </c>
      <c r="Q37" s="47">
        <f>IF(OR(L37="",M37="",P37=""),"",L37*P37)</f>
        <v/>
      </c>
    </row>
    <row r="38" ht="15" customHeight="1" s="28">
      <c r="A38" s="44" t="inlineStr">
        <is>
          <t>R-SB-0036</t>
        </is>
      </c>
      <c r="B38" s="45" t="n">
        <v>45031</v>
      </c>
      <c r="C38" s="44" t="inlineStr">
        <is>
          <t>2023-04</t>
        </is>
      </c>
      <c r="D38" s="44" t="n">
        <v>2023</v>
      </c>
      <c r="E38" s="44" t="inlineStr">
        <is>
          <t>P-SB-003</t>
        </is>
      </c>
      <c r="F38" s="44" t="inlineStr">
        <is>
          <t>C-SB-03</t>
        </is>
      </c>
      <c r="G38" s="46" t="inlineStr">
        <is>
          <t>베트남</t>
        </is>
      </c>
      <c r="H38" s="44" t="inlineStr">
        <is>
          <t>VN</t>
        </is>
      </c>
      <c r="I38" s="47" t="n">
        <v>26225</v>
      </c>
      <c r="J38" s="44" t="inlineStr">
        <is>
          <t>EA</t>
        </is>
      </c>
      <c r="K38" s="48" t="n">
        <v>6.56</v>
      </c>
      <c r="L38" s="48" t="n">
        <v>22576.68</v>
      </c>
      <c r="M38" s="44" t="inlineStr">
        <is>
          <t>USD</t>
        </is>
      </c>
      <c r="N38" s="44" t="inlineStr">
        <is>
          <t>FOB</t>
        </is>
      </c>
      <c r="O38" s="44" t="inlineStr">
        <is>
          <t>N</t>
        </is>
      </c>
      <c r="P38" s="48" t="n">
        <v>1322.057</v>
      </c>
      <c r="Q38" s="47">
        <f>IF(OR(L38="",M38="",P38=""),"",L38*P38)</f>
        <v/>
      </c>
    </row>
    <row r="39" ht="15" customHeight="1" s="28">
      <c r="A39" s="44" t="inlineStr">
        <is>
          <t>R-SB-0037</t>
        </is>
      </c>
      <c r="B39" s="45" t="n">
        <v>45033</v>
      </c>
      <c r="C39" s="44" t="inlineStr">
        <is>
          <t>2023-04</t>
        </is>
      </c>
      <c r="D39" s="44" t="n">
        <v>2023</v>
      </c>
      <c r="E39" s="44" t="inlineStr">
        <is>
          <t>P-SB-001</t>
        </is>
      </c>
      <c r="F39" s="44" t="inlineStr">
        <is>
          <t>C-SB-01</t>
        </is>
      </c>
      <c r="G39" s="46" t="inlineStr">
        <is>
          <t>미국</t>
        </is>
      </c>
      <c r="H39" s="44" t="inlineStr">
        <is>
          <t>US</t>
        </is>
      </c>
      <c r="I39" s="47" t="n">
        <v>144322</v>
      </c>
      <c r="J39" s="44" t="inlineStr">
        <is>
          <t>EA</t>
        </is>
      </c>
      <c r="K39" s="48" t="n">
        <v>50.51</v>
      </c>
      <c r="L39" s="48" t="n">
        <v>252736.69</v>
      </c>
      <c r="M39" s="44" t="inlineStr">
        <is>
          <t>USD</t>
        </is>
      </c>
      <c r="N39" s="44" t="inlineStr">
        <is>
          <t>FOB</t>
        </is>
      </c>
      <c r="O39" s="44" t="inlineStr">
        <is>
          <t>N</t>
        </is>
      </c>
      <c r="P39" s="48" t="n">
        <v>1322.057</v>
      </c>
      <c r="Q39" s="47">
        <f>IF(OR(L39="",M39="",P39=""),"",L39*P39)</f>
        <v/>
      </c>
    </row>
    <row r="40" ht="15" customHeight="1" s="28">
      <c r="A40" s="44" t="inlineStr">
        <is>
          <t>R-SB-0038</t>
        </is>
      </c>
      <c r="B40" s="45" t="n">
        <v>45034</v>
      </c>
      <c r="C40" s="44" t="inlineStr">
        <is>
          <t>2023-04</t>
        </is>
      </c>
      <c r="D40" s="44" t="n">
        <v>2023</v>
      </c>
      <c r="E40" s="44" t="inlineStr">
        <is>
          <t>P-SB-003</t>
        </is>
      </c>
      <c r="F40" s="44" t="inlineStr">
        <is>
          <t>C-SB-04</t>
        </is>
      </c>
      <c r="G40" s="46" t="inlineStr">
        <is>
          <t>인도</t>
        </is>
      </c>
      <c r="H40" s="44" t="inlineStr">
        <is>
          <t>IN</t>
        </is>
      </c>
      <c r="I40" s="47" t="n">
        <v>13171</v>
      </c>
      <c r="J40" s="44" t="inlineStr">
        <is>
          <t>EA</t>
        </is>
      </c>
      <c r="K40" s="48" t="n">
        <v>3.29</v>
      </c>
      <c r="L40" s="48" t="n">
        <v>11563.49</v>
      </c>
      <c r="M40" s="44" t="inlineStr">
        <is>
          <t>USD</t>
        </is>
      </c>
      <c r="N40" s="44" t="inlineStr">
        <is>
          <t>FOB</t>
        </is>
      </c>
      <c r="O40" s="44" t="inlineStr">
        <is>
          <t>N</t>
        </is>
      </c>
      <c r="P40" s="48" t="n">
        <v>1322.057</v>
      </c>
      <c r="Q40" s="47">
        <f>IF(OR(L40="",M40="",P40=""),"",L40*P40)</f>
        <v/>
      </c>
    </row>
    <row r="41" ht="15" customHeight="1" s="28">
      <c r="A41" s="44" t="inlineStr">
        <is>
          <t>R-SB-0039</t>
        </is>
      </c>
      <c r="B41" s="45" t="n">
        <v>45036</v>
      </c>
      <c r="C41" s="44" t="inlineStr">
        <is>
          <t>2023-04</t>
        </is>
      </c>
      <c r="D41" s="44" t="n">
        <v>2023</v>
      </c>
      <c r="E41" s="44" t="inlineStr">
        <is>
          <t>P-SB-002</t>
        </is>
      </c>
      <c r="F41" s="44" t="inlineStr">
        <is>
          <t>C-SB-01</t>
        </is>
      </c>
      <c r="G41" s="46" t="inlineStr">
        <is>
          <t>미국</t>
        </is>
      </c>
      <c r="H41" s="44" t="inlineStr">
        <is>
          <t>US</t>
        </is>
      </c>
      <c r="I41" s="47" t="n">
        <v>24372</v>
      </c>
      <c r="J41" s="44" t="inlineStr">
        <is>
          <t>EA</t>
        </is>
      </c>
      <c r="K41" s="48" t="n">
        <v>21.93</v>
      </c>
      <c r="L41" s="48" t="n">
        <v>93136.73</v>
      </c>
      <c r="M41" s="44" t="inlineStr">
        <is>
          <t>USD</t>
        </is>
      </c>
      <c r="N41" s="44" t="inlineStr">
        <is>
          <t>FOB</t>
        </is>
      </c>
      <c r="O41" s="44" t="inlineStr">
        <is>
          <t>N</t>
        </is>
      </c>
      <c r="P41" s="48" t="n">
        <v>1322.057</v>
      </c>
      <c r="Q41" s="47">
        <f>IF(OR(L41="",M41="",P41=""),"",L41*P41)</f>
        <v/>
      </c>
    </row>
    <row r="42" ht="15" customHeight="1" s="28">
      <c r="A42" s="44" t="inlineStr">
        <is>
          <t>R-SB-0040</t>
        </is>
      </c>
      <c r="B42" s="45" t="n">
        <v>45039</v>
      </c>
      <c r="C42" s="44" t="inlineStr">
        <is>
          <t>2023-04</t>
        </is>
      </c>
      <c r="D42" s="44" t="n">
        <v>2023</v>
      </c>
      <c r="E42" s="44" t="inlineStr">
        <is>
          <t>P-SB-003</t>
        </is>
      </c>
      <c r="F42" s="44" t="inlineStr">
        <is>
          <t>C-SB-01</t>
        </is>
      </c>
      <c r="G42" s="46" t="inlineStr">
        <is>
          <t>미국</t>
        </is>
      </c>
      <c r="H42" s="44" t="inlineStr">
        <is>
          <t>US</t>
        </is>
      </c>
      <c r="I42" s="47" t="n">
        <v>59782</v>
      </c>
      <c r="J42" s="44" t="inlineStr">
        <is>
          <t>EA</t>
        </is>
      </c>
      <c r="K42" s="48" t="n">
        <v>14.95</v>
      </c>
      <c r="L42" s="48" t="n">
        <v>51491.75</v>
      </c>
      <c r="M42" s="44" t="inlineStr">
        <is>
          <t>USD</t>
        </is>
      </c>
      <c r="N42" s="44" t="inlineStr">
        <is>
          <t>FOB</t>
        </is>
      </c>
      <c r="O42" s="44" t="inlineStr">
        <is>
          <t>N</t>
        </is>
      </c>
      <c r="P42" s="48" t="n">
        <v>1322.057</v>
      </c>
      <c r="Q42" s="47">
        <f>IF(OR(L42="",M42="",P42=""),"",L42*P42)</f>
        <v/>
      </c>
    </row>
    <row r="43" ht="15" customHeight="1" s="28">
      <c r="A43" s="44" t="inlineStr">
        <is>
          <t>R-SB-0041</t>
        </is>
      </c>
      <c r="B43" s="45" t="n">
        <v>45040</v>
      </c>
      <c r="C43" s="44" t="inlineStr">
        <is>
          <t>2023-04</t>
        </is>
      </c>
      <c r="D43" s="44" t="n">
        <v>2023</v>
      </c>
      <c r="E43" s="44" t="inlineStr">
        <is>
          <t>P-SB-001</t>
        </is>
      </c>
      <c r="F43" s="44" t="inlineStr">
        <is>
          <t>C-SB-03</t>
        </is>
      </c>
      <c r="G43" s="46" t="inlineStr">
        <is>
          <t>베트남</t>
        </is>
      </c>
      <c r="H43" s="44" t="inlineStr">
        <is>
          <t>VN</t>
        </is>
      </c>
      <c r="I43" s="47" t="n">
        <v>44948</v>
      </c>
      <c r="J43" s="44" t="inlineStr">
        <is>
          <t>EA</t>
        </is>
      </c>
      <c r="K43" s="48" t="n">
        <v>15.73</v>
      </c>
      <c r="L43" s="48" t="n">
        <v>79598.37</v>
      </c>
      <c r="M43" s="44" t="inlineStr">
        <is>
          <t>USD</t>
        </is>
      </c>
      <c r="N43" s="44" t="inlineStr">
        <is>
          <t>FOB</t>
        </is>
      </c>
      <c r="O43" s="44" t="inlineStr">
        <is>
          <t>N</t>
        </is>
      </c>
      <c r="P43" s="48" t="n">
        <v>1322.057</v>
      </c>
      <c r="Q43" s="47">
        <f>IF(OR(L43="",M43="",P43=""),"",L43*P43)</f>
        <v/>
      </c>
    </row>
    <row r="44" ht="15" customHeight="1" s="28">
      <c r="A44" s="44" t="inlineStr">
        <is>
          <t>R-SB-0042</t>
        </is>
      </c>
      <c r="B44" s="45" t="n">
        <v>45050</v>
      </c>
      <c r="C44" s="44" t="inlineStr">
        <is>
          <t>2023-05</t>
        </is>
      </c>
      <c r="D44" s="44" t="n">
        <v>2023</v>
      </c>
      <c r="E44" s="44" t="inlineStr">
        <is>
          <t>P-SB-001</t>
        </is>
      </c>
      <c r="F44" s="44" t="inlineStr">
        <is>
          <t>C-SB-04</t>
        </is>
      </c>
      <c r="G44" s="46" t="inlineStr">
        <is>
          <t>인도</t>
        </is>
      </c>
      <c r="H44" s="44" t="inlineStr">
        <is>
          <t>IN</t>
        </is>
      </c>
      <c r="I44" s="47" t="n">
        <v>20127</v>
      </c>
      <c r="J44" s="44" t="inlineStr">
        <is>
          <t>EA</t>
        </is>
      </c>
      <c r="K44" s="48" t="n">
        <v>7.04</v>
      </c>
      <c r="L44" s="48" t="n">
        <v>37929.9</v>
      </c>
      <c r="M44" s="44" t="inlineStr">
        <is>
          <t>USD</t>
        </is>
      </c>
      <c r="N44" s="44" t="inlineStr">
        <is>
          <t>FOB</t>
        </is>
      </c>
      <c r="O44" s="44" t="inlineStr">
        <is>
          <t>N</t>
        </is>
      </c>
      <c r="P44" s="48" t="n">
        <v>1327.48</v>
      </c>
      <c r="Q44" s="47">
        <f>IF(OR(L44="",M44="",P44=""),"",L44*P44)</f>
        <v/>
      </c>
    </row>
    <row r="45" ht="15" customHeight="1" s="28">
      <c r="A45" s="44" t="inlineStr">
        <is>
          <t>R-SB-0043</t>
        </is>
      </c>
      <c r="B45" s="45" t="n">
        <v>45051</v>
      </c>
      <c r="C45" s="44" t="inlineStr">
        <is>
          <t>2023-05</t>
        </is>
      </c>
      <c r="D45" s="44" t="n">
        <v>2023</v>
      </c>
      <c r="E45" s="44" t="inlineStr">
        <is>
          <t>P-SB-001</t>
        </is>
      </c>
      <c r="F45" s="44" t="inlineStr">
        <is>
          <t>C-SB-01</t>
        </is>
      </c>
      <c r="G45" s="46" t="inlineStr">
        <is>
          <t>미국</t>
        </is>
      </c>
      <c r="H45" s="44" t="inlineStr">
        <is>
          <t>US</t>
        </is>
      </c>
      <c r="I45" s="47" t="n">
        <v>129953</v>
      </c>
      <c r="J45" s="44" t="inlineStr">
        <is>
          <t>EA</t>
        </is>
      </c>
      <c r="K45" s="48" t="n">
        <v>45.48</v>
      </c>
      <c r="L45" s="50" t="n"/>
      <c r="M45" s="44" t="inlineStr">
        <is>
          <t>USD</t>
        </is>
      </c>
      <c r="N45" s="44" t="inlineStr">
        <is>
          <t>FOB</t>
        </is>
      </c>
      <c r="O45" s="44" t="inlineStr">
        <is>
          <t>N</t>
        </is>
      </c>
      <c r="P45" s="48" t="n">
        <v>1327.48</v>
      </c>
      <c r="Q45" s="47">
        <f>IF(OR(L45="",M45="",P45=""),"",L45*P45)</f>
        <v/>
      </c>
    </row>
    <row r="46" ht="15" customHeight="1" s="28">
      <c r="A46" s="44" t="inlineStr">
        <is>
          <t>R-SB-0044</t>
        </is>
      </c>
      <c r="B46" s="45" t="n">
        <v>45054</v>
      </c>
      <c r="C46" s="44" t="inlineStr">
        <is>
          <t>2023-05</t>
        </is>
      </c>
      <c r="D46" s="44" t="n">
        <v>2023</v>
      </c>
      <c r="E46" s="44" t="inlineStr">
        <is>
          <t>P-SB-002</t>
        </is>
      </c>
      <c r="F46" s="44" t="inlineStr">
        <is>
          <t>C-SB-01</t>
        </is>
      </c>
      <c r="G46" s="46" t="inlineStr">
        <is>
          <t>미국</t>
        </is>
      </c>
      <c r="H46" s="44" t="inlineStr">
        <is>
          <t>US</t>
        </is>
      </c>
      <c r="I46" s="47" t="n">
        <v>28549</v>
      </c>
      <c r="J46" s="44" t="inlineStr">
        <is>
          <t>EA</t>
        </is>
      </c>
      <c r="K46" s="48" t="n">
        <v>25.69</v>
      </c>
      <c r="L46" s="48" t="n">
        <v>108601.35</v>
      </c>
      <c r="M46" s="44" t="inlineStr">
        <is>
          <t>USD</t>
        </is>
      </c>
      <c r="N46" s="44" t="inlineStr">
        <is>
          <t>FOB</t>
        </is>
      </c>
      <c r="O46" s="44" t="inlineStr">
        <is>
          <t>N</t>
        </is>
      </c>
      <c r="P46" s="48" t="n">
        <v>1327.48</v>
      </c>
      <c r="Q46" s="47">
        <f>IF(OR(L46="",M46="",P46=""),"",L46*P46)</f>
        <v/>
      </c>
    </row>
    <row r="47" ht="15" customHeight="1" s="28">
      <c r="A47" s="44" t="inlineStr">
        <is>
          <t>R-SB-0045</t>
        </is>
      </c>
      <c r="B47" s="45" t="n">
        <v>45057</v>
      </c>
      <c r="C47" s="44" t="inlineStr">
        <is>
          <t>2023-05</t>
        </is>
      </c>
      <c r="D47" s="44" t="n">
        <v>2023</v>
      </c>
      <c r="E47" s="44" t="inlineStr">
        <is>
          <t>P-SB-002</t>
        </is>
      </c>
      <c r="F47" s="44" t="inlineStr">
        <is>
          <t>C-SB-02</t>
        </is>
      </c>
      <c r="G47" s="46" t="inlineStr">
        <is>
          <t>멕시코</t>
        </is>
      </c>
      <c r="H47" s="44" t="inlineStr">
        <is>
          <t>MX</t>
        </is>
      </c>
      <c r="I47" s="47" t="n">
        <v>20492</v>
      </c>
      <c r="J47" s="44" t="inlineStr">
        <is>
          <t>EA</t>
        </is>
      </c>
      <c r="K47" s="48" t="n">
        <v>18.44</v>
      </c>
      <c r="L47" s="48" t="n">
        <v>80368.62</v>
      </c>
      <c r="M47" s="44" t="inlineStr">
        <is>
          <t>USD</t>
        </is>
      </c>
      <c r="N47" s="44" t="inlineStr">
        <is>
          <t>FOB</t>
        </is>
      </c>
      <c r="O47" s="44" t="inlineStr">
        <is>
          <t>N</t>
        </is>
      </c>
      <c r="P47" s="48" t="n">
        <v>1327.48</v>
      </c>
      <c r="Q47" s="47">
        <f>IF(OR(L47="",M47="",P47=""),"",L47*P47)</f>
        <v/>
      </c>
    </row>
    <row r="48" ht="15" customHeight="1" s="28">
      <c r="A48" s="44" t="inlineStr">
        <is>
          <t>R-SB-0046</t>
        </is>
      </c>
      <c r="B48" s="45" t="n">
        <v>45058</v>
      </c>
      <c r="C48" s="44" t="inlineStr">
        <is>
          <t>2023-05</t>
        </is>
      </c>
      <c r="D48" s="44" t="n">
        <v>2023</v>
      </c>
      <c r="E48" s="44" t="inlineStr">
        <is>
          <t>P-SB-003</t>
        </is>
      </c>
      <c r="F48" s="44" t="inlineStr">
        <is>
          <t>C-SB-02</t>
        </is>
      </c>
      <c r="G48" s="46" t="inlineStr">
        <is>
          <t>멕시코</t>
        </is>
      </c>
      <c r="H48" s="44" t="inlineStr">
        <is>
          <t>MX</t>
        </is>
      </c>
      <c r="I48" s="47" t="n">
        <v>30014</v>
      </c>
      <c r="J48" s="44" t="inlineStr">
        <is>
          <t>EA</t>
        </is>
      </c>
      <c r="K48" s="48" t="n">
        <v>7.5</v>
      </c>
      <c r="L48" s="48" t="n">
        <v>27672.2</v>
      </c>
      <c r="M48" s="44" t="inlineStr">
        <is>
          <t>USD</t>
        </is>
      </c>
      <c r="N48" s="44" t="inlineStr">
        <is>
          <t>FOB</t>
        </is>
      </c>
      <c r="O48" s="44" t="inlineStr">
        <is>
          <t>N</t>
        </is>
      </c>
      <c r="P48" s="48" t="n">
        <v>1327.48</v>
      </c>
      <c r="Q48" s="47">
        <f>IF(OR(L48="",M48="",P48=""),"",L48*P48)</f>
        <v/>
      </c>
    </row>
    <row r="49" ht="15" customHeight="1" s="28">
      <c r="A49" s="44" t="inlineStr">
        <is>
          <t>R-SB-0047</t>
        </is>
      </c>
      <c r="B49" s="45" t="n">
        <v>45060</v>
      </c>
      <c r="C49" s="44" t="inlineStr">
        <is>
          <t>2023-05</t>
        </is>
      </c>
      <c r="D49" s="44" t="n">
        <v>2023</v>
      </c>
      <c r="E49" s="44" t="inlineStr">
        <is>
          <t>P-SB-003</t>
        </is>
      </c>
      <c r="F49" s="44" t="inlineStr">
        <is>
          <t>C-SB-03</t>
        </is>
      </c>
      <c r="G49" s="46" t="inlineStr">
        <is>
          <t>베트남</t>
        </is>
      </c>
      <c r="H49" s="44" t="inlineStr">
        <is>
          <t>VN</t>
        </is>
      </c>
      <c r="I49" s="47" t="n">
        <v>22253</v>
      </c>
      <c r="J49" s="44" t="inlineStr">
        <is>
          <t>EA</t>
        </is>
      </c>
      <c r="K49" s="48" t="n">
        <v>5.56</v>
      </c>
      <c r="L49" s="50" t="n"/>
      <c r="M49" s="44" t="inlineStr">
        <is>
          <t>USD</t>
        </is>
      </c>
      <c r="N49" s="44" t="inlineStr">
        <is>
          <t>FOB</t>
        </is>
      </c>
      <c r="O49" s="44" t="inlineStr">
        <is>
          <t>N</t>
        </is>
      </c>
      <c r="P49" s="48" t="n">
        <v>1327.48</v>
      </c>
      <c r="Q49" s="47">
        <f>IF(OR(L49="",M49="",P49=""),"",L49*P49)</f>
        <v/>
      </c>
    </row>
    <row r="50" ht="15" customHeight="1" s="28">
      <c r="A50" s="44" t="inlineStr">
        <is>
          <t>R-SB-0048</t>
        </is>
      </c>
      <c r="B50" s="45" t="n">
        <v>45061</v>
      </c>
      <c r="C50" s="44" t="inlineStr">
        <is>
          <t>2023-05</t>
        </is>
      </c>
      <c r="D50" s="44" t="n">
        <v>2023</v>
      </c>
      <c r="E50" s="44" t="inlineStr">
        <is>
          <t>P-SB-002</t>
        </is>
      </c>
      <c r="F50" s="44" t="inlineStr">
        <is>
          <t>C-SB-04</t>
        </is>
      </c>
      <c r="G50" s="46" t="inlineStr">
        <is>
          <t>인도</t>
        </is>
      </c>
      <c r="H50" s="44" t="inlineStr">
        <is>
          <t>IN</t>
        </is>
      </c>
      <c r="I50" s="47" t="n">
        <v>5876</v>
      </c>
      <c r="J50" s="44" t="inlineStr">
        <is>
          <t>EA</t>
        </is>
      </c>
      <c r="K50" s="48" t="n">
        <v>5.29</v>
      </c>
      <c r="L50" s="48" t="n">
        <v>23982.46</v>
      </c>
      <c r="M50" s="44" t="inlineStr">
        <is>
          <t>USD</t>
        </is>
      </c>
      <c r="N50" s="44" t="inlineStr">
        <is>
          <t>FOB</t>
        </is>
      </c>
      <c r="O50" s="44" t="inlineStr">
        <is>
          <t>N</t>
        </is>
      </c>
      <c r="P50" s="48" t="n">
        <v>1327.48</v>
      </c>
      <c r="Q50" s="47">
        <f>IF(OR(L50="",M50="",P50=""),"",L50*P50)</f>
        <v/>
      </c>
    </row>
    <row r="51" ht="15" customHeight="1" s="28">
      <c r="A51" s="44" t="inlineStr">
        <is>
          <t>R-SB-0049</t>
        </is>
      </c>
      <c r="B51" s="45" t="n">
        <v>45061</v>
      </c>
      <c r="C51" s="44" t="inlineStr">
        <is>
          <t>2023-05</t>
        </is>
      </c>
      <c r="D51" s="44" t="n">
        <v>2023</v>
      </c>
      <c r="E51" s="44" t="inlineStr">
        <is>
          <t>P-SB-003</t>
        </is>
      </c>
      <c r="F51" s="44" t="inlineStr">
        <is>
          <t>C-SB-04</t>
        </is>
      </c>
      <c r="G51" s="46" t="inlineStr">
        <is>
          <t>인도</t>
        </is>
      </c>
      <c r="H51" s="44" t="inlineStr">
        <is>
          <t>IN</t>
        </is>
      </c>
      <c r="I51" s="47" t="n">
        <v>13796</v>
      </c>
      <c r="J51" s="44" t="inlineStr">
        <is>
          <t>EA</t>
        </is>
      </c>
      <c r="K51" s="48" t="n">
        <v>3.45</v>
      </c>
      <c r="L51" s="48" t="n">
        <v>11814.13</v>
      </c>
      <c r="M51" s="44" t="inlineStr">
        <is>
          <t>USD</t>
        </is>
      </c>
      <c r="N51" s="44" t="inlineStr">
        <is>
          <t>FOB</t>
        </is>
      </c>
      <c r="O51" s="44" t="inlineStr">
        <is>
          <t>N</t>
        </is>
      </c>
      <c r="P51" s="48" t="n">
        <v>1327.48</v>
      </c>
      <c r="Q51" s="47">
        <f>IF(OR(L51="",M51="",P51=""),"",L51*P51)</f>
        <v/>
      </c>
    </row>
    <row r="52" ht="15" customHeight="1" s="28">
      <c r="A52" s="44" t="inlineStr">
        <is>
          <t>R-SB-0050</t>
        </is>
      </c>
      <c r="B52" s="45" t="n">
        <v>45062</v>
      </c>
      <c r="C52" s="44" t="inlineStr">
        <is>
          <t>2023-05</t>
        </is>
      </c>
      <c r="D52" s="44" t="n">
        <v>2023</v>
      </c>
      <c r="E52" s="44" t="inlineStr">
        <is>
          <t>P-SB-002</t>
        </is>
      </c>
      <c r="F52" s="44" t="inlineStr">
        <is>
          <t>C-SB-03</t>
        </is>
      </c>
      <c r="G52" s="46" t="inlineStr">
        <is>
          <t>베트남</t>
        </is>
      </c>
      <c r="H52" s="44" t="inlineStr">
        <is>
          <t>VN</t>
        </is>
      </c>
      <c r="I52" s="47" t="n">
        <v>16391</v>
      </c>
      <c r="J52" s="44" t="inlineStr">
        <is>
          <t>EA</t>
        </is>
      </c>
      <c r="K52" s="48" t="n">
        <v>14.75</v>
      </c>
      <c r="L52" s="48" t="n">
        <v>64961.78</v>
      </c>
      <c r="M52" s="44" t="inlineStr">
        <is>
          <t>USD</t>
        </is>
      </c>
      <c r="N52" s="44" t="inlineStr">
        <is>
          <t>FOB</t>
        </is>
      </c>
      <c r="O52" s="44" t="inlineStr">
        <is>
          <t>N</t>
        </is>
      </c>
      <c r="P52" s="48" t="n">
        <v>1327.48</v>
      </c>
      <c r="Q52" s="47">
        <f>IF(OR(L52="",M52="",P52=""),"",L52*P52)</f>
        <v/>
      </c>
    </row>
    <row r="53" ht="15" customHeight="1" s="28">
      <c r="A53" s="44" t="inlineStr">
        <is>
          <t>R-SB-0051</t>
        </is>
      </c>
      <c r="B53" s="45" t="n">
        <v>45064</v>
      </c>
      <c r="C53" s="44" t="inlineStr">
        <is>
          <t>2023-05</t>
        </is>
      </c>
      <c r="D53" s="44" t="n">
        <v>2023</v>
      </c>
      <c r="E53" s="44" t="inlineStr">
        <is>
          <t>P-SB-001</t>
        </is>
      </c>
      <c r="F53" s="44" t="inlineStr">
        <is>
          <t>C-SB-02</t>
        </is>
      </c>
      <c r="G53" s="46" t="inlineStr">
        <is>
          <t>멕시코</t>
        </is>
      </c>
      <c r="H53" s="44" t="inlineStr">
        <is>
          <t>MX</t>
        </is>
      </c>
      <c r="I53" s="47" t="n">
        <v>65446</v>
      </c>
      <c r="J53" s="44" t="inlineStr">
        <is>
          <t>EA</t>
        </is>
      </c>
      <c r="K53" s="48" t="n">
        <v>22.91</v>
      </c>
      <c r="L53" s="48" t="n">
        <v>122687.38</v>
      </c>
      <c r="M53" s="44" t="inlineStr">
        <is>
          <t>USD</t>
        </is>
      </c>
      <c r="N53" s="44" t="inlineStr">
        <is>
          <t>FOB</t>
        </is>
      </c>
      <c r="O53" s="44" t="inlineStr">
        <is>
          <t>N</t>
        </is>
      </c>
      <c r="P53" s="48" t="n">
        <v>1327.48</v>
      </c>
      <c r="Q53" s="47">
        <f>IF(OR(L53="",M53="",P53=""),"",L53*P53)</f>
        <v/>
      </c>
    </row>
    <row r="54" ht="15" customHeight="1" s="28">
      <c r="A54" s="44" t="inlineStr">
        <is>
          <t>R-SB-0052</t>
        </is>
      </c>
      <c r="B54" s="45" t="n">
        <v>45064</v>
      </c>
      <c r="C54" s="44" t="inlineStr">
        <is>
          <t>2023-05</t>
        </is>
      </c>
      <c r="D54" s="44" t="n">
        <v>2023</v>
      </c>
      <c r="E54" s="44" t="inlineStr">
        <is>
          <t>P-SB-001</t>
        </is>
      </c>
      <c r="F54" s="44" t="inlineStr">
        <is>
          <t>C-SB-03</t>
        </is>
      </c>
      <c r="G54" s="46" t="inlineStr">
        <is>
          <t>베트남</t>
        </is>
      </c>
      <c r="H54" s="44" t="inlineStr">
        <is>
          <t>VN</t>
        </is>
      </c>
      <c r="I54" s="47" t="n">
        <v>69377</v>
      </c>
      <c r="J54" s="44" t="inlineStr">
        <is>
          <t>EA</t>
        </is>
      </c>
      <c r="K54" s="48" t="n">
        <v>24.28</v>
      </c>
      <c r="L54" s="50" t="n"/>
      <c r="M54" s="44" t="inlineStr">
        <is>
          <t>USD</t>
        </is>
      </c>
      <c r="N54" s="44" t="inlineStr">
        <is>
          <t>FOB</t>
        </is>
      </c>
      <c r="O54" s="44" t="inlineStr">
        <is>
          <t>N</t>
        </is>
      </c>
      <c r="P54" s="48" t="n">
        <v>1327.48</v>
      </c>
      <c r="Q54" s="47">
        <f>IF(OR(L54="",M54="",P54=""),"",L54*P54)</f>
        <v/>
      </c>
    </row>
    <row r="55" ht="15" customHeight="1" s="28">
      <c r="A55" s="44" t="inlineStr">
        <is>
          <t>R-SB-0053</t>
        </is>
      </c>
      <c r="B55" s="45" t="n">
        <v>45068</v>
      </c>
      <c r="C55" s="44" t="inlineStr">
        <is>
          <t>2023-05</t>
        </is>
      </c>
      <c r="D55" s="44" t="n">
        <v>2023</v>
      </c>
      <c r="E55" s="44" t="inlineStr">
        <is>
          <t>P-SB-003</t>
        </is>
      </c>
      <c r="F55" s="44" t="inlineStr">
        <is>
          <t>C-SB-01</t>
        </is>
      </c>
      <c r="G55" s="46" t="inlineStr">
        <is>
          <t>미국</t>
        </is>
      </c>
      <c r="H55" s="44" t="inlineStr">
        <is>
          <t>US</t>
        </is>
      </c>
      <c r="I55" s="47" t="n">
        <v>59025</v>
      </c>
      <c r="J55" s="44" t="inlineStr">
        <is>
          <t>EA</t>
        </is>
      </c>
      <c r="K55" s="48" t="n">
        <v>14.76</v>
      </c>
      <c r="L55" s="48" t="n">
        <v>54599.82</v>
      </c>
      <c r="M55" s="44" t="inlineStr">
        <is>
          <t>USD</t>
        </is>
      </c>
      <c r="N55" s="44" t="inlineStr">
        <is>
          <t>FOB</t>
        </is>
      </c>
      <c r="O55" s="44" t="inlineStr">
        <is>
          <t>N</t>
        </is>
      </c>
      <c r="P55" s="48" t="n">
        <v>1327.48</v>
      </c>
      <c r="Q55" s="47">
        <f>IF(OR(L55="",M55="",P55=""),"",L55*P55)</f>
        <v/>
      </c>
    </row>
    <row r="56" ht="15" customHeight="1" s="28">
      <c r="A56" s="44" t="inlineStr">
        <is>
          <t>R-SB-0054</t>
        </is>
      </c>
      <c r="B56" s="45" t="n">
        <v>45081</v>
      </c>
      <c r="C56" s="44" t="inlineStr">
        <is>
          <t>2023-06</t>
        </is>
      </c>
      <c r="D56" s="44" t="n">
        <v>2023</v>
      </c>
      <c r="E56" s="44" t="inlineStr">
        <is>
          <t>P-SB-003</t>
        </is>
      </c>
      <c r="F56" s="44" t="inlineStr">
        <is>
          <t>C-SB-04</t>
        </is>
      </c>
      <c r="G56" s="46" t="inlineStr">
        <is>
          <t>인도</t>
        </is>
      </c>
      <c r="H56" s="44" t="inlineStr">
        <is>
          <t>IN</t>
        </is>
      </c>
      <c r="I56" s="47" t="n">
        <v>13161</v>
      </c>
      <c r="J56" s="44" t="inlineStr">
        <is>
          <t>EA</t>
        </is>
      </c>
      <c r="K56" s="48" t="n">
        <v>3.29</v>
      </c>
      <c r="L56" s="48" t="n">
        <v>12030.63</v>
      </c>
      <c r="M56" s="44" t="inlineStr">
        <is>
          <t>USD</t>
        </is>
      </c>
      <c r="N56" s="44" t="inlineStr">
        <is>
          <t>FOB</t>
        </is>
      </c>
      <c r="O56" s="44" t="inlineStr">
        <is>
          <t>N</t>
        </is>
      </c>
      <c r="P56" s="48" t="n">
        <v>1297.2514</v>
      </c>
      <c r="Q56" s="47">
        <f>IF(OR(L56="",M56="",P56=""),"",L56*P56)</f>
        <v/>
      </c>
    </row>
    <row r="57" ht="15" customHeight="1" s="28">
      <c r="A57" s="44" t="inlineStr">
        <is>
          <t>R-SB-0055</t>
        </is>
      </c>
      <c r="B57" s="45" t="n">
        <v>45082</v>
      </c>
      <c r="C57" s="44" t="inlineStr">
        <is>
          <t>2023-06</t>
        </is>
      </c>
      <c r="D57" s="44" t="n">
        <v>2023</v>
      </c>
      <c r="E57" s="44" t="inlineStr">
        <is>
          <t>P-SB-003</t>
        </is>
      </c>
      <c r="F57" s="44" t="inlineStr">
        <is>
          <t>C-SB-02</t>
        </is>
      </c>
      <c r="G57" s="46" t="inlineStr">
        <is>
          <t>멕시코</t>
        </is>
      </c>
      <c r="H57" s="44" t="inlineStr">
        <is>
          <t>MX</t>
        </is>
      </c>
      <c r="I57" s="47" t="n">
        <v>44216</v>
      </c>
      <c r="J57" s="44" t="inlineStr">
        <is>
          <t>EA</t>
        </is>
      </c>
      <c r="K57" s="48" t="n">
        <v>11.05</v>
      </c>
      <c r="L57" s="48" t="n">
        <v>41350.9</v>
      </c>
      <c r="M57" s="44" t="inlineStr">
        <is>
          <t>USD</t>
        </is>
      </c>
      <c r="N57" s="44" t="inlineStr">
        <is>
          <t>FOB</t>
        </is>
      </c>
      <c r="O57" s="44" t="inlineStr">
        <is>
          <t>N</t>
        </is>
      </c>
      <c r="P57" s="48" t="n">
        <v>1297.2514</v>
      </c>
      <c r="Q57" s="47">
        <f>IF(OR(L57="",M57="",P57=""),"",L57*P57)</f>
        <v/>
      </c>
    </row>
    <row r="58" ht="15" customHeight="1" s="28">
      <c r="A58" s="44" t="inlineStr">
        <is>
          <t>R-SB-0056</t>
        </is>
      </c>
      <c r="B58" s="45" t="n">
        <v>45083</v>
      </c>
      <c r="C58" s="44" t="inlineStr">
        <is>
          <t>2023-06</t>
        </is>
      </c>
      <c r="D58" s="44" t="n">
        <v>2023</v>
      </c>
      <c r="E58" s="44" t="inlineStr">
        <is>
          <t>P-SB-003</t>
        </is>
      </c>
      <c r="F58" s="44" t="inlineStr">
        <is>
          <t>C-SB-01</t>
        </is>
      </c>
      <c r="G58" s="46" t="inlineStr">
        <is>
          <t>미국</t>
        </is>
      </c>
      <c r="H58" s="44" t="inlineStr">
        <is>
          <t>US</t>
        </is>
      </c>
      <c r="I58" s="47" t="n">
        <v>67171</v>
      </c>
      <c r="J58" s="44" t="inlineStr">
        <is>
          <t>EA</t>
        </is>
      </c>
      <c r="K58" s="48" t="n">
        <v>16.79</v>
      </c>
      <c r="L58" s="48" t="n">
        <v>62698.32</v>
      </c>
      <c r="M58" s="44" t="inlineStr">
        <is>
          <t>USD</t>
        </is>
      </c>
      <c r="N58" s="44" t="inlineStr">
        <is>
          <t>FOB</t>
        </is>
      </c>
      <c r="O58" s="44" t="inlineStr">
        <is>
          <t>N</t>
        </is>
      </c>
      <c r="P58" s="48" t="n">
        <v>1297.2514</v>
      </c>
      <c r="Q58" s="47">
        <f>IF(OR(L58="",M58="",P58=""),"",L58*P58)</f>
        <v/>
      </c>
    </row>
    <row r="59" ht="15" customHeight="1" s="28">
      <c r="A59" s="44" t="inlineStr">
        <is>
          <t>R-SB-0057</t>
        </is>
      </c>
      <c r="B59" s="45" t="n">
        <v>45085</v>
      </c>
      <c r="C59" s="44" t="inlineStr">
        <is>
          <t>2023-06</t>
        </is>
      </c>
      <c r="D59" s="44" t="n">
        <v>2023</v>
      </c>
      <c r="E59" s="44" t="inlineStr">
        <is>
          <t>P-SB-002</t>
        </is>
      </c>
      <c r="F59" s="44" t="inlineStr">
        <is>
          <t>C-SB-02</t>
        </is>
      </c>
      <c r="G59" s="46" t="inlineStr">
        <is>
          <t>멕시코</t>
        </is>
      </c>
      <c r="H59" s="44" t="inlineStr">
        <is>
          <t>MX</t>
        </is>
      </c>
      <c r="I59" s="47" t="n">
        <v>19727</v>
      </c>
      <c r="J59" s="44" t="inlineStr">
        <is>
          <t>EA</t>
        </is>
      </c>
      <c r="K59" s="48" t="n">
        <v>17.75</v>
      </c>
      <c r="L59" s="48" t="n">
        <v>75840.42</v>
      </c>
      <c r="M59" s="44" t="inlineStr">
        <is>
          <t>USD</t>
        </is>
      </c>
      <c r="N59" s="44" t="inlineStr">
        <is>
          <t>FOB</t>
        </is>
      </c>
      <c r="O59" s="44" t="inlineStr">
        <is>
          <t>N</t>
        </is>
      </c>
      <c r="P59" s="48" t="n">
        <v>1297.2514</v>
      </c>
      <c r="Q59" s="47">
        <f>IF(OR(L59="",M59="",P59=""),"",L59*P59)</f>
        <v/>
      </c>
    </row>
    <row r="60" ht="15" customHeight="1" s="28">
      <c r="A60" s="44" t="inlineStr">
        <is>
          <t>R-SB-0058</t>
        </is>
      </c>
      <c r="B60" s="45" t="n">
        <v>45087</v>
      </c>
      <c r="C60" s="44" t="inlineStr">
        <is>
          <t>2023-06</t>
        </is>
      </c>
      <c r="D60" s="44" t="n">
        <v>2023</v>
      </c>
      <c r="E60" s="44" t="inlineStr">
        <is>
          <t>P-SB-001</t>
        </is>
      </c>
      <c r="F60" s="44" t="inlineStr">
        <is>
          <t>C-SB-04</t>
        </is>
      </c>
      <c r="G60" s="46" t="inlineStr">
        <is>
          <t>인도</t>
        </is>
      </c>
      <c r="H60" s="44" t="inlineStr">
        <is>
          <t>IN</t>
        </is>
      </c>
      <c r="I60" s="47" t="n">
        <v>21887</v>
      </c>
      <c r="J60" s="44" t="inlineStr">
        <is>
          <t>EA</t>
        </is>
      </c>
      <c r="K60" s="48" t="n">
        <v>7.66</v>
      </c>
      <c r="L60" s="48" t="n">
        <v>40446.89</v>
      </c>
      <c r="M60" s="44" t="inlineStr">
        <is>
          <t>USD</t>
        </is>
      </c>
      <c r="N60" s="44" t="inlineStr">
        <is>
          <t>FOB</t>
        </is>
      </c>
      <c r="O60" s="44" t="inlineStr">
        <is>
          <t>N</t>
        </is>
      </c>
      <c r="P60" s="48" t="n">
        <v>1297.2514</v>
      </c>
      <c r="Q60" s="47">
        <f>IF(OR(L60="",M60="",P60=""),"",L60*P60)</f>
        <v/>
      </c>
    </row>
    <row r="61" ht="15" customHeight="1" s="28">
      <c r="A61" s="44" t="inlineStr">
        <is>
          <t>R-SB-0059</t>
        </is>
      </c>
      <c r="B61" s="45" t="n">
        <v>45091</v>
      </c>
      <c r="C61" s="44" t="inlineStr">
        <is>
          <t>2023-06</t>
        </is>
      </c>
      <c r="D61" s="44" t="n">
        <v>2023</v>
      </c>
      <c r="E61" s="44" t="inlineStr">
        <is>
          <t>P-SB-001</t>
        </is>
      </c>
      <c r="F61" s="44" t="inlineStr">
        <is>
          <t>C-SB-03</t>
        </is>
      </c>
      <c r="G61" s="46" t="inlineStr">
        <is>
          <t>베트남</t>
        </is>
      </c>
      <c r="H61" s="44" t="inlineStr">
        <is>
          <t>VN</t>
        </is>
      </c>
      <c r="I61" s="47" t="n">
        <v>43767</v>
      </c>
      <c r="J61" s="44" t="inlineStr">
        <is>
          <t>EA</t>
        </is>
      </c>
      <c r="K61" s="48" t="n">
        <v>15.32</v>
      </c>
      <c r="L61" s="48" t="n">
        <v>76013.92999999999</v>
      </c>
      <c r="M61" s="44" t="inlineStr">
        <is>
          <t>USD</t>
        </is>
      </c>
      <c r="N61" s="44" t="inlineStr">
        <is>
          <t>FOB</t>
        </is>
      </c>
      <c r="O61" s="44" t="inlineStr">
        <is>
          <t>N</t>
        </is>
      </c>
      <c r="P61" s="48" t="n">
        <v>1297.2514</v>
      </c>
      <c r="Q61" s="47">
        <f>IF(OR(L61="",M61="",P61=""),"",L61*P61)</f>
        <v/>
      </c>
    </row>
    <row r="62" ht="15" customHeight="1" s="28">
      <c r="A62" s="44" t="inlineStr">
        <is>
          <t>R-SB-0060</t>
        </is>
      </c>
      <c r="B62" s="45" t="n">
        <v>45095</v>
      </c>
      <c r="C62" s="44" t="inlineStr">
        <is>
          <t>2023-06</t>
        </is>
      </c>
      <c r="D62" s="44" t="n">
        <v>2023</v>
      </c>
      <c r="E62" s="44" t="inlineStr">
        <is>
          <t>P-SB-002</t>
        </is>
      </c>
      <c r="F62" s="44" t="inlineStr">
        <is>
          <t>C-SB-01</t>
        </is>
      </c>
      <c r="G62" s="46" t="inlineStr">
        <is>
          <t>미국</t>
        </is>
      </c>
      <c r="H62" s="44" t="inlineStr">
        <is>
          <t>US</t>
        </is>
      </c>
      <c r="I62" s="47" t="n">
        <v>30193</v>
      </c>
      <c r="J62" s="44" t="inlineStr">
        <is>
          <t>EA</t>
        </is>
      </c>
      <c r="K62" s="48" t="n">
        <v>27.17</v>
      </c>
      <c r="L62" s="48" t="n">
        <v>121792.62</v>
      </c>
      <c r="M62" s="44" t="inlineStr">
        <is>
          <t>USD</t>
        </is>
      </c>
      <c r="N62" s="44" t="inlineStr">
        <is>
          <t>FOB</t>
        </is>
      </c>
      <c r="O62" s="44" t="inlineStr">
        <is>
          <t>N</t>
        </is>
      </c>
      <c r="P62" s="48" t="n">
        <v>1297.2514</v>
      </c>
      <c r="Q62" s="47">
        <f>IF(OR(L62="",M62="",P62=""),"",L62*P62)</f>
        <v/>
      </c>
    </row>
    <row r="63" ht="15" customHeight="1" s="28">
      <c r="A63" s="44" t="inlineStr">
        <is>
          <t>R-SB-0061</t>
        </is>
      </c>
      <c r="B63" s="45" t="n">
        <v>45095</v>
      </c>
      <c r="C63" s="44" t="inlineStr">
        <is>
          <t>2023-06</t>
        </is>
      </c>
      <c r="D63" s="44" t="n">
        <v>2023</v>
      </c>
      <c r="E63" s="44" t="inlineStr">
        <is>
          <t>P-SB-002</t>
        </is>
      </c>
      <c r="F63" s="44" t="inlineStr">
        <is>
          <t>C-SB-03</t>
        </is>
      </c>
      <c r="G63" s="46" t="inlineStr">
        <is>
          <t>베트남</t>
        </is>
      </c>
      <c r="H63" s="44" t="inlineStr">
        <is>
          <t>VN</t>
        </is>
      </c>
      <c r="I63" s="47" t="n">
        <v>16523</v>
      </c>
      <c r="J63" s="44" t="inlineStr">
        <is>
          <t>EA</t>
        </is>
      </c>
      <c r="K63" s="48" t="n">
        <v>14.87</v>
      </c>
      <c r="L63" s="48" t="n">
        <v>64052.61</v>
      </c>
      <c r="M63" s="44" t="inlineStr">
        <is>
          <t>USD</t>
        </is>
      </c>
      <c r="N63" s="44" t="inlineStr">
        <is>
          <t>FOB</t>
        </is>
      </c>
      <c r="O63" s="44" t="inlineStr">
        <is>
          <t>N</t>
        </is>
      </c>
      <c r="P63" s="48" t="n">
        <v>1297.2514</v>
      </c>
      <c r="Q63" s="47">
        <f>IF(OR(L63="",M63="",P63=""),"",L63*P63)</f>
        <v/>
      </c>
    </row>
    <row r="64" ht="15" customHeight="1" s="28">
      <c r="A64" s="44" t="inlineStr">
        <is>
          <t>R-SB-0062</t>
        </is>
      </c>
      <c r="B64" s="45" t="n">
        <v>45096</v>
      </c>
      <c r="C64" s="44" t="inlineStr">
        <is>
          <t>2023-06</t>
        </is>
      </c>
      <c r="D64" s="44" t="n">
        <v>2023</v>
      </c>
      <c r="E64" s="44" t="inlineStr">
        <is>
          <t>P-SB-002</t>
        </is>
      </c>
      <c r="F64" s="44" t="inlineStr">
        <is>
          <t>C-SB-04</t>
        </is>
      </c>
      <c r="G64" s="46" t="inlineStr">
        <is>
          <t>인도</t>
        </is>
      </c>
      <c r="H64" s="44" t="inlineStr">
        <is>
          <t>IN</t>
        </is>
      </c>
      <c r="I64" s="47" t="n">
        <v>7374</v>
      </c>
      <c r="J64" s="44" t="inlineStr">
        <is>
          <t>EA</t>
        </is>
      </c>
      <c r="K64" s="48" t="n">
        <v>6.64</v>
      </c>
      <c r="L64" s="48" t="n">
        <v>29262.69</v>
      </c>
      <c r="M64" s="44" t="inlineStr">
        <is>
          <t>USD</t>
        </is>
      </c>
      <c r="N64" s="44" t="inlineStr">
        <is>
          <t>FOB</t>
        </is>
      </c>
      <c r="O64" s="44" t="inlineStr">
        <is>
          <t>N</t>
        </is>
      </c>
      <c r="P64" s="48" t="n">
        <v>1297.2514</v>
      </c>
      <c r="Q64" s="47">
        <f>IF(OR(L64="",M64="",P64=""),"",L64*P64)</f>
        <v/>
      </c>
    </row>
    <row r="65" ht="15" customHeight="1" s="28">
      <c r="A65" s="44" t="inlineStr">
        <is>
          <t>R-SB-0063</t>
        </is>
      </c>
      <c r="B65" s="45" t="n">
        <v>45097</v>
      </c>
      <c r="C65" s="44" t="inlineStr">
        <is>
          <t>2023-06</t>
        </is>
      </c>
      <c r="D65" s="44" t="n">
        <v>2023</v>
      </c>
      <c r="E65" s="44" t="inlineStr">
        <is>
          <t>P-SB-001</t>
        </is>
      </c>
      <c r="F65" s="44" t="inlineStr">
        <is>
          <t>C-SB-01</t>
        </is>
      </c>
      <c r="G65" s="46" t="inlineStr">
        <is>
          <t>미국</t>
        </is>
      </c>
      <c r="H65" s="44" t="inlineStr">
        <is>
          <t>US</t>
        </is>
      </c>
      <c r="I65" s="47" t="n">
        <v>114601</v>
      </c>
      <c r="J65" s="44" t="inlineStr">
        <is>
          <t>EA</t>
        </is>
      </c>
      <c r="K65" s="48" t="n">
        <v>40.11</v>
      </c>
      <c r="L65" s="48" t="n">
        <v>201329.05</v>
      </c>
      <c r="M65" s="44" t="inlineStr">
        <is>
          <t>USD</t>
        </is>
      </c>
      <c r="N65" s="44" t="inlineStr">
        <is>
          <t>FOB</t>
        </is>
      </c>
      <c r="O65" s="44" t="inlineStr">
        <is>
          <t>N</t>
        </is>
      </c>
      <c r="P65" s="48" t="n">
        <v>1297.2514</v>
      </c>
      <c r="Q65" s="47">
        <f>IF(OR(L65="",M65="",P65=""),"",L65*P65)</f>
        <v/>
      </c>
    </row>
    <row r="66" ht="15" customHeight="1" s="28">
      <c r="A66" s="44" t="inlineStr">
        <is>
          <t>R-SB-0064</t>
        </is>
      </c>
      <c r="B66" s="45" t="n">
        <v>45098</v>
      </c>
      <c r="C66" s="44" t="inlineStr">
        <is>
          <t>2023-06</t>
        </is>
      </c>
      <c r="D66" s="44" t="n">
        <v>2023</v>
      </c>
      <c r="E66" s="44" t="inlineStr">
        <is>
          <t>P-SB-001</t>
        </is>
      </c>
      <c r="F66" s="44" t="inlineStr">
        <is>
          <t>C-SB-02</t>
        </is>
      </c>
      <c r="G66" s="46" t="inlineStr">
        <is>
          <t>멕시코</t>
        </is>
      </c>
      <c r="H66" s="44" t="inlineStr">
        <is>
          <t>MX</t>
        </is>
      </c>
      <c r="I66" s="47" t="n">
        <v>53228</v>
      </c>
      <c r="J66" s="44" t="inlineStr">
        <is>
          <t>EA</t>
        </is>
      </c>
      <c r="K66" s="48" t="n">
        <v>18.63</v>
      </c>
      <c r="L66" s="48" t="n">
        <v>93139.55</v>
      </c>
      <c r="M66" s="44" t="inlineStr">
        <is>
          <t>USD</t>
        </is>
      </c>
      <c r="N66" s="44" t="inlineStr">
        <is>
          <t>FOB</t>
        </is>
      </c>
      <c r="O66" s="44" t="inlineStr">
        <is>
          <t>N</t>
        </is>
      </c>
      <c r="P66" s="48" t="n">
        <v>1297.2514</v>
      </c>
      <c r="Q66" s="47">
        <f>IF(OR(L66="",M66="",P66=""),"",L66*P66)</f>
        <v/>
      </c>
    </row>
    <row r="67" ht="15" customHeight="1" s="28">
      <c r="A67" s="44" t="inlineStr">
        <is>
          <t>R-SB-0065</t>
        </is>
      </c>
      <c r="B67" s="45" t="n">
        <v>45101</v>
      </c>
      <c r="C67" s="44" t="inlineStr">
        <is>
          <t>2023-06</t>
        </is>
      </c>
      <c r="D67" s="44" t="n">
        <v>2023</v>
      </c>
      <c r="E67" s="44" t="inlineStr">
        <is>
          <t>P-SB-003</t>
        </is>
      </c>
      <c r="F67" s="44" t="inlineStr">
        <is>
          <t>C-SB-03</t>
        </is>
      </c>
      <c r="G67" s="46" t="inlineStr">
        <is>
          <t>베트남</t>
        </is>
      </c>
      <c r="H67" s="44" t="inlineStr">
        <is>
          <t>VN</t>
        </is>
      </c>
      <c r="I67" s="47" t="n">
        <v>30590</v>
      </c>
      <c r="J67" s="44" t="inlineStr">
        <is>
          <t>EA</t>
        </is>
      </c>
      <c r="K67" s="48" t="n">
        <v>7.65</v>
      </c>
      <c r="L67" s="48" t="n">
        <v>27266.99</v>
      </c>
      <c r="M67" s="44" t="inlineStr">
        <is>
          <t>USD</t>
        </is>
      </c>
      <c r="N67" s="44" t="inlineStr">
        <is>
          <t>FOB</t>
        </is>
      </c>
      <c r="O67" s="44" t="inlineStr">
        <is>
          <t>N</t>
        </is>
      </c>
      <c r="P67" s="48" t="n">
        <v>1297.2514</v>
      </c>
      <c r="Q67" s="47">
        <f>IF(OR(L67="",M67="",P67=""),"",L67*P67)</f>
        <v/>
      </c>
    </row>
    <row r="68" ht="15" customHeight="1" s="28">
      <c r="A68" s="44" t="inlineStr">
        <is>
          <t>R-SB-0066</t>
        </is>
      </c>
      <c r="B68" s="45" t="n">
        <v>45112</v>
      </c>
      <c r="C68" s="44" t="inlineStr">
        <is>
          <t>2023-07</t>
        </is>
      </c>
      <c r="D68" s="44" t="n">
        <v>2023</v>
      </c>
      <c r="E68" s="44" t="inlineStr">
        <is>
          <t>P-SB-002</t>
        </is>
      </c>
      <c r="F68" s="44" t="inlineStr">
        <is>
          <t>C-SB-04</t>
        </is>
      </c>
      <c r="G68" s="46" t="inlineStr">
        <is>
          <t>인도</t>
        </is>
      </c>
      <c r="H68" s="44" t="inlineStr">
        <is>
          <t>IN</t>
        </is>
      </c>
      <c r="I68" s="47" t="n">
        <v>7134</v>
      </c>
      <c r="J68" s="44" t="inlineStr">
        <is>
          <t>EA</t>
        </is>
      </c>
      <c r="K68" s="48" t="n">
        <v>6.42</v>
      </c>
      <c r="L68" s="48" t="n">
        <v>27415.29</v>
      </c>
      <c r="M68" s="44" t="inlineStr">
        <is>
          <t>USD</t>
        </is>
      </c>
      <c r="N68" s="44" t="inlineStr">
        <is>
          <t>FOB</t>
        </is>
      </c>
      <c r="O68" s="44" t="inlineStr">
        <is>
          <t>N</t>
        </is>
      </c>
      <c r="P68" s="48" t="n">
        <v>1282.2835</v>
      </c>
      <c r="Q68" s="47">
        <f>IF(OR(L68="",M68="",P68=""),"",L68*P68)</f>
        <v/>
      </c>
    </row>
    <row r="69" ht="15" customHeight="1" s="28">
      <c r="A69" s="44" t="inlineStr">
        <is>
          <t>R-SB-0067</t>
        </is>
      </c>
      <c r="B69" s="45" t="n">
        <v>45113</v>
      </c>
      <c r="C69" s="44" t="inlineStr">
        <is>
          <t>2023-07</t>
        </is>
      </c>
      <c r="D69" s="44" t="n">
        <v>2023</v>
      </c>
      <c r="E69" s="44" t="inlineStr">
        <is>
          <t>P-SB-003</t>
        </is>
      </c>
      <c r="F69" s="44" t="inlineStr">
        <is>
          <t>C-SB-03</t>
        </is>
      </c>
      <c r="G69" s="46" t="inlineStr">
        <is>
          <t>베트남</t>
        </is>
      </c>
      <c r="H69" s="44" t="inlineStr">
        <is>
          <t>VN</t>
        </is>
      </c>
      <c r="I69" s="47" t="n">
        <v>28652</v>
      </c>
      <c r="J69" s="44" t="inlineStr">
        <is>
          <t>EA</t>
        </is>
      </c>
      <c r="K69" s="48" t="n">
        <v>7.16</v>
      </c>
      <c r="L69" s="48" t="n">
        <v>26121.57</v>
      </c>
      <c r="M69" s="44" t="inlineStr">
        <is>
          <t>USD</t>
        </is>
      </c>
      <c r="N69" s="44" t="inlineStr">
        <is>
          <t>FOB</t>
        </is>
      </c>
      <c r="O69" s="44" t="inlineStr">
        <is>
          <t>N</t>
        </is>
      </c>
      <c r="P69" s="48" t="n">
        <v>1282.2835</v>
      </c>
      <c r="Q69" s="47">
        <f>IF(OR(L69="",M69="",P69=""),"",L69*P69)</f>
        <v/>
      </c>
    </row>
    <row r="70" ht="15" customHeight="1" s="28">
      <c r="A70" s="44" t="inlineStr">
        <is>
          <t>R-SB-0068</t>
        </is>
      </c>
      <c r="B70" s="45" t="n">
        <v>45114</v>
      </c>
      <c r="C70" s="44" t="inlineStr">
        <is>
          <t>2023-07</t>
        </is>
      </c>
      <c r="D70" s="44" t="n">
        <v>2023</v>
      </c>
      <c r="E70" s="44" t="inlineStr">
        <is>
          <t>P-SB-001</t>
        </is>
      </c>
      <c r="F70" s="44" t="inlineStr">
        <is>
          <t>C-SB-02</t>
        </is>
      </c>
      <c r="G70" s="46" t="inlineStr">
        <is>
          <t>멕시코</t>
        </is>
      </c>
      <c r="H70" s="44" t="inlineStr">
        <is>
          <t>MX</t>
        </is>
      </c>
      <c r="I70" s="47" t="n">
        <v>53562</v>
      </c>
      <c r="J70" s="44" t="inlineStr">
        <is>
          <t>EA</t>
        </is>
      </c>
      <c r="K70" s="48" t="n">
        <v>18.75</v>
      </c>
      <c r="L70" s="48" t="n">
        <v>99716.00999999999</v>
      </c>
      <c r="M70" s="44" t="inlineStr">
        <is>
          <t>USD</t>
        </is>
      </c>
      <c r="N70" s="44" t="inlineStr">
        <is>
          <t>FOB</t>
        </is>
      </c>
      <c r="O70" s="44" t="inlineStr">
        <is>
          <t>N</t>
        </is>
      </c>
      <c r="P70" s="48" t="n">
        <v>1282.2835</v>
      </c>
      <c r="Q70" s="47">
        <f>IF(OR(L70="",M70="",P70=""),"",L70*P70)</f>
        <v/>
      </c>
    </row>
    <row r="71" ht="15" customHeight="1" s="28">
      <c r="A71" s="44" t="inlineStr">
        <is>
          <t>R-SB-0069</t>
        </is>
      </c>
      <c r="B71" s="45" t="n">
        <v>45117</v>
      </c>
      <c r="C71" s="44" t="inlineStr">
        <is>
          <t>2023-07</t>
        </is>
      </c>
      <c r="D71" s="44" t="n">
        <v>2023</v>
      </c>
      <c r="E71" s="44" t="inlineStr">
        <is>
          <t>P-SB-001</t>
        </is>
      </c>
      <c r="F71" s="44" t="inlineStr">
        <is>
          <t>C-SB-03</t>
        </is>
      </c>
      <c r="G71" s="46" t="inlineStr">
        <is>
          <t>베트남</t>
        </is>
      </c>
      <c r="H71" s="44" t="inlineStr">
        <is>
          <t>VN</t>
        </is>
      </c>
      <c r="I71" s="47" t="n">
        <v>60578</v>
      </c>
      <c r="J71" s="44" t="inlineStr">
        <is>
          <t>EA</t>
        </is>
      </c>
      <c r="K71" s="48" t="n">
        <v>21.2</v>
      </c>
      <c r="L71" s="48" t="n">
        <v>104938.6</v>
      </c>
      <c r="M71" s="44" t="inlineStr">
        <is>
          <t>USD</t>
        </is>
      </c>
      <c r="N71" s="44" t="inlineStr">
        <is>
          <t>FOB</t>
        </is>
      </c>
      <c r="O71" s="44" t="inlineStr">
        <is>
          <t>N</t>
        </is>
      </c>
      <c r="P71" s="48" t="n">
        <v>1282.2835</v>
      </c>
      <c r="Q71" s="47">
        <f>IF(OR(L71="",M71="",P71=""),"",L71*P71)</f>
        <v/>
      </c>
    </row>
    <row r="72" ht="15" customHeight="1" s="28">
      <c r="A72" s="44" t="inlineStr">
        <is>
          <t>R-SB-0070</t>
        </is>
      </c>
      <c r="B72" s="45" t="n">
        <v>45120</v>
      </c>
      <c r="C72" s="44" t="inlineStr">
        <is>
          <t>2023-07</t>
        </is>
      </c>
      <c r="D72" s="44" t="n">
        <v>2023</v>
      </c>
      <c r="E72" s="44" t="inlineStr">
        <is>
          <t>P-SB-001</t>
        </is>
      </c>
      <c r="F72" s="44" t="inlineStr">
        <is>
          <t>C-SB-04</t>
        </is>
      </c>
      <c r="G72" s="46" t="inlineStr">
        <is>
          <t>인도</t>
        </is>
      </c>
      <c r="H72" s="44" t="inlineStr">
        <is>
          <t>IN</t>
        </is>
      </c>
      <c r="I72" s="47" t="n">
        <v>31538</v>
      </c>
      <c r="J72" s="44" t="inlineStr">
        <is>
          <t>EA</t>
        </is>
      </c>
      <c r="K72" s="48" t="n">
        <v>11.04</v>
      </c>
      <c r="L72" s="48" t="n">
        <v>56346.57</v>
      </c>
      <c r="M72" s="44" t="inlineStr">
        <is>
          <t>USD</t>
        </is>
      </c>
      <c r="N72" s="44" t="inlineStr">
        <is>
          <t>FOB</t>
        </is>
      </c>
      <c r="O72" s="44" t="inlineStr">
        <is>
          <t>N</t>
        </is>
      </c>
      <c r="P72" s="48" t="n">
        <v>1282.2835</v>
      </c>
      <c r="Q72" s="47">
        <f>IF(OR(L72="",M72="",P72=""),"",L72*P72)</f>
        <v/>
      </c>
    </row>
    <row r="73" ht="15" customHeight="1" s="28">
      <c r="A73" s="44" t="inlineStr">
        <is>
          <t>R-SB-0071</t>
        </is>
      </c>
      <c r="B73" s="45" t="n">
        <v>45127</v>
      </c>
      <c r="C73" s="44" t="inlineStr">
        <is>
          <t>2023-07</t>
        </is>
      </c>
      <c r="D73" s="44" t="n">
        <v>2023</v>
      </c>
      <c r="E73" s="44" t="inlineStr">
        <is>
          <t>P-SB-003</t>
        </is>
      </c>
      <c r="F73" s="44" t="inlineStr">
        <is>
          <t>C-SB-02</t>
        </is>
      </c>
      <c r="G73" s="46" t="inlineStr">
        <is>
          <t>멕시코</t>
        </is>
      </c>
      <c r="H73" s="44" t="inlineStr">
        <is>
          <t>MX</t>
        </is>
      </c>
      <c r="I73" s="47" t="n">
        <v>39678</v>
      </c>
      <c r="J73" s="44" t="inlineStr">
        <is>
          <t>EA</t>
        </is>
      </c>
      <c r="K73" s="48" t="n">
        <v>9.92</v>
      </c>
      <c r="L73" s="48" t="n">
        <v>35017.98</v>
      </c>
      <c r="M73" s="44" t="inlineStr">
        <is>
          <t>USD</t>
        </is>
      </c>
      <c r="N73" s="44" t="inlineStr">
        <is>
          <t>FOB</t>
        </is>
      </c>
      <c r="O73" s="44" t="inlineStr">
        <is>
          <t>N</t>
        </is>
      </c>
      <c r="P73" s="48" t="n">
        <v>1282.2835</v>
      </c>
      <c r="Q73" s="47">
        <f>IF(OR(L73="",M73="",P73=""),"",L73*P73)</f>
        <v/>
      </c>
    </row>
    <row r="74" ht="15" customHeight="1" s="28">
      <c r="A74" s="44" t="inlineStr">
        <is>
          <t>R-SB-0072</t>
        </is>
      </c>
      <c r="B74" s="45" t="n">
        <v>45131</v>
      </c>
      <c r="C74" s="44" t="inlineStr">
        <is>
          <t>2023-07</t>
        </is>
      </c>
      <c r="D74" s="44" t="n">
        <v>2023</v>
      </c>
      <c r="E74" s="44" t="inlineStr">
        <is>
          <t>P-SB-002</t>
        </is>
      </c>
      <c r="F74" s="44" t="inlineStr">
        <is>
          <t>C-SB-02</t>
        </is>
      </c>
      <c r="G74" s="46" t="inlineStr">
        <is>
          <t>멕시코</t>
        </is>
      </c>
      <c r="H74" s="44" t="inlineStr">
        <is>
          <t>MX</t>
        </is>
      </c>
      <c r="I74" s="47" t="n">
        <v>13575</v>
      </c>
      <c r="J74" s="44" t="inlineStr">
        <is>
          <t>EA</t>
        </is>
      </c>
      <c r="K74" s="48" t="n">
        <v>12.22</v>
      </c>
      <c r="L74" s="50" t="n"/>
      <c r="M74" s="44" t="inlineStr">
        <is>
          <t>USD</t>
        </is>
      </c>
      <c r="N74" s="44" t="inlineStr">
        <is>
          <t>FOB</t>
        </is>
      </c>
      <c r="O74" s="44" t="inlineStr">
        <is>
          <t>N</t>
        </is>
      </c>
      <c r="P74" s="48" t="n">
        <v>1282.2835</v>
      </c>
      <c r="Q74" s="47">
        <f>IF(OR(L74="",M74="",P74=""),"",L74*P74)</f>
        <v/>
      </c>
    </row>
    <row r="75" ht="15" customHeight="1" s="28">
      <c r="A75" s="44" t="inlineStr">
        <is>
          <t>R-SB-0073</t>
        </is>
      </c>
      <c r="B75" s="45" t="n">
        <v>45132</v>
      </c>
      <c r="C75" s="44" t="inlineStr">
        <is>
          <t>2023-07</t>
        </is>
      </c>
      <c r="D75" s="44" t="n">
        <v>2023</v>
      </c>
      <c r="E75" s="44" t="inlineStr">
        <is>
          <t>P-SB-003</t>
        </is>
      </c>
      <c r="F75" s="44" t="inlineStr">
        <is>
          <t>C-SB-01</t>
        </is>
      </c>
      <c r="G75" s="46" t="inlineStr">
        <is>
          <t>미국</t>
        </is>
      </c>
      <c r="H75" s="44" t="inlineStr">
        <is>
          <t>US</t>
        </is>
      </c>
      <c r="I75" s="47" t="n">
        <v>58461</v>
      </c>
      <c r="J75" s="44" t="inlineStr">
        <is>
          <t>EA</t>
        </is>
      </c>
      <c r="K75" s="48" t="n">
        <v>14.62</v>
      </c>
      <c r="L75" s="48" t="n">
        <v>50800.02</v>
      </c>
      <c r="M75" s="44" t="inlineStr">
        <is>
          <t>USD</t>
        </is>
      </c>
      <c r="N75" s="44" t="inlineStr">
        <is>
          <t>FOB</t>
        </is>
      </c>
      <c r="O75" s="44" t="inlineStr">
        <is>
          <t>N</t>
        </is>
      </c>
      <c r="P75" s="48" t="n">
        <v>1282.2835</v>
      </c>
      <c r="Q75" s="47">
        <f>IF(OR(L75="",M75="",P75=""),"",L75*P75)</f>
        <v/>
      </c>
    </row>
    <row r="76" ht="15" customHeight="1" s="28">
      <c r="A76" s="44" t="inlineStr">
        <is>
          <t>R-SB-0074</t>
        </is>
      </c>
      <c r="B76" s="45" t="n">
        <v>45133</v>
      </c>
      <c r="C76" s="44" t="inlineStr">
        <is>
          <t>2023-07</t>
        </is>
      </c>
      <c r="D76" s="44" t="n">
        <v>2023</v>
      </c>
      <c r="E76" s="44" t="inlineStr">
        <is>
          <t>P-SB-003</t>
        </is>
      </c>
      <c r="F76" s="44" t="inlineStr">
        <is>
          <t>C-SB-04</t>
        </is>
      </c>
      <c r="G76" s="46" t="inlineStr">
        <is>
          <t>인도</t>
        </is>
      </c>
      <c r="H76" s="44" t="inlineStr">
        <is>
          <t>IN</t>
        </is>
      </c>
      <c r="I76" s="47" t="n">
        <v>18697</v>
      </c>
      <c r="J76" s="44" t="inlineStr">
        <is>
          <t>EA</t>
        </is>
      </c>
      <c r="K76" s="48" t="n">
        <v>4.67</v>
      </c>
      <c r="L76" s="48" t="n">
        <v>16590.66</v>
      </c>
      <c r="M76" s="44" t="inlineStr">
        <is>
          <t>USD</t>
        </is>
      </c>
      <c r="N76" s="44" t="inlineStr">
        <is>
          <t>FOB</t>
        </is>
      </c>
      <c r="O76" s="44" t="inlineStr">
        <is>
          <t>N</t>
        </is>
      </c>
      <c r="P76" s="48" t="n">
        <v>1282.2835</v>
      </c>
      <c r="Q76" s="47">
        <f>IF(OR(L76="",M76="",P76=""),"",L76*P76)</f>
        <v/>
      </c>
    </row>
    <row r="77" ht="15" customHeight="1" s="28">
      <c r="A77" s="44" t="inlineStr">
        <is>
          <t>R-SB-0075</t>
        </is>
      </c>
      <c r="B77" s="45" t="n">
        <v>45143</v>
      </c>
      <c r="C77" s="44" t="inlineStr">
        <is>
          <t>2023-08</t>
        </is>
      </c>
      <c r="D77" s="44" t="n">
        <v>2023</v>
      </c>
      <c r="E77" s="44" t="inlineStr">
        <is>
          <t>P-SB-001</t>
        </is>
      </c>
      <c r="F77" s="44" t="inlineStr">
        <is>
          <t>C-SB-01</t>
        </is>
      </c>
      <c r="G77" s="46" t="inlineStr">
        <is>
          <t>미국</t>
        </is>
      </c>
      <c r="H77" s="44" t="inlineStr">
        <is>
          <t>US</t>
        </is>
      </c>
      <c r="I77" s="47" t="n">
        <v>104586</v>
      </c>
      <c r="J77" s="44" t="inlineStr">
        <is>
          <t>EA</t>
        </is>
      </c>
      <c r="K77" s="48" t="n">
        <v>36.61</v>
      </c>
      <c r="L77" s="48" t="n">
        <v>194342.94</v>
      </c>
      <c r="M77" s="44" t="inlineStr">
        <is>
          <t>USD</t>
        </is>
      </c>
      <c r="N77" s="44" t="inlineStr">
        <is>
          <t>FOB</t>
        </is>
      </c>
      <c r="O77" s="44" t="inlineStr">
        <is>
          <t>N</t>
        </is>
      </c>
      <c r="P77" s="48" t="n">
        <v>1321.7561</v>
      </c>
      <c r="Q77" s="47">
        <f>IF(OR(L77="",M77="",P77=""),"",L77*P77)</f>
        <v/>
      </c>
    </row>
    <row r="78" ht="15" customHeight="1" s="28">
      <c r="A78" s="44" t="inlineStr">
        <is>
          <t>R-SB-0076</t>
        </is>
      </c>
      <c r="B78" s="45" t="n">
        <v>45144</v>
      </c>
      <c r="C78" s="44" t="inlineStr">
        <is>
          <t>2023-08</t>
        </is>
      </c>
      <c r="D78" s="44" t="n">
        <v>2023</v>
      </c>
      <c r="E78" s="44" t="inlineStr">
        <is>
          <t>P-SB-002</t>
        </is>
      </c>
      <c r="F78" s="44" t="inlineStr">
        <is>
          <t>C-SB-02</t>
        </is>
      </c>
      <c r="G78" s="46" t="inlineStr">
        <is>
          <t>멕시코</t>
        </is>
      </c>
      <c r="H78" s="44" t="inlineStr">
        <is>
          <t>MX</t>
        </is>
      </c>
      <c r="I78" s="47" t="n">
        <v>18552</v>
      </c>
      <c r="J78" s="44" t="inlineStr">
        <is>
          <t>EA</t>
        </is>
      </c>
      <c r="K78" s="48" t="n">
        <v>16.7</v>
      </c>
      <c r="L78" s="48" t="n">
        <v>70523.83</v>
      </c>
      <c r="M78" s="44" t="inlineStr">
        <is>
          <t>USD</t>
        </is>
      </c>
      <c r="N78" s="44" t="inlineStr">
        <is>
          <t>FOB</t>
        </is>
      </c>
      <c r="O78" s="44" t="inlineStr">
        <is>
          <t>N</t>
        </is>
      </c>
      <c r="P78" s="48" t="n">
        <v>1321.7561</v>
      </c>
      <c r="Q78" s="47">
        <f>IF(OR(L78="",M78="",P78=""),"",L78*P78)</f>
        <v/>
      </c>
    </row>
    <row r="79" ht="15" customHeight="1" s="28">
      <c r="A79" s="44" t="inlineStr">
        <is>
          <t>R-SB-0077</t>
        </is>
      </c>
      <c r="B79" s="45" t="n">
        <v>45145</v>
      </c>
      <c r="C79" s="44" t="inlineStr">
        <is>
          <t>2023-08</t>
        </is>
      </c>
      <c r="D79" s="44" t="n">
        <v>2023</v>
      </c>
      <c r="E79" s="44" t="inlineStr">
        <is>
          <t>P-SB-001</t>
        </is>
      </c>
      <c r="F79" s="44" t="inlineStr">
        <is>
          <t>C-SB-03</t>
        </is>
      </c>
      <c r="G79" s="46" t="inlineStr">
        <is>
          <t>베트남</t>
        </is>
      </c>
      <c r="H79" s="44" t="inlineStr">
        <is>
          <t>VN</t>
        </is>
      </c>
      <c r="I79" s="47" t="n">
        <v>69897</v>
      </c>
      <c r="J79" s="44" t="inlineStr">
        <is>
          <t>EA</t>
        </is>
      </c>
      <c r="K79" s="48" t="n">
        <v>24.46</v>
      </c>
      <c r="L79" s="48" t="n">
        <v>119644.13</v>
      </c>
      <c r="M79" s="44" t="inlineStr">
        <is>
          <t>USD</t>
        </is>
      </c>
      <c r="N79" s="44" t="inlineStr">
        <is>
          <t>FOB</t>
        </is>
      </c>
      <c r="O79" s="44" t="inlineStr">
        <is>
          <t>N</t>
        </is>
      </c>
      <c r="P79" s="48" t="n">
        <v>1321.7561</v>
      </c>
      <c r="Q79" s="47">
        <f>IF(OR(L79="",M79="",P79=""),"",L79*P79)</f>
        <v/>
      </c>
    </row>
    <row r="80" ht="15" customHeight="1" s="28">
      <c r="A80" s="44" t="inlineStr">
        <is>
          <t>R-SB-0078</t>
        </is>
      </c>
      <c r="B80" s="45" t="n">
        <v>45147</v>
      </c>
      <c r="C80" s="44" t="inlineStr">
        <is>
          <t>2023-08</t>
        </is>
      </c>
      <c r="D80" s="44" t="n">
        <v>2023</v>
      </c>
      <c r="E80" s="44" t="inlineStr">
        <is>
          <t>P-SB-002</t>
        </is>
      </c>
      <c r="F80" s="44" t="inlineStr">
        <is>
          <t>C-SB-04</t>
        </is>
      </c>
      <c r="G80" s="46" t="inlineStr">
        <is>
          <t>인도</t>
        </is>
      </c>
      <c r="H80" s="44" t="inlineStr">
        <is>
          <t>IN</t>
        </is>
      </c>
      <c r="I80" s="47" t="n">
        <v>6055</v>
      </c>
      <c r="J80" s="44" t="inlineStr">
        <is>
          <t>EA</t>
        </is>
      </c>
      <c r="K80" s="48" t="n">
        <v>5.45</v>
      </c>
      <c r="L80" s="48" t="n">
        <v>23050.6</v>
      </c>
      <c r="M80" s="44" t="inlineStr">
        <is>
          <t>USD</t>
        </is>
      </c>
      <c r="N80" s="44" t="inlineStr">
        <is>
          <t>FOB</t>
        </is>
      </c>
      <c r="O80" s="44" t="inlineStr">
        <is>
          <t>N</t>
        </is>
      </c>
      <c r="P80" s="48" t="n">
        <v>1321.7561</v>
      </c>
      <c r="Q80" s="47">
        <f>IF(OR(L80="",M80="",P80=""),"",L80*P80)</f>
        <v/>
      </c>
    </row>
    <row r="81" ht="15" customHeight="1" s="28">
      <c r="A81" s="44" t="inlineStr">
        <is>
          <t>R-SB-0079</t>
        </is>
      </c>
      <c r="B81" s="45" t="n">
        <v>45148</v>
      </c>
      <c r="C81" s="44" t="inlineStr">
        <is>
          <t>2023-08</t>
        </is>
      </c>
      <c r="D81" s="44" t="n">
        <v>2023</v>
      </c>
      <c r="E81" s="44" t="inlineStr">
        <is>
          <t>P-SB-003</t>
        </is>
      </c>
      <c r="F81" s="44" t="inlineStr">
        <is>
          <t>C-SB-02</t>
        </is>
      </c>
      <c r="G81" s="46" t="inlineStr">
        <is>
          <t>멕시코</t>
        </is>
      </c>
      <c r="H81" s="44" t="inlineStr">
        <is>
          <t>MX</t>
        </is>
      </c>
      <c r="I81" s="47" t="n">
        <v>46593</v>
      </c>
      <c r="J81" s="44" t="inlineStr">
        <is>
          <t>EA</t>
        </is>
      </c>
      <c r="K81" s="48" t="n">
        <v>11.65</v>
      </c>
      <c r="L81" s="48" t="n">
        <v>41013.92</v>
      </c>
      <c r="M81" s="44" t="inlineStr">
        <is>
          <t>USD</t>
        </is>
      </c>
      <c r="N81" s="44" t="inlineStr">
        <is>
          <t>FOB</t>
        </is>
      </c>
      <c r="O81" s="44" t="inlineStr">
        <is>
          <t>N</t>
        </is>
      </c>
      <c r="P81" s="48" t="n">
        <v>1321.7561</v>
      </c>
      <c r="Q81" s="47">
        <f>IF(OR(L81="",M81="",P81=""),"",L81*P81)</f>
        <v/>
      </c>
    </row>
    <row r="82" ht="15" customHeight="1" s="28">
      <c r="A82" s="44" t="inlineStr">
        <is>
          <t>R-SB-0080</t>
        </is>
      </c>
      <c r="B82" s="45" t="n">
        <v>45150</v>
      </c>
      <c r="C82" s="44" t="inlineStr">
        <is>
          <t>2023-08</t>
        </is>
      </c>
      <c r="D82" s="44" t="n">
        <v>2023</v>
      </c>
      <c r="E82" s="44" t="inlineStr">
        <is>
          <t>P-SB-003</t>
        </is>
      </c>
      <c r="F82" s="44" t="inlineStr">
        <is>
          <t>C-SB-01</t>
        </is>
      </c>
      <c r="G82" s="46" t="inlineStr">
        <is>
          <t>미국</t>
        </is>
      </c>
      <c r="H82" s="44" t="inlineStr">
        <is>
          <t>US</t>
        </is>
      </c>
      <c r="I82" s="47" t="n">
        <v>66714</v>
      </c>
      <c r="J82" s="44" t="inlineStr">
        <is>
          <t>EA</t>
        </is>
      </c>
      <c r="K82" s="48" t="n">
        <v>16.68</v>
      </c>
      <c r="L82" s="48" t="n">
        <v>57673.73</v>
      </c>
      <c r="M82" s="44" t="inlineStr">
        <is>
          <t>USD</t>
        </is>
      </c>
      <c r="N82" s="44" t="inlineStr">
        <is>
          <t>FOB</t>
        </is>
      </c>
      <c r="O82" s="44" t="inlineStr">
        <is>
          <t>N</t>
        </is>
      </c>
      <c r="P82" s="48" t="n">
        <v>1321.7561</v>
      </c>
      <c r="Q82" s="47">
        <f>IF(OR(L82="",M82="",P82=""),"",L82*P82)</f>
        <v/>
      </c>
    </row>
    <row r="83" ht="15" customHeight="1" s="28">
      <c r="A83" s="44" t="inlineStr">
        <is>
          <t>R-SB-0081</t>
        </is>
      </c>
      <c r="B83" s="45" t="n">
        <v>45155</v>
      </c>
      <c r="C83" s="44" t="inlineStr">
        <is>
          <t>2023-08</t>
        </is>
      </c>
      <c r="D83" s="44" t="n">
        <v>2023</v>
      </c>
      <c r="E83" s="44" t="inlineStr">
        <is>
          <t>P-SB-001</t>
        </is>
      </c>
      <c r="F83" s="44" t="inlineStr">
        <is>
          <t>C-SB-04</t>
        </is>
      </c>
      <c r="G83" s="46" t="inlineStr">
        <is>
          <t>인도</t>
        </is>
      </c>
      <c r="H83" s="44" t="inlineStr">
        <is>
          <t>IN</t>
        </is>
      </c>
      <c r="I83" s="47" t="n">
        <v>26081</v>
      </c>
      <c r="J83" s="44" t="inlineStr">
        <is>
          <t>EA</t>
        </is>
      </c>
      <c r="K83" s="50" t="n"/>
      <c r="L83" s="48" t="n">
        <v>48989.88</v>
      </c>
      <c r="M83" s="44" t="inlineStr">
        <is>
          <t>USD</t>
        </is>
      </c>
      <c r="N83" s="44" t="inlineStr">
        <is>
          <t>FOB</t>
        </is>
      </c>
      <c r="O83" s="44" t="inlineStr">
        <is>
          <t>N</t>
        </is>
      </c>
      <c r="P83" s="48" t="n">
        <v>1321.7561</v>
      </c>
      <c r="Q83" s="47">
        <f>IF(OR(L83="",M83="",P83=""),"",L83*P83)</f>
        <v/>
      </c>
    </row>
    <row r="84" ht="15" customHeight="1" s="28">
      <c r="A84" s="44" t="inlineStr">
        <is>
          <t>R-SB-0082</t>
        </is>
      </c>
      <c r="B84" s="45" t="n">
        <v>45159</v>
      </c>
      <c r="C84" s="44" t="inlineStr">
        <is>
          <t>2023-08</t>
        </is>
      </c>
      <c r="D84" s="44" t="n">
        <v>2023</v>
      </c>
      <c r="E84" s="44" t="inlineStr">
        <is>
          <t>P-SB-002</t>
        </is>
      </c>
      <c r="F84" s="44" t="inlineStr">
        <is>
          <t>C-SB-01</t>
        </is>
      </c>
      <c r="G84" s="46" t="inlineStr">
        <is>
          <t>미국</t>
        </is>
      </c>
      <c r="H84" s="44" t="inlineStr">
        <is>
          <t>US</t>
        </is>
      </c>
      <c r="I84" s="47" t="n">
        <v>24489</v>
      </c>
      <c r="J84" s="44" t="inlineStr">
        <is>
          <t>EA</t>
        </is>
      </c>
      <c r="K84" s="48" t="n">
        <v>22.04</v>
      </c>
      <c r="L84" s="48" t="n">
        <v>98235.67999999999</v>
      </c>
      <c r="M84" s="49" t="n"/>
      <c r="N84" s="44" t="inlineStr">
        <is>
          <t>FOB</t>
        </is>
      </c>
      <c r="O84" s="44" t="inlineStr">
        <is>
          <t>N</t>
        </is>
      </c>
      <c r="P84" s="48" t="n">
        <v>1321.7561</v>
      </c>
      <c r="Q84" s="47">
        <f>IF(OR(L84="",M84="",P84=""),"",L84*P84)</f>
        <v/>
      </c>
    </row>
    <row r="85" ht="15" customHeight="1" s="28">
      <c r="A85" s="44" t="inlineStr">
        <is>
          <t>R-SB-0083</t>
        </is>
      </c>
      <c r="B85" s="45" t="n">
        <v>45162</v>
      </c>
      <c r="C85" s="44" t="inlineStr">
        <is>
          <t>2023-08</t>
        </is>
      </c>
      <c r="D85" s="44" t="n">
        <v>2023</v>
      </c>
      <c r="E85" s="44" t="inlineStr">
        <is>
          <t>P-SB-003</t>
        </is>
      </c>
      <c r="F85" s="44" t="inlineStr">
        <is>
          <t>C-SB-03</t>
        </is>
      </c>
      <c r="G85" s="46" t="inlineStr">
        <is>
          <t>베트남</t>
        </is>
      </c>
      <c r="H85" s="44" t="inlineStr">
        <is>
          <t>VN</t>
        </is>
      </c>
      <c r="I85" s="47" t="n">
        <v>25596</v>
      </c>
      <c r="J85" s="44" t="inlineStr">
        <is>
          <t>EA</t>
        </is>
      </c>
      <c r="K85" s="48" t="n">
        <v>6.4</v>
      </c>
      <c r="L85" s="48" t="n">
        <v>23825</v>
      </c>
      <c r="M85" s="44" t="inlineStr">
        <is>
          <t>USD</t>
        </is>
      </c>
      <c r="N85" s="44" t="inlineStr">
        <is>
          <t>FOB</t>
        </is>
      </c>
      <c r="O85" s="44" t="inlineStr">
        <is>
          <t>N</t>
        </is>
      </c>
      <c r="P85" s="48" t="n">
        <v>1321.7561</v>
      </c>
      <c r="Q85" s="47">
        <f>IF(OR(L85="",M85="",P85=""),"",L85*P85)</f>
        <v/>
      </c>
    </row>
    <row r="86" ht="15" customHeight="1" s="28">
      <c r="A86" s="44" t="inlineStr">
        <is>
          <t>R-SB-0084</t>
        </is>
      </c>
      <c r="B86" s="45" t="n">
        <v>45164</v>
      </c>
      <c r="C86" s="44" t="inlineStr">
        <is>
          <t>2023-08</t>
        </is>
      </c>
      <c r="D86" s="44" t="n">
        <v>2023</v>
      </c>
      <c r="E86" s="44" t="inlineStr">
        <is>
          <t>P-SB-002</t>
        </is>
      </c>
      <c r="F86" s="44" t="inlineStr">
        <is>
          <t>C-SB-03</t>
        </is>
      </c>
      <c r="G86" s="46" t="inlineStr">
        <is>
          <t>베트남</t>
        </is>
      </c>
      <c r="H86" s="44" t="inlineStr">
        <is>
          <t>VN</t>
        </is>
      </c>
      <c r="I86" s="47" t="n">
        <v>13564</v>
      </c>
      <c r="J86" s="44" t="inlineStr">
        <is>
          <t>EA</t>
        </is>
      </c>
      <c r="K86" s="48" t="n">
        <v>12.21</v>
      </c>
      <c r="L86" s="48" t="n">
        <v>56007.61</v>
      </c>
      <c r="M86" s="44" t="inlineStr">
        <is>
          <t>USD</t>
        </is>
      </c>
      <c r="N86" s="44" t="inlineStr">
        <is>
          <t>FOB</t>
        </is>
      </c>
      <c r="O86" s="44" t="inlineStr">
        <is>
          <t>N</t>
        </is>
      </c>
      <c r="P86" s="48" t="n">
        <v>1321.7561</v>
      </c>
      <c r="Q86" s="47">
        <f>IF(OR(L86="",M86="",P86=""),"",L86*P86)</f>
        <v/>
      </c>
    </row>
    <row r="87" ht="15" customHeight="1" s="28">
      <c r="A87" s="44" t="inlineStr">
        <is>
          <t>R-SB-0085</t>
        </is>
      </c>
      <c r="B87" s="45" t="n">
        <v>45165</v>
      </c>
      <c r="C87" s="44" t="inlineStr">
        <is>
          <t>2023-08</t>
        </is>
      </c>
      <c r="D87" s="44" t="n">
        <v>2023</v>
      </c>
      <c r="E87" s="44" t="inlineStr">
        <is>
          <t>P-SB-003</t>
        </is>
      </c>
      <c r="F87" s="44" t="inlineStr">
        <is>
          <t>C-SB-04</t>
        </is>
      </c>
      <c r="G87" s="46" t="inlineStr">
        <is>
          <t>인도</t>
        </is>
      </c>
      <c r="H87" s="44" t="inlineStr">
        <is>
          <t>IN</t>
        </is>
      </c>
      <c r="I87" s="47" t="n">
        <v>11694</v>
      </c>
      <c r="J87" s="44" t="inlineStr">
        <is>
          <t>EA</t>
        </is>
      </c>
      <c r="K87" s="48" t="n">
        <v>2.92</v>
      </c>
      <c r="L87" s="48" t="n">
        <v>10456.19</v>
      </c>
      <c r="M87" s="44" t="inlineStr">
        <is>
          <t>USD</t>
        </is>
      </c>
      <c r="N87" s="44" t="inlineStr">
        <is>
          <t>FOB</t>
        </is>
      </c>
      <c r="O87" s="44" t="inlineStr">
        <is>
          <t>N</t>
        </is>
      </c>
      <c r="P87" s="48" t="n">
        <v>1321.7561</v>
      </c>
      <c r="Q87" s="47">
        <f>IF(OR(L87="",M87="",P87=""),"",L87*P87)</f>
        <v/>
      </c>
    </row>
    <row r="88" ht="15" customHeight="1" s="28">
      <c r="A88" s="44" t="inlineStr">
        <is>
          <t>R-SB-0086</t>
        </is>
      </c>
      <c r="B88" s="45" t="n">
        <v>45173</v>
      </c>
      <c r="C88" s="44" t="inlineStr">
        <is>
          <t>2023-09</t>
        </is>
      </c>
      <c r="D88" s="44" t="n">
        <v>2023</v>
      </c>
      <c r="E88" s="44" t="inlineStr">
        <is>
          <t>P-SB-001</t>
        </is>
      </c>
      <c r="F88" s="44" t="inlineStr">
        <is>
          <t>C-SB-04</t>
        </is>
      </c>
      <c r="G88" s="46" t="inlineStr">
        <is>
          <t>인도</t>
        </is>
      </c>
      <c r="H88" s="44" t="inlineStr">
        <is>
          <t>IN</t>
        </is>
      </c>
      <c r="I88" s="47" t="n">
        <v>21300</v>
      </c>
      <c r="J88" s="44" t="inlineStr">
        <is>
          <t>EA</t>
        </is>
      </c>
      <c r="K88" s="48" t="n">
        <v>7.45</v>
      </c>
      <c r="L88" s="48" t="n">
        <v>39524.7</v>
      </c>
      <c r="M88" s="44" t="inlineStr">
        <is>
          <t>USD</t>
        </is>
      </c>
      <c r="N88" s="44" t="inlineStr">
        <is>
          <t>FOB</t>
        </is>
      </c>
      <c r="O88" s="44" t="inlineStr">
        <is>
          <t>N</t>
        </is>
      </c>
      <c r="P88" s="48" t="n">
        <v>1334.237</v>
      </c>
      <c r="Q88" s="47">
        <f>IF(OR(L88="",M88="",P88=""),"",L88*P88)</f>
        <v/>
      </c>
    </row>
    <row r="89" ht="15" customHeight="1" s="28">
      <c r="A89" s="44" t="inlineStr">
        <is>
          <t>R-SB-0087</t>
        </is>
      </c>
      <c r="B89" s="45" t="n">
        <v>45176</v>
      </c>
      <c r="C89" s="44" t="inlineStr">
        <is>
          <t>2023-09</t>
        </is>
      </c>
      <c r="D89" s="44" t="n">
        <v>2023</v>
      </c>
      <c r="E89" s="44" t="inlineStr">
        <is>
          <t>P-SB-002</t>
        </is>
      </c>
      <c r="F89" s="44" t="inlineStr">
        <is>
          <t>C-SB-04</t>
        </is>
      </c>
      <c r="G89" s="46" t="inlineStr">
        <is>
          <t>인도</t>
        </is>
      </c>
      <c r="H89" s="44" t="inlineStr">
        <is>
          <t>IN</t>
        </is>
      </c>
      <c r="I89" s="47" t="n">
        <v>6857</v>
      </c>
      <c r="J89" s="44" t="inlineStr">
        <is>
          <t>EA</t>
        </is>
      </c>
      <c r="K89" s="48" t="n">
        <v>6.17</v>
      </c>
      <c r="L89" s="48" t="n">
        <v>27182.42</v>
      </c>
      <c r="M89" s="44" t="inlineStr">
        <is>
          <t>USD</t>
        </is>
      </c>
      <c r="N89" s="44" t="inlineStr">
        <is>
          <t>FOB</t>
        </is>
      </c>
      <c r="O89" s="44" t="inlineStr">
        <is>
          <t>N</t>
        </is>
      </c>
      <c r="P89" s="48" t="n">
        <v>1334.237</v>
      </c>
      <c r="Q89" s="47">
        <f>IF(OR(L89="",M89="",P89=""),"",L89*P89)</f>
        <v/>
      </c>
    </row>
    <row r="90" ht="15" customHeight="1" s="28">
      <c r="A90" s="44" t="inlineStr">
        <is>
          <t>R-SB-0088</t>
        </is>
      </c>
      <c r="B90" s="45" t="n">
        <v>45180</v>
      </c>
      <c r="C90" s="44" t="inlineStr">
        <is>
          <t>2023-09</t>
        </is>
      </c>
      <c r="D90" s="44" t="n">
        <v>2023</v>
      </c>
      <c r="E90" s="44" t="inlineStr">
        <is>
          <t>P-SB-003</t>
        </is>
      </c>
      <c r="F90" s="44" t="inlineStr">
        <is>
          <t>C-SB-01</t>
        </is>
      </c>
      <c r="G90" s="46" t="inlineStr">
        <is>
          <t>미국</t>
        </is>
      </c>
      <c r="H90" s="44" t="inlineStr">
        <is>
          <t>US</t>
        </is>
      </c>
      <c r="I90" s="47" t="n">
        <v>79758</v>
      </c>
      <c r="J90" s="44" t="inlineStr">
        <is>
          <t>EA</t>
        </is>
      </c>
      <c r="K90" s="48" t="n">
        <v>19.94</v>
      </c>
      <c r="L90" s="48" t="n">
        <v>72406.88</v>
      </c>
      <c r="M90" s="44" t="inlineStr">
        <is>
          <t>USD</t>
        </is>
      </c>
      <c r="N90" s="44" t="inlineStr">
        <is>
          <t>FOB</t>
        </is>
      </c>
      <c r="O90" s="44" t="inlineStr">
        <is>
          <t>N</t>
        </is>
      </c>
      <c r="P90" s="48" t="n">
        <v>1334.237</v>
      </c>
      <c r="Q90" s="47">
        <f>IF(OR(L90="",M90="",P90=""),"",L90*P90)</f>
        <v/>
      </c>
    </row>
    <row r="91" ht="15" customHeight="1" s="28">
      <c r="A91" s="44" t="inlineStr">
        <is>
          <t>R-SB-0089</t>
        </is>
      </c>
      <c r="B91" s="45" t="n">
        <v>45185</v>
      </c>
      <c r="C91" s="44" t="inlineStr">
        <is>
          <t>2023-09</t>
        </is>
      </c>
      <c r="D91" s="44" t="n">
        <v>2023</v>
      </c>
      <c r="E91" s="44" t="inlineStr">
        <is>
          <t>P-SB-002</t>
        </is>
      </c>
      <c r="F91" s="44" t="inlineStr">
        <is>
          <t>C-SB-03</t>
        </is>
      </c>
      <c r="G91" s="46" t="inlineStr">
        <is>
          <t>베트남</t>
        </is>
      </c>
      <c r="H91" s="44" t="inlineStr">
        <is>
          <t>VN</t>
        </is>
      </c>
      <c r="I91" s="47" t="n">
        <v>13826</v>
      </c>
      <c r="J91" s="44" t="inlineStr">
        <is>
          <t>EA</t>
        </is>
      </c>
      <c r="K91" s="48" t="n">
        <v>12.44</v>
      </c>
      <c r="L91" s="48" t="n">
        <v>52564.22</v>
      </c>
      <c r="M91" s="44" t="inlineStr">
        <is>
          <t>USD</t>
        </is>
      </c>
      <c r="N91" s="44" t="inlineStr">
        <is>
          <t>FOB</t>
        </is>
      </c>
      <c r="O91" s="44" t="inlineStr">
        <is>
          <t>N</t>
        </is>
      </c>
      <c r="P91" s="48" t="n">
        <v>1334.237</v>
      </c>
      <c r="Q91" s="47">
        <f>IF(OR(L91="",M91="",P91=""),"",L91*P91)</f>
        <v/>
      </c>
    </row>
    <row r="92" ht="15" customHeight="1" s="28">
      <c r="A92" s="44" t="inlineStr">
        <is>
          <t>R-SB-0090</t>
        </is>
      </c>
      <c r="B92" s="52" t="n"/>
      <c r="C92" s="49" t="n"/>
      <c r="D92" s="49" t="n"/>
      <c r="E92" s="44" t="inlineStr">
        <is>
          <t>P-SB-003</t>
        </is>
      </c>
      <c r="F92" s="44" t="inlineStr">
        <is>
          <t>C-SB-03</t>
        </is>
      </c>
      <c r="G92" s="46" t="inlineStr">
        <is>
          <t>베트남</t>
        </is>
      </c>
      <c r="H92" s="44" t="inlineStr">
        <is>
          <t>VN</t>
        </is>
      </c>
      <c r="I92" s="47" t="n">
        <v>33299</v>
      </c>
      <c r="J92" s="44" t="inlineStr">
        <is>
          <t>EA</t>
        </is>
      </c>
      <c r="K92" s="48" t="n">
        <v>8.32</v>
      </c>
      <c r="L92" s="48" t="n">
        <v>29062.38</v>
      </c>
      <c r="M92" s="44" t="inlineStr">
        <is>
          <t>USD</t>
        </is>
      </c>
      <c r="N92" s="44" t="inlineStr">
        <is>
          <t>FOB</t>
        </is>
      </c>
      <c r="O92" s="44" t="inlineStr">
        <is>
          <t>N</t>
        </is>
      </c>
      <c r="P92" s="50" t="n"/>
      <c r="Q92" s="47">
        <f>IF(OR(L92="",M92="",P92=""),"",L92*P92)</f>
        <v/>
      </c>
    </row>
    <row r="93" ht="15" customHeight="1" s="28">
      <c r="A93" s="44" t="inlineStr">
        <is>
          <t>R-SB-0091</t>
        </is>
      </c>
      <c r="B93" s="45" t="n">
        <v>45186</v>
      </c>
      <c r="C93" s="44" t="inlineStr">
        <is>
          <t>2023-09</t>
        </is>
      </c>
      <c r="D93" s="44" t="n">
        <v>2023</v>
      </c>
      <c r="E93" s="44" t="inlineStr">
        <is>
          <t>P-SB-002</t>
        </is>
      </c>
      <c r="F93" s="44" t="inlineStr">
        <is>
          <t>C-SB-01</t>
        </is>
      </c>
      <c r="G93" s="46" t="inlineStr">
        <is>
          <t>미국</t>
        </is>
      </c>
      <c r="H93" s="44" t="inlineStr">
        <is>
          <t>US</t>
        </is>
      </c>
      <c r="I93" s="47" t="n">
        <v>37482</v>
      </c>
      <c r="J93" s="44" t="inlineStr">
        <is>
          <t>EA</t>
        </is>
      </c>
      <c r="K93" s="48" t="n">
        <v>33.73</v>
      </c>
      <c r="L93" s="48" t="n">
        <v>156357.04</v>
      </c>
      <c r="M93" s="44" t="inlineStr">
        <is>
          <t>USD</t>
        </is>
      </c>
      <c r="N93" s="44" t="inlineStr">
        <is>
          <t>FOB</t>
        </is>
      </c>
      <c r="O93" s="44" t="inlineStr">
        <is>
          <t>N</t>
        </is>
      </c>
      <c r="P93" s="48" t="n">
        <v>1334.237</v>
      </c>
      <c r="Q93" s="47">
        <f>IF(OR(L93="",M93="",P93=""),"",L93*P93)</f>
        <v/>
      </c>
    </row>
    <row r="94" ht="15" customHeight="1" s="28">
      <c r="A94" s="44" t="inlineStr">
        <is>
          <t>R-SB-0092</t>
        </is>
      </c>
      <c r="B94" s="45" t="n">
        <v>45188</v>
      </c>
      <c r="C94" s="44" t="inlineStr">
        <is>
          <t>2023-09</t>
        </is>
      </c>
      <c r="D94" s="44" t="n">
        <v>2023</v>
      </c>
      <c r="E94" s="44" t="inlineStr">
        <is>
          <t>P-SB-003</t>
        </is>
      </c>
      <c r="F94" s="44" t="inlineStr">
        <is>
          <t>C-SB-04</t>
        </is>
      </c>
      <c r="G94" s="46" t="inlineStr">
        <is>
          <t>인도</t>
        </is>
      </c>
      <c r="H94" s="44" t="inlineStr">
        <is>
          <t>IN</t>
        </is>
      </c>
      <c r="I94" s="47" t="n">
        <v>18093</v>
      </c>
      <c r="J94" s="44" t="inlineStr">
        <is>
          <t>EA</t>
        </is>
      </c>
      <c r="K94" s="48" t="n">
        <v>4.52</v>
      </c>
      <c r="L94" s="48" t="n">
        <v>16085.85</v>
      </c>
      <c r="M94" s="44" t="inlineStr">
        <is>
          <t>USD</t>
        </is>
      </c>
      <c r="N94" s="44" t="inlineStr">
        <is>
          <t>FOB</t>
        </is>
      </c>
      <c r="O94" s="44" t="inlineStr">
        <is>
          <t>N</t>
        </is>
      </c>
      <c r="P94" s="48" t="n">
        <v>1334.237</v>
      </c>
      <c r="Q94" s="47">
        <f>IF(OR(L94="",M94="",P94=""),"",L94*P94)</f>
        <v/>
      </c>
    </row>
    <row r="95" ht="15" customHeight="1" s="28">
      <c r="A95" s="44" t="inlineStr">
        <is>
          <t>R-SB-0093</t>
        </is>
      </c>
      <c r="B95" s="45" t="n">
        <v>45191</v>
      </c>
      <c r="C95" s="44" t="inlineStr">
        <is>
          <t>2023-09</t>
        </is>
      </c>
      <c r="D95" s="44" t="n">
        <v>2023</v>
      </c>
      <c r="E95" s="44" t="inlineStr">
        <is>
          <t>P-SB-001</t>
        </is>
      </c>
      <c r="F95" s="44" t="inlineStr">
        <is>
          <t>C-SB-01</t>
        </is>
      </c>
      <c r="G95" s="46" t="inlineStr">
        <is>
          <t>미국</t>
        </is>
      </c>
      <c r="H95" s="44" t="inlineStr">
        <is>
          <t>US</t>
        </is>
      </c>
      <c r="I95" s="47" t="n">
        <v>118413</v>
      </c>
      <c r="J95" s="44" t="inlineStr">
        <is>
          <t>EA</t>
        </is>
      </c>
      <c r="K95" s="48" t="n">
        <v>41.44</v>
      </c>
      <c r="L95" s="48" t="n">
        <v>218741.97</v>
      </c>
      <c r="M95" s="44" t="inlineStr">
        <is>
          <t>USD</t>
        </is>
      </c>
      <c r="N95" s="44" t="inlineStr">
        <is>
          <t>FOB</t>
        </is>
      </c>
      <c r="O95" s="44" t="inlineStr">
        <is>
          <t>N</t>
        </is>
      </c>
      <c r="P95" s="48" t="n">
        <v>1334.237</v>
      </c>
      <c r="Q95" s="47">
        <f>IF(OR(L95="",M95="",P95=""),"",L95*P95)</f>
        <v/>
      </c>
    </row>
    <row r="96" ht="15" customHeight="1" s="28">
      <c r="A96" s="44" t="inlineStr">
        <is>
          <t>R-SB-0094</t>
        </is>
      </c>
      <c r="B96" s="45" t="n">
        <v>45191</v>
      </c>
      <c r="C96" s="44" t="inlineStr">
        <is>
          <t>2023-09</t>
        </is>
      </c>
      <c r="D96" s="44" t="n">
        <v>2023</v>
      </c>
      <c r="E96" s="44" t="inlineStr">
        <is>
          <t>P-SB-003</t>
        </is>
      </c>
      <c r="F96" s="44" t="inlineStr">
        <is>
          <t>C-SB-02</t>
        </is>
      </c>
      <c r="G96" s="46" t="inlineStr">
        <is>
          <t>멕시코</t>
        </is>
      </c>
      <c r="H96" s="44" t="inlineStr">
        <is>
          <t>MX</t>
        </is>
      </c>
      <c r="I96" s="47" t="n">
        <v>49061</v>
      </c>
      <c r="J96" s="44" t="inlineStr">
        <is>
          <t>EA</t>
        </is>
      </c>
      <c r="K96" s="48" t="n">
        <v>12.27</v>
      </c>
      <c r="L96" s="48" t="n">
        <v>43551.51</v>
      </c>
      <c r="M96" s="44" t="inlineStr">
        <is>
          <t>USD</t>
        </is>
      </c>
      <c r="N96" s="44" t="inlineStr">
        <is>
          <t>FOB</t>
        </is>
      </c>
      <c r="O96" s="44" t="inlineStr">
        <is>
          <t>N</t>
        </is>
      </c>
      <c r="P96" s="48" t="n">
        <v>1334.237</v>
      </c>
      <c r="Q96" s="47">
        <f>IF(OR(L96="",M96="",P96=""),"",L96*P96)</f>
        <v/>
      </c>
    </row>
    <row r="97" ht="15" customHeight="1" s="28">
      <c r="A97" s="44" t="inlineStr">
        <is>
          <t>R-SB-0095</t>
        </is>
      </c>
      <c r="B97" s="45" t="n">
        <v>45192</v>
      </c>
      <c r="C97" s="44" t="inlineStr">
        <is>
          <t>2023-09</t>
        </is>
      </c>
      <c r="D97" s="44" t="n">
        <v>2023</v>
      </c>
      <c r="E97" s="44" t="inlineStr">
        <is>
          <t>P-SB-001</t>
        </is>
      </c>
      <c r="F97" s="44" t="inlineStr">
        <is>
          <t>C-SB-02</t>
        </is>
      </c>
      <c r="G97" s="46" t="inlineStr">
        <is>
          <t>멕시코</t>
        </is>
      </c>
      <c r="H97" s="44" t="inlineStr">
        <is>
          <t>MX</t>
        </is>
      </c>
      <c r="I97" s="47" t="n">
        <v>73852</v>
      </c>
      <c r="J97" s="44" t="inlineStr">
        <is>
          <t>EA</t>
        </is>
      </c>
      <c r="K97" s="48" t="n">
        <v>25.85</v>
      </c>
      <c r="L97" s="48" t="n">
        <v>128314.78</v>
      </c>
      <c r="M97" s="44" t="inlineStr">
        <is>
          <t>USD</t>
        </is>
      </c>
      <c r="N97" s="44" t="inlineStr">
        <is>
          <t>FOB</t>
        </is>
      </c>
      <c r="O97" s="44" t="inlineStr">
        <is>
          <t>N</t>
        </is>
      </c>
      <c r="P97" s="48" t="n">
        <v>1334.237</v>
      </c>
      <c r="Q97" s="47">
        <f>IF(OR(L97="",M97="",P97=""),"",L97*P97)</f>
        <v/>
      </c>
    </row>
    <row r="98" ht="15" customHeight="1" s="28">
      <c r="A98" s="44" t="inlineStr">
        <is>
          <t>R-SB-0096</t>
        </is>
      </c>
      <c r="B98" s="45" t="n">
        <v>45193</v>
      </c>
      <c r="C98" s="44" t="inlineStr">
        <is>
          <t>2023-09</t>
        </is>
      </c>
      <c r="D98" s="44" t="n">
        <v>2023</v>
      </c>
      <c r="E98" s="44" t="inlineStr">
        <is>
          <t>P-SB-002</t>
        </is>
      </c>
      <c r="F98" s="44" t="inlineStr">
        <is>
          <t>C-SB-02</t>
        </is>
      </c>
      <c r="G98" s="46" t="inlineStr">
        <is>
          <t>멕시코</t>
        </is>
      </c>
      <c r="H98" s="44" t="inlineStr">
        <is>
          <t>MX</t>
        </is>
      </c>
      <c r="I98" s="47" t="n">
        <v>17902</v>
      </c>
      <c r="J98" s="44" t="inlineStr">
        <is>
          <t>EA</t>
        </is>
      </c>
      <c r="K98" s="48" t="n">
        <v>16.11</v>
      </c>
      <c r="L98" s="48" t="n">
        <v>73061.17</v>
      </c>
      <c r="M98" s="44" t="inlineStr">
        <is>
          <t>USD</t>
        </is>
      </c>
      <c r="N98" s="44" t="inlineStr">
        <is>
          <t>FOB</t>
        </is>
      </c>
      <c r="O98" s="44" t="inlineStr">
        <is>
          <t>N</t>
        </is>
      </c>
      <c r="P98" s="48" t="n">
        <v>1334.237</v>
      </c>
      <c r="Q98" s="47">
        <f>IF(OR(L98="",M98="",P98=""),"",L98*P98)</f>
        <v/>
      </c>
    </row>
    <row r="99" ht="15" customHeight="1" s="28">
      <c r="A99" s="44" t="inlineStr">
        <is>
          <t>R-SB-0097</t>
        </is>
      </c>
      <c r="B99" s="45" t="n">
        <v>45194</v>
      </c>
      <c r="C99" s="44" t="inlineStr">
        <is>
          <t>2023-09</t>
        </is>
      </c>
      <c r="D99" s="44" t="n">
        <v>2023</v>
      </c>
      <c r="E99" s="44" t="inlineStr">
        <is>
          <t>P-SB-001</t>
        </is>
      </c>
      <c r="F99" s="44" t="inlineStr">
        <is>
          <t>C-SB-03</t>
        </is>
      </c>
      <c r="G99" s="49" t="n"/>
      <c r="H99" s="49" t="n"/>
      <c r="I99" s="47" t="n">
        <v>45539</v>
      </c>
      <c r="J99" s="44" t="inlineStr">
        <is>
          <t>EA</t>
        </is>
      </c>
      <c r="K99" s="48" t="n">
        <v>15.94</v>
      </c>
      <c r="L99" s="48" t="n">
        <v>82318.10000000001</v>
      </c>
      <c r="M99" s="44" t="inlineStr">
        <is>
          <t>USD</t>
        </is>
      </c>
      <c r="N99" s="44" t="inlineStr">
        <is>
          <t>FOB</t>
        </is>
      </c>
      <c r="O99" s="44" t="inlineStr">
        <is>
          <t>N</t>
        </is>
      </c>
      <c r="P99" s="48" t="n">
        <v>1334.237</v>
      </c>
      <c r="Q99" s="47">
        <f>IF(OR(L99="",M99="",P99=""),"",L99*P99)</f>
        <v/>
      </c>
    </row>
    <row r="100" ht="15" customHeight="1" s="28">
      <c r="A100" s="44" t="inlineStr">
        <is>
          <t>R-SB-0098</t>
        </is>
      </c>
      <c r="B100" s="45" t="n">
        <v>45207</v>
      </c>
      <c r="C100" s="44" t="inlineStr">
        <is>
          <t>2023-10</t>
        </is>
      </c>
      <c r="D100" s="44" t="n">
        <v>2023</v>
      </c>
      <c r="E100" s="44" t="inlineStr">
        <is>
          <t>P-SB-003</t>
        </is>
      </c>
      <c r="F100" s="44" t="inlineStr">
        <is>
          <t>C-SB-01</t>
        </is>
      </c>
      <c r="G100" s="46" t="inlineStr">
        <is>
          <t>미국</t>
        </is>
      </c>
      <c r="H100" s="44" t="inlineStr">
        <is>
          <t>US</t>
        </is>
      </c>
      <c r="I100" s="47" t="n">
        <v>58737</v>
      </c>
      <c r="J100" s="44" t="inlineStr">
        <is>
          <t>EA</t>
        </is>
      </c>
      <c r="K100" s="48" t="n">
        <v>14.68</v>
      </c>
      <c r="L100" s="48" t="n">
        <v>52436.15</v>
      </c>
      <c r="M100" s="44" t="inlineStr">
        <is>
          <t>USD</t>
        </is>
      </c>
      <c r="N100" s="44" t="inlineStr">
        <is>
          <t>FOB</t>
        </is>
      </c>
      <c r="O100" s="44" t="inlineStr">
        <is>
          <t>N</t>
        </is>
      </c>
      <c r="P100" s="48" t="n">
        <v>1351.5071</v>
      </c>
      <c r="Q100" s="47">
        <f>IF(OR(L100="",M100="",P100=""),"",L100*P100)</f>
        <v/>
      </c>
    </row>
    <row r="101" ht="15" customHeight="1" s="28">
      <c r="A101" s="44" t="inlineStr">
        <is>
          <t>R-SB-0099</t>
        </is>
      </c>
      <c r="B101" s="45" t="n">
        <v>45210</v>
      </c>
      <c r="C101" s="44" t="inlineStr">
        <is>
          <t>2023-10</t>
        </is>
      </c>
      <c r="D101" s="44" t="n">
        <v>2023</v>
      </c>
      <c r="E101" s="44" t="inlineStr">
        <is>
          <t>P-SB-003</t>
        </is>
      </c>
      <c r="F101" s="44" t="inlineStr">
        <is>
          <t>C-SB-04</t>
        </is>
      </c>
      <c r="G101" s="46" t="inlineStr">
        <is>
          <t>인도</t>
        </is>
      </c>
      <c r="H101" s="44" t="inlineStr">
        <is>
          <t>IN</t>
        </is>
      </c>
      <c r="I101" s="47" t="n">
        <v>18623</v>
      </c>
      <c r="J101" s="44" t="inlineStr">
        <is>
          <t>EA</t>
        </is>
      </c>
      <c r="K101" s="48" t="n">
        <v>4.66</v>
      </c>
      <c r="L101" s="48" t="n">
        <v>16224.97</v>
      </c>
      <c r="M101" s="44" t="inlineStr">
        <is>
          <t>USD</t>
        </is>
      </c>
      <c r="N101" s="44" t="inlineStr">
        <is>
          <t>FOB</t>
        </is>
      </c>
      <c r="O101" s="44" t="inlineStr">
        <is>
          <t>N</t>
        </is>
      </c>
      <c r="P101" s="48" t="n">
        <v>1351.5071</v>
      </c>
      <c r="Q101" s="47">
        <f>IF(OR(L101="",M101="",P101=""),"",L101*P101)</f>
        <v/>
      </c>
    </row>
    <row r="102" ht="15" customHeight="1" s="28">
      <c r="A102" s="44" t="inlineStr">
        <is>
          <t>R-SB-0100</t>
        </is>
      </c>
      <c r="B102" s="45" t="n">
        <v>45211</v>
      </c>
      <c r="C102" s="44" t="inlineStr">
        <is>
          <t>2023-10</t>
        </is>
      </c>
      <c r="D102" s="44" t="n">
        <v>2023</v>
      </c>
      <c r="E102" s="44" t="inlineStr">
        <is>
          <t>P-SB-001</t>
        </is>
      </c>
      <c r="F102" s="44" t="inlineStr">
        <is>
          <t>C-SB-01</t>
        </is>
      </c>
      <c r="G102" s="46" t="inlineStr">
        <is>
          <t>미국</t>
        </is>
      </c>
      <c r="H102" s="44" t="inlineStr">
        <is>
          <t>US</t>
        </is>
      </c>
      <c r="I102" s="47" t="n">
        <v>131567</v>
      </c>
      <c r="J102" s="44" t="inlineStr">
        <is>
          <t>EA</t>
        </is>
      </c>
      <c r="K102" s="48" t="n">
        <v>46.05</v>
      </c>
      <c r="L102" s="48" t="n">
        <v>227629.23</v>
      </c>
      <c r="M102" s="44" t="inlineStr">
        <is>
          <t>USD</t>
        </is>
      </c>
      <c r="N102" s="44" t="inlineStr">
        <is>
          <t>FOB</t>
        </is>
      </c>
      <c r="O102" s="44" t="inlineStr">
        <is>
          <t>N</t>
        </is>
      </c>
      <c r="P102" s="48" t="n">
        <v>1351.5071</v>
      </c>
      <c r="Q102" s="47">
        <f>IF(OR(L102="",M102="",P102=""),"",L102*P102)</f>
        <v/>
      </c>
    </row>
    <row r="103" ht="15" customHeight="1" s="28">
      <c r="A103" s="44" t="inlineStr">
        <is>
          <t>R-SB-0101</t>
        </is>
      </c>
      <c r="B103" s="45" t="n">
        <v>45212</v>
      </c>
      <c r="C103" s="44" t="inlineStr">
        <is>
          <t>2023-10</t>
        </is>
      </c>
      <c r="D103" s="44" t="n">
        <v>2023</v>
      </c>
      <c r="E103" s="44" t="inlineStr">
        <is>
          <t>P-SB-001</t>
        </is>
      </c>
      <c r="F103" s="44" t="inlineStr">
        <is>
          <t>C-SB-04</t>
        </is>
      </c>
      <c r="G103" s="46" t="inlineStr">
        <is>
          <t>인도</t>
        </is>
      </c>
      <c r="H103" s="44" t="inlineStr">
        <is>
          <t>IN</t>
        </is>
      </c>
      <c r="I103" s="47" t="n">
        <v>29686</v>
      </c>
      <c r="J103" s="44" t="inlineStr">
        <is>
          <t>EA</t>
        </is>
      </c>
      <c r="K103" s="48" t="n">
        <v>10.39</v>
      </c>
      <c r="L103" s="48" t="n">
        <v>54161.46</v>
      </c>
      <c r="M103" s="44" t="inlineStr">
        <is>
          <t>USD</t>
        </is>
      </c>
      <c r="N103" s="44" t="inlineStr">
        <is>
          <t>FOB</t>
        </is>
      </c>
      <c r="O103" s="44" t="inlineStr">
        <is>
          <t>N</t>
        </is>
      </c>
      <c r="P103" s="48" t="n">
        <v>1351.5071</v>
      </c>
      <c r="Q103" s="47">
        <f>IF(OR(L103="",M103="",P103=""),"",L103*P103)</f>
        <v/>
      </c>
    </row>
    <row r="104" ht="15" customHeight="1" s="28">
      <c r="A104" s="44" t="inlineStr">
        <is>
          <t>R-SB-0102</t>
        </is>
      </c>
      <c r="B104" s="45" t="n">
        <v>45212</v>
      </c>
      <c r="C104" s="44" t="inlineStr">
        <is>
          <t>2023-10</t>
        </is>
      </c>
      <c r="D104" s="44" t="n">
        <v>2023</v>
      </c>
      <c r="E104" s="44" t="inlineStr">
        <is>
          <t>P-SB-002</t>
        </is>
      </c>
      <c r="F104" s="44" t="inlineStr">
        <is>
          <t>C-SB-04</t>
        </is>
      </c>
      <c r="G104" s="46" t="inlineStr">
        <is>
          <t>인도</t>
        </is>
      </c>
      <c r="H104" s="44" t="inlineStr">
        <is>
          <t>IN</t>
        </is>
      </c>
      <c r="I104" s="47" t="n">
        <v>8584</v>
      </c>
      <c r="J104" s="44" t="inlineStr">
        <is>
          <t>EA</t>
        </is>
      </c>
      <c r="K104" s="48" t="n">
        <v>7.73</v>
      </c>
      <c r="L104" s="48" t="n">
        <v>33410.64</v>
      </c>
      <c r="M104" s="44" t="inlineStr">
        <is>
          <t>USD</t>
        </is>
      </c>
      <c r="N104" s="44" t="inlineStr">
        <is>
          <t>FOB</t>
        </is>
      </c>
      <c r="O104" s="44" t="inlineStr">
        <is>
          <t>N</t>
        </is>
      </c>
      <c r="P104" s="48" t="n">
        <v>1351.5071</v>
      </c>
      <c r="Q104" s="47">
        <f>IF(OR(L104="",M104="",P104=""),"",L104*P104)</f>
        <v/>
      </c>
    </row>
    <row r="105" ht="15" customHeight="1" s="28">
      <c r="A105" s="44" t="inlineStr">
        <is>
          <t>R-SB-0103</t>
        </is>
      </c>
      <c r="B105" s="45" t="n">
        <v>45213</v>
      </c>
      <c r="C105" s="44" t="inlineStr">
        <is>
          <t>2023-10</t>
        </is>
      </c>
      <c r="D105" s="44" t="n">
        <v>2023</v>
      </c>
      <c r="E105" s="44" t="inlineStr">
        <is>
          <t>P-SB-002</t>
        </is>
      </c>
      <c r="F105" s="44" t="inlineStr">
        <is>
          <t>C-SB-02</t>
        </is>
      </c>
      <c r="G105" s="46" t="inlineStr">
        <is>
          <t>멕시코</t>
        </is>
      </c>
      <c r="H105" s="44" t="inlineStr">
        <is>
          <t>MX</t>
        </is>
      </c>
      <c r="I105" s="51" t="n"/>
      <c r="J105" s="44" t="inlineStr">
        <is>
          <t>EA</t>
        </is>
      </c>
      <c r="K105" s="48" t="n">
        <v>18.27</v>
      </c>
      <c r="L105" s="48" t="n">
        <v>80989.24000000001</v>
      </c>
      <c r="M105" s="44" t="inlineStr">
        <is>
          <t>USD</t>
        </is>
      </c>
      <c r="N105" s="44" t="inlineStr">
        <is>
          <t>FOB</t>
        </is>
      </c>
      <c r="O105" s="44" t="inlineStr">
        <is>
          <t>N</t>
        </is>
      </c>
      <c r="P105" s="48" t="n">
        <v>1351.5071</v>
      </c>
      <c r="Q105" s="47">
        <f>IF(OR(L105="",M105="",P105=""),"",L105*P105)</f>
        <v/>
      </c>
    </row>
    <row r="106" ht="15" customHeight="1" s="28">
      <c r="A106" s="44" t="inlineStr">
        <is>
          <t>R-SB-0104</t>
        </is>
      </c>
      <c r="B106" s="45" t="n">
        <v>45216</v>
      </c>
      <c r="C106" s="44" t="inlineStr">
        <is>
          <t>2023-10</t>
        </is>
      </c>
      <c r="D106" s="44" t="n">
        <v>2023</v>
      </c>
      <c r="E106" s="44" t="inlineStr">
        <is>
          <t>P-SB-001</t>
        </is>
      </c>
      <c r="F106" s="44" t="inlineStr">
        <is>
          <t>C-SB-02</t>
        </is>
      </c>
      <c r="G106" s="46" t="inlineStr">
        <is>
          <t>멕시코</t>
        </is>
      </c>
      <c r="H106" s="44" t="inlineStr">
        <is>
          <t>MX</t>
        </is>
      </c>
      <c r="I106" s="47" t="n">
        <v>80370</v>
      </c>
      <c r="J106" s="44" t="inlineStr">
        <is>
          <t>EA</t>
        </is>
      </c>
      <c r="K106" s="48" t="n">
        <v>28.13</v>
      </c>
      <c r="L106" s="48" t="n">
        <v>148127.89</v>
      </c>
      <c r="M106" s="44" t="inlineStr">
        <is>
          <t>USD</t>
        </is>
      </c>
      <c r="N106" s="44" t="inlineStr">
        <is>
          <t>FOB</t>
        </is>
      </c>
      <c r="O106" s="44" t="inlineStr">
        <is>
          <t>N</t>
        </is>
      </c>
      <c r="P106" s="48" t="n">
        <v>1351.5071</v>
      </c>
      <c r="Q106" s="47">
        <f>IF(OR(L106="",M106="",P106=""),"",L106*P106)</f>
        <v/>
      </c>
    </row>
    <row r="107" ht="15" customHeight="1" s="28">
      <c r="A107" s="44" t="inlineStr">
        <is>
          <t>R-SB-0105</t>
        </is>
      </c>
      <c r="B107" s="45" t="n">
        <v>45216</v>
      </c>
      <c r="C107" s="44" t="inlineStr">
        <is>
          <t>2023-10</t>
        </is>
      </c>
      <c r="D107" s="44" t="n">
        <v>2023</v>
      </c>
      <c r="E107" s="44" t="inlineStr">
        <is>
          <t>P-SB-002</t>
        </is>
      </c>
      <c r="F107" s="44" t="inlineStr">
        <is>
          <t>C-SB-03</t>
        </is>
      </c>
      <c r="G107" s="46" t="inlineStr">
        <is>
          <t>베트남</t>
        </is>
      </c>
      <c r="H107" s="44" t="inlineStr">
        <is>
          <t>VN</t>
        </is>
      </c>
      <c r="I107" s="47" t="n">
        <v>11534</v>
      </c>
      <c r="J107" s="44" t="inlineStr">
        <is>
          <t>EA</t>
        </is>
      </c>
      <c r="K107" s="48" t="n">
        <v>10.38</v>
      </c>
      <c r="L107" s="48" t="n">
        <v>46428.15</v>
      </c>
      <c r="M107" s="44" t="inlineStr">
        <is>
          <t>USD</t>
        </is>
      </c>
      <c r="N107" s="44" t="inlineStr">
        <is>
          <t>FOB</t>
        </is>
      </c>
      <c r="O107" s="44" t="inlineStr">
        <is>
          <t>N</t>
        </is>
      </c>
      <c r="P107" s="48" t="n">
        <v>1351.5071</v>
      </c>
      <c r="Q107" s="47">
        <f>IF(OR(L107="",M107="",P107=""),"",L107*P107)</f>
        <v/>
      </c>
    </row>
    <row r="108" ht="15" customHeight="1" s="28">
      <c r="A108" s="44" t="inlineStr">
        <is>
          <t>R-SB-0106</t>
        </is>
      </c>
      <c r="B108" s="45" t="n">
        <v>45219</v>
      </c>
      <c r="C108" s="44" t="inlineStr">
        <is>
          <t>2023-10</t>
        </is>
      </c>
      <c r="D108" s="44" t="n">
        <v>2023</v>
      </c>
      <c r="E108" s="44" t="inlineStr">
        <is>
          <t>P-SB-003</t>
        </is>
      </c>
      <c r="F108" s="44" t="inlineStr">
        <is>
          <t>C-SB-03</t>
        </is>
      </c>
      <c r="G108" s="46" t="inlineStr">
        <is>
          <t>베트남</t>
        </is>
      </c>
      <c r="H108" s="44" t="inlineStr">
        <is>
          <t>VN</t>
        </is>
      </c>
      <c r="I108" s="47" t="n">
        <v>26070</v>
      </c>
      <c r="J108" s="44" t="inlineStr">
        <is>
          <t>EA</t>
        </is>
      </c>
      <c r="K108" s="48" t="n">
        <v>6.52</v>
      </c>
      <c r="L108" s="48" t="n">
        <v>22299.25</v>
      </c>
      <c r="M108" s="44" t="inlineStr">
        <is>
          <t>USD</t>
        </is>
      </c>
      <c r="N108" s="44" t="inlineStr">
        <is>
          <t>FOB</t>
        </is>
      </c>
      <c r="O108" s="44" t="inlineStr">
        <is>
          <t>N</t>
        </is>
      </c>
      <c r="P108" s="48" t="n">
        <v>1351.5071</v>
      </c>
      <c r="Q108" s="47">
        <f>IF(OR(L108="",M108="",P108=""),"",L108*P108)</f>
        <v/>
      </c>
    </row>
    <row r="109" ht="15" customHeight="1" s="28">
      <c r="A109" s="44" t="inlineStr">
        <is>
          <t>R-SB-0107</t>
        </is>
      </c>
      <c r="B109" s="45" t="n">
        <v>45221</v>
      </c>
      <c r="C109" s="44" t="inlineStr">
        <is>
          <t>2023-10</t>
        </is>
      </c>
      <c r="D109" s="44" t="n">
        <v>2023</v>
      </c>
      <c r="E109" s="44" t="inlineStr">
        <is>
          <t>P-SB-002</t>
        </is>
      </c>
      <c r="F109" s="44" t="inlineStr">
        <is>
          <t>C-SB-01</t>
        </is>
      </c>
      <c r="G109" s="46" t="inlineStr">
        <is>
          <t>미국</t>
        </is>
      </c>
      <c r="H109" s="44" t="inlineStr">
        <is>
          <t>US</t>
        </is>
      </c>
      <c r="I109" s="47" t="n">
        <v>27992</v>
      </c>
      <c r="J109" s="44" t="inlineStr">
        <is>
          <t>EA</t>
        </is>
      </c>
      <c r="K109" s="48" t="n">
        <v>25.19</v>
      </c>
      <c r="L109" s="48" t="n">
        <v>107211.35</v>
      </c>
      <c r="M109" s="44" t="inlineStr">
        <is>
          <t>USD</t>
        </is>
      </c>
      <c r="N109" s="44" t="inlineStr">
        <is>
          <t>FOB</t>
        </is>
      </c>
      <c r="O109" s="44" t="inlineStr">
        <is>
          <t>N</t>
        </is>
      </c>
      <c r="P109" s="48" t="n">
        <v>1351.5071</v>
      </c>
      <c r="Q109" s="47">
        <f>IF(OR(L109="",M109="",P109=""),"",L109*P109)</f>
        <v/>
      </c>
    </row>
    <row r="110" ht="15" customHeight="1" s="28">
      <c r="A110" s="44" t="inlineStr">
        <is>
          <t>R-SB-0108</t>
        </is>
      </c>
      <c r="B110" s="45" t="n">
        <v>45224</v>
      </c>
      <c r="C110" s="44" t="inlineStr">
        <is>
          <t>2023-10</t>
        </is>
      </c>
      <c r="D110" s="44" t="n">
        <v>2023</v>
      </c>
      <c r="E110" s="44" t="inlineStr">
        <is>
          <t>P-SB-003</t>
        </is>
      </c>
      <c r="F110" s="44" t="inlineStr">
        <is>
          <t>C-SB-02</t>
        </is>
      </c>
      <c r="G110" s="46" t="inlineStr">
        <is>
          <t>멕시코</t>
        </is>
      </c>
      <c r="H110" s="44" t="inlineStr">
        <is>
          <t>MX</t>
        </is>
      </c>
      <c r="I110" s="47" t="n">
        <v>44635</v>
      </c>
      <c r="J110" s="44" t="inlineStr">
        <is>
          <t>EA</t>
        </is>
      </c>
      <c r="K110" s="48" t="n">
        <v>11.16</v>
      </c>
      <c r="L110" s="48" t="n">
        <v>41306.54</v>
      </c>
      <c r="M110" s="44" t="inlineStr">
        <is>
          <t>USD</t>
        </is>
      </c>
      <c r="N110" s="44" t="inlineStr">
        <is>
          <t>FOB</t>
        </is>
      </c>
      <c r="O110" s="44" t="inlineStr">
        <is>
          <t>N</t>
        </is>
      </c>
      <c r="P110" s="48" t="n">
        <v>1351.5071</v>
      </c>
      <c r="Q110" s="47">
        <f>IF(OR(L110="",M110="",P110=""),"",L110*P110)</f>
        <v/>
      </c>
    </row>
    <row r="111" ht="15" customHeight="1" s="28">
      <c r="A111" s="44" t="inlineStr">
        <is>
          <t>R-SB-0109</t>
        </is>
      </c>
      <c r="B111" s="45" t="n">
        <v>45236</v>
      </c>
      <c r="C111" s="44" t="inlineStr">
        <is>
          <t>2023-11</t>
        </is>
      </c>
      <c r="D111" s="44" t="n">
        <v>2023</v>
      </c>
      <c r="E111" s="44" t="inlineStr">
        <is>
          <t>P-SB-001</t>
        </is>
      </c>
      <c r="F111" s="44" t="inlineStr">
        <is>
          <t>C-SB-03</t>
        </is>
      </c>
      <c r="G111" s="46" t="inlineStr">
        <is>
          <t>베트남</t>
        </is>
      </c>
      <c r="H111" s="44" t="inlineStr">
        <is>
          <t>VN</t>
        </is>
      </c>
      <c r="I111" s="47" t="n">
        <v>71386</v>
      </c>
      <c r="J111" s="44" t="inlineStr">
        <is>
          <t>EA</t>
        </is>
      </c>
      <c r="K111" s="48" t="n">
        <v>24.99</v>
      </c>
      <c r="L111" s="48" t="n">
        <v>127580.06</v>
      </c>
      <c r="M111" s="44" t="inlineStr">
        <is>
          <t>USD</t>
        </is>
      </c>
      <c r="N111" s="44" t="inlineStr">
        <is>
          <t>FOB</t>
        </is>
      </c>
      <c r="O111" s="44" t="inlineStr">
        <is>
          <t>N</t>
        </is>
      </c>
      <c r="P111" s="48" t="n">
        <v>1308.154</v>
      </c>
      <c r="Q111" s="47">
        <f>IF(OR(L111="",M111="",P111=""),"",L111*P111)</f>
        <v/>
      </c>
    </row>
    <row r="112" ht="15" customHeight="1" s="28">
      <c r="A112" s="44" t="inlineStr">
        <is>
          <t>R-SB-0110</t>
        </is>
      </c>
      <c r="B112" s="45" t="n">
        <v>45237</v>
      </c>
      <c r="C112" s="44" t="inlineStr">
        <is>
          <t>2023-11</t>
        </is>
      </c>
      <c r="D112" s="44" t="n">
        <v>2023</v>
      </c>
      <c r="E112" s="44" t="inlineStr">
        <is>
          <t>P-SB-002</t>
        </is>
      </c>
      <c r="F112" s="44" t="inlineStr">
        <is>
          <t>C-SB-04</t>
        </is>
      </c>
      <c r="G112" s="46" t="inlineStr">
        <is>
          <t>인도</t>
        </is>
      </c>
      <c r="H112" s="44" t="inlineStr">
        <is>
          <t>IN</t>
        </is>
      </c>
      <c r="I112" s="47" t="n">
        <v>9043</v>
      </c>
      <c r="J112" s="44" t="inlineStr">
        <is>
          <t>EA</t>
        </is>
      </c>
      <c r="K112" s="48" t="n">
        <v>8.140000000000001</v>
      </c>
      <c r="L112" s="48" t="n">
        <v>34652.98</v>
      </c>
      <c r="M112" s="44" t="inlineStr">
        <is>
          <t>USD</t>
        </is>
      </c>
      <c r="N112" s="44" t="inlineStr">
        <is>
          <t>FOB</t>
        </is>
      </c>
      <c r="O112" s="44" t="inlineStr">
        <is>
          <t>N</t>
        </is>
      </c>
      <c r="P112" s="48" t="n">
        <v>1308.154</v>
      </c>
      <c r="Q112" s="47">
        <f>IF(OR(L112="",M112="",P112=""),"",L112*P112)</f>
        <v/>
      </c>
    </row>
    <row r="113" ht="15" customHeight="1" s="28">
      <c r="A113" s="44" t="inlineStr">
        <is>
          <t>R-SB-0111</t>
        </is>
      </c>
      <c r="B113" s="45" t="n">
        <v>45237</v>
      </c>
      <c r="C113" s="44" t="inlineStr">
        <is>
          <t>2023-11</t>
        </is>
      </c>
      <c r="D113" s="44" t="n">
        <v>2023</v>
      </c>
      <c r="E113" s="44" t="inlineStr">
        <is>
          <t>P-SB-003</t>
        </is>
      </c>
      <c r="F113" s="44" t="inlineStr">
        <is>
          <t>C-SB-04</t>
        </is>
      </c>
      <c r="G113" s="46" t="inlineStr">
        <is>
          <t>인도</t>
        </is>
      </c>
      <c r="H113" s="44" t="inlineStr">
        <is>
          <t>IN</t>
        </is>
      </c>
      <c r="I113" s="47" t="n">
        <v>16689</v>
      </c>
      <c r="J113" s="44" t="inlineStr">
        <is>
          <t>EA</t>
        </is>
      </c>
      <c r="K113" s="48" t="n">
        <v>4.17</v>
      </c>
      <c r="L113" s="48" t="n">
        <v>14817.48</v>
      </c>
      <c r="M113" s="44" t="inlineStr">
        <is>
          <t>USD</t>
        </is>
      </c>
      <c r="N113" s="44" t="inlineStr">
        <is>
          <t>FOB</t>
        </is>
      </c>
      <c r="O113" s="44" t="inlineStr">
        <is>
          <t>N</t>
        </is>
      </c>
      <c r="P113" s="48" t="n">
        <v>1308.154</v>
      </c>
      <c r="Q113" s="47">
        <f>IF(OR(L113="",M113="",P113=""),"",L113*P113)</f>
        <v/>
      </c>
    </row>
    <row r="114" ht="15" customHeight="1" s="28">
      <c r="A114" s="44" t="inlineStr">
        <is>
          <t>R-SB-0112</t>
        </is>
      </c>
      <c r="B114" s="45" t="n">
        <v>45238</v>
      </c>
      <c r="C114" s="44" t="inlineStr">
        <is>
          <t>2023-11</t>
        </is>
      </c>
      <c r="D114" s="44" t="n">
        <v>2023</v>
      </c>
      <c r="E114" s="44" t="inlineStr">
        <is>
          <t>P-SB-003</t>
        </is>
      </c>
      <c r="F114" s="44" t="inlineStr">
        <is>
          <t>C-SB-01</t>
        </is>
      </c>
      <c r="G114" s="46" t="inlineStr">
        <is>
          <t>미국</t>
        </is>
      </c>
      <c r="H114" s="44" t="inlineStr">
        <is>
          <t>US</t>
        </is>
      </c>
      <c r="I114" s="47" t="n">
        <v>89667</v>
      </c>
      <c r="J114" s="44" t="inlineStr">
        <is>
          <t>EA</t>
        </is>
      </c>
      <c r="K114" s="48" t="n">
        <v>22.42</v>
      </c>
      <c r="L114" s="48" t="n">
        <v>77951.75999999999</v>
      </c>
      <c r="M114" s="44" t="inlineStr">
        <is>
          <t>USD</t>
        </is>
      </c>
      <c r="N114" s="44" t="inlineStr">
        <is>
          <t>FOB</t>
        </is>
      </c>
      <c r="O114" s="44" t="inlineStr">
        <is>
          <t>N</t>
        </is>
      </c>
      <c r="P114" s="48" t="n">
        <v>1308.154</v>
      </c>
      <c r="Q114" s="47">
        <f>IF(OR(L114="",M114="",P114=""),"",L114*P114)</f>
        <v/>
      </c>
    </row>
    <row r="115" ht="15" customHeight="1" s="28">
      <c r="A115" s="44" t="inlineStr">
        <is>
          <t>R-SB-0113</t>
        </is>
      </c>
      <c r="B115" s="45" t="n">
        <v>45239</v>
      </c>
      <c r="C115" s="44" t="inlineStr">
        <is>
          <t>2023-11</t>
        </is>
      </c>
      <c r="D115" s="44" t="n">
        <v>2023</v>
      </c>
      <c r="E115" s="44" t="inlineStr">
        <is>
          <t>P-SB-002</t>
        </is>
      </c>
      <c r="F115" s="44" t="inlineStr">
        <is>
          <t>C-SB-02</t>
        </is>
      </c>
      <c r="G115" s="46" t="inlineStr">
        <is>
          <t>멕시코</t>
        </is>
      </c>
      <c r="H115" s="44" t="inlineStr">
        <is>
          <t>MX</t>
        </is>
      </c>
      <c r="I115" s="47" t="n">
        <v>20371</v>
      </c>
      <c r="J115" s="44" t="inlineStr">
        <is>
          <t>EA</t>
        </is>
      </c>
      <c r="K115" s="48" t="n">
        <v>18.33</v>
      </c>
      <c r="L115" s="48" t="n">
        <v>83473.63</v>
      </c>
      <c r="M115" s="44" t="inlineStr">
        <is>
          <t>USD</t>
        </is>
      </c>
      <c r="N115" s="44" t="inlineStr">
        <is>
          <t>FOB</t>
        </is>
      </c>
      <c r="O115" s="44" t="inlineStr">
        <is>
          <t>N</t>
        </is>
      </c>
      <c r="P115" s="48" t="n">
        <v>1308.154</v>
      </c>
      <c r="Q115" s="47">
        <f>IF(OR(L115="",M115="",P115=""),"",L115*P115)</f>
        <v/>
      </c>
    </row>
    <row r="116" ht="15" customHeight="1" s="28">
      <c r="A116" s="44" t="inlineStr">
        <is>
          <t>R-SB-0114</t>
        </is>
      </c>
      <c r="B116" s="45" t="n">
        <v>45242</v>
      </c>
      <c r="C116" s="44" t="inlineStr">
        <is>
          <t>2023-11</t>
        </is>
      </c>
      <c r="D116" s="44" t="n">
        <v>2023</v>
      </c>
      <c r="E116" s="44" t="inlineStr">
        <is>
          <t>P-SB-001</t>
        </is>
      </c>
      <c r="F116" s="44" t="inlineStr">
        <is>
          <t>C-SB-02</t>
        </is>
      </c>
      <c r="G116" s="46" t="inlineStr">
        <is>
          <t>멕시코</t>
        </is>
      </c>
      <c r="H116" s="44" t="inlineStr">
        <is>
          <t>MX</t>
        </is>
      </c>
      <c r="I116" s="47" t="n">
        <v>77802</v>
      </c>
      <c r="J116" s="44" t="inlineStr">
        <is>
          <t>EA</t>
        </is>
      </c>
      <c r="K116" s="48" t="n">
        <v>27.23</v>
      </c>
      <c r="L116" s="48" t="n">
        <v>136717.7</v>
      </c>
      <c r="M116" s="44" t="inlineStr">
        <is>
          <t>USD</t>
        </is>
      </c>
      <c r="N116" s="44" t="inlineStr">
        <is>
          <t>FOB</t>
        </is>
      </c>
      <c r="O116" s="44" t="inlineStr">
        <is>
          <t>N</t>
        </is>
      </c>
      <c r="P116" s="48" t="n">
        <v>1308.154</v>
      </c>
      <c r="Q116" s="47">
        <f>IF(OR(L116="",M116="",P116=""),"",L116*P116)</f>
        <v/>
      </c>
    </row>
    <row r="117" ht="15" customHeight="1" s="28">
      <c r="A117" s="44" t="inlineStr">
        <is>
          <t>R-SB-0115</t>
        </is>
      </c>
      <c r="B117" s="45" t="n">
        <v>45243</v>
      </c>
      <c r="C117" s="44" t="inlineStr">
        <is>
          <t>2023-11</t>
        </is>
      </c>
      <c r="D117" s="44" t="n">
        <v>2023</v>
      </c>
      <c r="E117" s="44" t="inlineStr">
        <is>
          <t>P-SB-003</t>
        </is>
      </c>
      <c r="F117" s="44" t="inlineStr">
        <is>
          <t>C-SB-02</t>
        </is>
      </c>
      <c r="G117" s="46" t="inlineStr">
        <is>
          <t>멕시코</t>
        </is>
      </c>
      <c r="H117" s="44" t="inlineStr">
        <is>
          <t>MX</t>
        </is>
      </c>
      <c r="I117" s="47" t="n">
        <v>32157</v>
      </c>
      <c r="J117" s="44" t="inlineStr">
        <is>
          <t>EA</t>
        </is>
      </c>
      <c r="K117" s="48" t="n">
        <v>8.039999999999999</v>
      </c>
      <c r="L117" s="48" t="n">
        <v>28513.02</v>
      </c>
      <c r="M117" s="44" t="inlineStr">
        <is>
          <t>USD</t>
        </is>
      </c>
      <c r="N117" s="44" t="inlineStr">
        <is>
          <t>FOB</t>
        </is>
      </c>
      <c r="O117" s="44" t="inlineStr">
        <is>
          <t>N</t>
        </is>
      </c>
      <c r="P117" s="48" t="n">
        <v>1308.154</v>
      </c>
      <c r="Q117" s="47">
        <f>IF(OR(L117="",M117="",P117=""),"",L117*P117)</f>
        <v/>
      </c>
    </row>
    <row r="118" ht="15" customHeight="1" s="28">
      <c r="A118" s="44" t="inlineStr">
        <is>
          <t>R-SB-0116</t>
        </is>
      </c>
      <c r="B118" s="45" t="n">
        <v>45245</v>
      </c>
      <c r="C118" s="44" t="inlineStr">
        <is>
          <t>2023-11</t>
        </is>
      </c>
      <c r="D118" s="44" t="n">
        <v>2023</v>
      </c>
      <c r="E118" s="44" t="inlineStr">
        <is>
          <t>P-SB-002</t>
        </is>
      </c>
      <c r="F118" s="44" t="inlineStr">
        <is>
          <t>C-SB-03</t>
        </is>
      </c>
      <c r="G118" s="46" t="inlineStr">
        <is>
          <t>베트남</t>
        </is>
      </c>
      <c r="H118" s="44" t="inlineStr">
        <is>
          <t>VN</t>
        </is>
      </c>
      <c r="I118" s="47" t="n">
        <v>13494</v>
      </c>
      <c r="J118" s="44" t="inlineStr">
        <is>
          <t>EA</t>
        </is>
      </c>
      <c r="K118" s="48" t="n">
        <v>12.14</v>
      </c>
      <c r="L118" s="48" t="n">
        <v>51758.92</v>
      </c>
      <c r="M118" s="44" t="inlineStr">
        <is>
          <t>USD</t>
        </is>
      </c>
      <c r="N118" s="44" t="inlineStr">
        <is>
          <t>FOB</t>
        </is>
      </c>
      <c r="O118" s="44" t="inlineStr">
        <is>
          <t>N</t>
        </is>
      </c>
      <c r="P118" s="48" t="n">
        <v>1308.154</v>
      </c>
      <c r="Q118" s="47">
        <f>IF(OR(L118="",M118="",P118=""),"",L118*P118)</f>
        <v/>
      </c>
    </row>
    <row r="119" ht="15" customHeight="1" s="28">
      <c r="A119" s="44" t="inlineStr">
        <is>
          <t>R-SB-0117</t>
        </is>
      </c>
      <c r="B119" s="45" t="n">
        <v>45253</v>
      </c>
      <c r="C119" s="44" t="inlineStr">
        <is>
          <t>2023-11</t>
        </is>
      </c>
      <c r="D119" s="44" t="n">
        <v>2023</v>
      </c>
      <c r="E119" s="44" t="inlineStr">
        <is>
          <t>P-SB-002</t>
        </is>
      </c>
      <c r="F119" s="44" t="inlineStr">
        <is>
          <t>C-SB-01</t>
        </is>
      </c>
      <c r="G119" s="46" t="inlineStr">
        <is>
          <t>미국</t>
        </is>
      </c>
      <c r="H119" s="44" t="inlineStr">
        <is>
          <t>US</t>
        </is>
      </c>
      <c r="I119" s="47" t="n">
        <v>30988</v>
      </c>
      <c r="J119" s="44" t="inlineStr">
        <is>
          <t>EA</t>
        </is>
      </c>
      <c r="K119" s="48" t="n">
        <v>27.89</v>
      </c>
      <c r="L119" s="48" t="n">
        <v>120767.81</v>
      </c>
      <c r="M119" s="44" t="inlineStr">
        <is>
          <t>USD</t>
        </is>
      </c>
      <c r="N119" s="44" t="inlineStr">
        <is>
          <t>FOB</t>
        </is>
      </c>
      <c r="O119" s="44" t="inlineStr">
        <is>
          <t>N</t>
        </is>
      </c>
      <c r="P119" s="48" t="n">
        <v>1308.154</v>
      </c>
      <c r="Q119" s="47">
        <f>IF(OR(L119="",M119="",P119=""),"",L119*P119)</f>
        <v/>
      </c>
    </row>
    <row r="120" ht="15" customHeight="1" s="28">
      <c r="A120" s="44" t="inlineStr">
        <is>
          <t>R-SB-0118</t>
        </is>
      </c>
      <c r="B120" s="45" t="n">
        <v>45255</v>
      </c>
      <c r="C120" s="44" t="inlineStr">
        <is>
          <t>2023-11</t>
        </is>
      </c>
      <c r="D120" s="44" t="n">
        <v>2023</v>
      </c>
      <c r="E120" s="44" t="inlineStr">
        <is>
          <t>P-SB-003</t>
        </is>
      </c>
      <c r="F120" s="44" t="inlineStr">
        <is>
          <t>C-SB-03</t>
        </is>
      </c>
      <c r="G120" s="46" t="inlineStr">
        <is>
          <t>베트남</t>
        </is>
      </c>
      <c r="H120" s="44" t="inlineStr">
        <is>
          <t>VN</t>
        </is>
      </c>
      <c r="I120" s="47" t="n">
        <v>32572</v>
      </c>
      <c r="J120" s="44" t="inlineStr">
        <is>
          <t>EA</t>
        </is>
      </c>
      <c r="K120" s="48" t="n">
        <v>8.140000000000001</v>
      </c>
      <c r="L120" s="48" t="n">
        <v>28607.36</v>
      </c>
      <c r="M120" s="44" t="inlineStr">
        <is>
          <t>USD</t>
        </is>
      </c>
      <c r="N120" s="44" t="inlineStr">
        <is>
          <t>FOB</t>
        </is>
      </c>
      <c r="O120" s="44" t="inlineStr">
        <is>
          <t>N</t>
        </is>
      </c>
      <c r="P120" s="48" t="n">
        <v>1308.154</v>
      </c>
      <c r="Q120" s="47">
        <f>IF(OR(L120="",M120="",P120=""),"",L120*P120)</f>
        <v/>
      </c>
    </row>
    <row r="121" ht="15" customHeight="1" s="28">
      <c r="A121" s="44" t="inlineStr">
        <is>
          <t>R-SB-0119</t>
        </is>
      </c>
      <c r="B121" s="45" t="n">
        <v>45256</v>
      </c>
      <c r="C121" s="44" t="inlineStr">
        <is>
          <t>2023-11</t>
        </is>
      </c>
      <c r="D121" s="44" t="n">
        <v>2023</v>
      </c>
      <c r="E121" s="44" t="inlineStr">
        <is>
          <t>P-SB-001</t>
        </is>
      </c>
      <c r="F121" s="44" t="inlineStr">
        <is>
          <t>C-SB-04</t>
        </is>
      </c>
      <c r="G121" s="46" t="inlineStr">
        <is>
          <t>인도</t>
        </is>
      </c>
      <c r="H121" s="44" t="inlineStr">
        <is>
          <t>IN</t>
        </is>
      </c>
      <c r="I121" s="47" t="n">
        <v>28865</v>
      </c>
      <c r="J121" s="44" t="inlineStr">
        <is>
          <t>EA</t>
        </is>
      </c>
      <c r="K121" s="48" t="n">
        <v>10.1</v>
      </c>
      <c r="L121" s="48" t="n">
        <v>50676.57</v>
      </c>
      <c r="M121" s="44" t="inlineStr">
        <is>
          <t>USD</t>
        </is>
      </c>
      <c r="N121" s="44" t="inlineStr">
        <is>
          <t>FOB</t>
        </is>
      </c>
      <c r="O121" s="44" t="inlineStr">
        <is>
          <t>N</t>
        </is>
      </c>
      <c r="P121" s="48" t="n">
        <v>1308.154</v>
      </c>
      <c r="Q121" s="47">
        <f>IF(OR(L121="",M121="",P121=""),"",L121*P121)</f>
        <v/>
      </c>
    </row>
    <row r="122" ht="15" customHeight="1" s="28">
      <c r="A122" s="44" t="inlineStr">
        <is>
          <t>R-SB-0120</t>
        </is>
      </c>
      <c r="B122" s="45" t="n">
        <v>45257</v>
      </c>
      <c r="C122" s="44" t="inlineStr">
        <is>
          <t>2023-11</t>
        </is>
      </c>
      <c r="D122" s="44" t="n">
        <v>2023</v>
      </c>
      <c r="E122" s="44" t="inlineStr">
        <is>
          <t>P-SB-001</t>
        </is>
      </c>
      <c r="F122" s="44" t="inlineStr">
        <is>
          <t>C-SB-01</t>
        </is>
      </c>
      <c r="G122" s="46" t="inlineStr">
        <is>
          <t>미국</t>
        </is>
      </c>
      <c r="H122" s="44" t="inlineStr">
        <is>
          <t>US</t>
        </is>
      </c>
      <c r="I122" s="47" t="n">
        <v>154691</v>
      </c>
      <c r="J122" s="44" t="inlineStr">
        <is>
          <t>EA</t>
        </is>
      </c>
      <c r="K122" s="48" t="n">
        <v>54.14</v>
      </c>
      <c r="L122" s="48" t="n">
        <v>272769.89</v>
      </c>
      <c r="M122" s="44" t="inlineStr">
        <is>
          <t>USD</t>
        </is>
      </c>
      <c r="N122" s="44" t="inlineStr">
        <is>
          <t>FOB</t>
        </is>
      </c>
      <c r="O122" s="44" t="inlineStr">
        <is>
          <t>N</t>
        </is>
      </c>
      <c r="P122" s="48" t="n">
        <v>1308.154</v>
      </c>
      <c r="Q122" s="47">
        <f>IF(OR(L122="",M122="",P122=""),"",L122*P122)</f>
        <v/>
      </c>
    </row>
    <row r="123" ht="15" customHeight="1" s="28">
      <c r="A123" s="44" t="inlineStr">
        <is>
          <t>R-SB-0121</t>
        </is>
      </c>
      <c r="B123" s="45" t="n">
        <v>45263</v>
      </c>
      <c r="C123" s="44" t="inlineStr">
        <is>
          <t>2023-12</t>
        </is>
      </c>
      <c r="D123" s="44" t="n">
        <v>2023</v>
      </c>
      <c r="E123" s="44" t="inlineStr">
        <is>
          <t>P-SB-001</t>
        </is>
      </c>
      <c r="F123" s="44" t="inlineStr">
        <is>
          <t>C-SB-04</t>
        </is>
      </c>
      <c r="G123" s="46" t="inlineStr">
        <is>
          <t>인도</t>
        </is>
      </c>
      <c r="H123" s="44" t="inlineStr">
        <is>
          <t>IN</t>
        </is>
      </c>
      <c r="I123" s="47" t="n">
        <v>27121</v>
      </c>
      <c r="J123" s="44" t="inlineStr">
        <is>
          <t>EA</t>
        </is>
      </c>
      <c r="K123" s="48" t="n">
        <v>9.49</v>
      </c>
      <c r="L123" s="48" t="n">
        <v>46954.25</v>
      </c>
      <c r="M123" s="44" t="inlineStr">
        <is>
          <t>USD</t>
        </is>
      </c>
      <c r="N123" s="44" t="inlineStr">
        <is>
          <t>FOB</t>
        </is>
      </c>
      <c r="O123" s="44" t="inlineStr">
        <is>
          <t>N</t>
        </is>
      </c>
      <c r="P123" s="48" t="n">
        <v>1304.3945</v>
      </c>
      <c r="Q123" s="47">
        <f>IF(OR(L123="",M123="",P123=""),"",L123*P123)</f>
        <v/>
      </c>
    </row>
    <row r="124" ht="15" customHeight="1" s="28">
      <c r="A124" s="44" t="inlineStr">
        <is>
          <t>R-SB-0122</t>
        </is>
      </c>
      <c r="B124" s="45" t="n">
        <v>45266</v>
      </c>
      <c r="C124" s="44" t="inlineStr">
        <is>
          <t>2023-12</t>
        </is>
      </c>
      <c r="D124" s="44" t="n">
        <v>2023</v>
      </c>
      <c r="E124" s="44" t="inlineStr">
        <is>
          <t>P-SB-002</t>
        </is>
      </c>
      <c r="F124" s="44" t="inlineStr">
        <is>
          <t>C-SB-02</t>
        </is>
      </c>
      <c r="G124" s="46" t="inlineStr">
        <is>
          <t>멕시코</t>
        </is>
      </c>
      <c r="H124" s="44" t="inlineStr">
        <is>
          <t>MX</t>
        </is>
      </c>
      <c r="I124" s="47" t="n">
        <v>15810</v>
      </c>
      <c r="J124" s="44" t="inlineStr">
        <is>
          <t>EA</t>
        </is>
      </c>
      <c r="K124" s="48" t="n">
        <v>14.23</v>
      </c>
      <c r="L124" s="48" t="n">
        <v>64469.96</v>
      </c>
      <c r="M124" s="44" t="inlineStr">
        <is>
          <t>USD</t>
        </is>
      </c>
      <c r="N124" s="44" t="inlineStr">
        <is>
          <t>FOB</t>
        </is>
      </c>
      <c r="O124" s="44" t="inlineStr">
        <is>
          <t>N</t>
        </is>
      </c>
      <c r="P124" s="48" t="n">
        <v>1304.3945</v>
      </c>
      <c r="Q124" s="47">
        <f>IF(OR(L124="",M124="",P124=""),"",L124*P124)</f>
        <v/>
      </c>
    </row>
    <row r="125" ht="15" customHeight="1" s="28">
      <c r="A125" s="44" t="inlineStr">
        <is>
          <t>R-SB-0123</t>
        </is>
      </c>
      <c r="B125" s="45" t="n">
        <v>45275</v>
      </c>
      <c r="C125" s="44" t="inlineStr">
        <is>
          <t>2023-12</t>
        </is>
      </c>
      <c r="D125" s="44" t="n">
        <v>2023</v>
      </c>
      <c r="E125" s="44" t="inlineStr">
        <is>
          <t>P-SB-001</t>
        </is>
      </c>
      <c r="F125" s="44" t="inlineStr">
        <is>
          <t>C-SB-02</t>
        </is>
      </c>
      <c r="G125" s="46" t="inlineStr">
        <is>
          <t>멕시코</t>
        </is>
      </c>
      <c r="H125" s="44" t="inlineStr">
        <is>
          <t>MX</t>
        </is>
      </c>
      <c r="I125" s="47" t="n">
        <v>73170</v>
      </c>
      <c r="J125" s="44" t="inlineStr">
        <is>
          <t>EA</t>
        </is>
      </c>
      <c r="K125" s="48" t="n">
        <v>25.61</v>
      </c>
      <c r="L125" s="50" t="n"/>
      <c r="M125" s="44" t="inlineStr">
        <is>
          <t>USD</t>
        </is>
      </c>
      <c r="N125" s="44" t="inlineStr">
        <is>
          <t>FOB</t>
        </is>
      </c>
      <c r="O125" s="44" t="inlineStr">
        <is>
          <t>N</t>
        </is>
      </c>
      <c r="P125" s="48" t="n">
        <v>1304.3945</v>
      </c>
      <c r="Q125" s="47">
        <f>IF(OR(L125="",M125="",P125=""),"",L125*P125)</f>
        <v/>
      </c>
    </row>
    <row r="126" ht="15" customHeight="1" s="28">
      <c r="A126" s="44" t="inlineStr">
        <is>
          <t>R-SB-0124</t>
        </is>
      </c>
      <c r="B126" s="45" t="n">
        <v>45275</v>
      </c>
      <c r="C126" s="44" t="inlineStr">
        <is>
          <t>2023-12</t>
        </is>
      </c>
      <c r="D126" s="44" t="n">
        <v>2023</v>
      </c>
      <c r="E126" s="44" t="inlineStr">
        <is>
          <t>P-SB-002</t>
        </is>
      </c>
      <c r="F126" s="44" t="inlineStr">
        <is>
          <t>C-SB-03</t>
        </is>
      </c>
      <c r="G126" s="46" t="inlineStr">
        <is>
          <t>베트남</t>
        </is>
      </c>
      <c r="H126" s="44" t="inlineStr">
        <is>
          <t>VN</t>
        </is>
      </c>
      <c r="I126" s="47" t="n">
        <v>11892</v>
      </c>
      <c r="J126" s="44" t="inlineStr">
        <is>
          <t>EA</t>
        </is>
      </c>
      <c r="K126" s="48" t="n">
        <v>10.7</v>
      </c>
      <c r="L126" s="48" t="n">
        <v>48397.57</v>
      </c>
      <c r="M126" s="44" t="inlineStr">
        <is>
          <t>USD</t>
        </is>
      </c>
      <c r="N126" s="44" t="inlineStr">
        <is>
          <t>FOB</t>
        </is>
      </c>
      <c r="O126" s="44" t="inlineStr">
        <is>
          <t>N</t>
        </is>
      </c>
      <c r="P126" s="48" t="n">
        <v>1304.3945</v>
      </c>
      <c r="Q126" s="47">
        <f>IF(OR(L126="",M126="",P126=""),"",L126*P126)</f>
        <v/>
      </c>
    </row>
    <row r="127" ht="15" customHeight="1" s="28">
      <c r="A127" s="44" t="inlineStr">
        <is>
          <t>R-SB-0125</t>
        </is>
      </c>
      <c r="B127" s="45" t="n">
        <v>45276</v>
      </c>
      <c r="C127" s="44" t="inlineStr">
        <is>
          <t>2023-12</t>
        </is>
      </c>
      <c r="D127" s="44" t="n">
        <v>2023</v>
      </c>
      <c r="E127" s="44" t="inlineStr">
        <is>
          <t>P-SB-002</t>
        </is>
      </c>
      <c r="F127" s="44" t="inlineStr">
        <is>
          <t>C-SB-01</t>
        </is>
      </c>
      <c r="G127" s="46" t="inlineStr">
        <is>
          <t>미국</t>
        </is>
      </c>
      <c r="H127" s="44" t="inlineStr">
        <is>
          <t>US</t>
        </is>
      </c>
      <c r="I127" s="47" t="n">
        <v>34082</v>
      </c>
      <c r="J127" s="44" t="inlineStr">
        <is>
          <t>EA</t>
        </is>
      </c>
      <c r="K127" s="48" t="n">
        <v>30.67</v>
      </c>
      <c r="L127" s="48" t="n">
        <v>135577.13</v>
      </c>
      <c r="M127" s="44" t="inlineStr">
        <is>
          <t>USD</t>
        </is>
      </c>
      <c r="N127" s="44" t="inlineStr">
        <is>
          <t>FOB</t>
        </is>
      </c>
      <c r="O127" s="44" t="inlineStr">
        <is>
          <t>N</t>
        </is>
      </c>
      <c r="P127" s="48" t="n">
        <v>1304.3945</v>
      </c>
      <c r="Q127" s="47">
        <f>IF(OR(L127="",M127="",P127=""),"",L127*P127)</f>
        <v/>
      </c>
    </row>
    <row r="128" ht="15" customHeight="1" s="28">
      <c r="A128" s="44" t="inlineStr">
        <is>
          <t>R-SB-0126</t>
        </is>
      </c>
      <c r="B128" s="45" t="n">
        <v>45278</v>
      </c>
      <c r="C128" s="44" t="inlineStr">
        <is>
          <t>2023-12</t>
        </is>
      </c>
      <c r="D128" s="44" t="n">
        <v>2023</v>
      </c>
      <c r="E128" s="44" t="inlineStr">
        <is>
          <t>P-SB-003</t>
        </is>
      </c>
      <c r="F128" s="44" t="inlineStr">
        <is>
          <t>C-SB-01</t>
        </is>
      </c>
      <c r="G128" s="46" t="inlineStr">
        <is>
          <t>미국</t>
        </is>
      </c>
      <c r="H128" s="44" t="inlineStr">
        <is>
          <t>US</t>
        </is>
      </c>
      <c r="I128" s="47" t="n">
        <v>59214</v>
      </c>
      <c r="J128" s="44" t="inlineStr">
        <is>
          <t>EA</t>
        </is>
      </c>
      <c r="K128" s="48" t="n">
        <v>14.8</v>
      </c>
      <c r="L128" s="48" t="n">
        <v>55147.87</v>
      </c>
      <c r="M128" s="44" t="inlineStr">
        <is>
          <t>USD</t>
        </is>
      </c>
      <c r="N128" s="44" t="inlineStr">
        <is>
          <t>FOB</t>
        </is>
      </c>
      <c r="O128" s="44" t="inlineStr">
        <is>
          <t>N</t>
        </is>
      </c>
      <c r="P128" s="48" t="n">
        <v>1304.3945</v>
      </c>
      <c r="Q128" s="47">
        <f>IF(OR(L128="",M128="",P128=""),"",L128*P128)</f>
        <v/>
      </c>
    </row>
    <row r="129" ht="15" customHeight="1" s="28">
      <c r="A129" s="44" t="inlineStr">
        <is>
          <t>R-SB-0127</t>
        </is>
      </c>
      <c r="B129" s="45" t="n">
        <v>45278</v>
      </c>
      <c r="C129" s="44" t="inlineStr">
        <is>
          <t>2023-12</t>
        </is>
      </c>
      <c r="D129" s="44" t="n">
        <v>2023</v>
      </c>
      <c r="E129" s="44" t="inlineStr">
        <is>
          <t>P-SB-003</t>
        </is>
      </c>
      <c r="F129" s="44" t="inlineStr">
        <is>
          <t>C-SB-02</t>
        </is>
      </c>
      <c r="G129" s="46" t="inlineStr">
        <is>
          <t>멕시코</t>
        </is>
      </c>
      <c r="H129" s="44" t="inlineStr">
        <is>
          <t>MX</t>
        </is>
      </c>
      <c r="I129" s="47" t="n">
        <v>32492</v>
      </c>
      <c r="J129" s="44" t="inlineStr">
        <is>
          <t>EA</t>
        </is>
      </c>
      <c r="K129" s="48" t="n">
        <v>8.119999999999999</v>
      </c>
      <c r="L129" s="48" t="n">
        <v>29097.97</v>
      </c>
      <c r="M129" s="44" t="inlineStr">
        <is>
          <t>USD</t>
        </is>
      </c>
      <c r="N129" s="44" t="inlineStr">
        <is>
          <t>FOB</t>
        </is>
      </c>
      <c r="O129" s="44" t="inlineStr">
        <is>
          <t>N</t>
        </is>
      </c>
      <c r="P129" s="48" t="n">
        <v>1304.3945</v>
      </c>
      <c r="Q129" s="47">
        <f>IF(OR(L129="",M129="",P129=""),"",L129*P129)</f>
        <v/>
      </c>
    </row>
    <row r="130" ht="15" customHeight="1" s="28">
      <c r="A130" s="44" t="inlineStr">
        <is>
          <t>R-SB-0128</t>
        </is>
      </c>
      <c r="B130" s="45" t="n">
        <v>45284</v>
      </c>
      <c r="C130" s="44" t="inlineStr">
        <is>
          <t>2023-12</t>
        </is>
      </c>
      <c r="D130" s="44" t="n">
        <v>2023</v>
      </c>
      <c r="E130" s="44" t="inlineStr">
        <is>
          <t>P-SB-001</t>
        </is>
      </c>
      <c r="F130" s="44" t="inlineStr">
        <is>
          <t>C-SB-03</t>
        </is>
      </c>
      <c r="G130" s="46" t="inlineStr">
        <is>
          <t>베트남</t>
        </is>
      </c>
      <c r="H130" s="44" t="inlineStr">
        <is>
          <t>VN</t>
        </is>
      </c>
      <c r="I130" s="47" t="n">
        <v>62405</v>
      </c>
      <c r="J130" s="44" t="inlineStr">
        <is>
          <t>EA</t>
        </is>
      </c>
      <c r="K130" s="48" t="n">
        <v>21.84</v>
      </c>
      <c r="L130" s="48" t="n">
        <v>114201.06</v>
      </c>
      <c r="M130" s="44" t="inlineStr">
        <is>
          <t>USD</t>
        </is>
      </c>
      <c r="N130" s="44" t="inlineStr">
        <is>
          <t>FOB</t>
        </is>
      </c>
      <c r="O130" s="44" t="inlineStr">
        <is>
          <t>N</t>
        </is>
      </c>
      <c r="P130" s="48" t="n">
        <v>1304.3945</v>
      </c>
      <c r="Q130" s="47">
        <f>IF(OR(L130="",M130="",P130=""),"",L130*P130)</f>
        <v/>
      </c>
    </row>
    <row r="131" ht="15" customHeight="1" s="28">
      <c r="A131" s="44" t="inlineStr">
        <is>
          <t>R-SB-0129</t>
        </is>
      </c>
      <c r="B131" s="45" t="n">
        <v>45285</v>
      </c>
      <c r="C131" s="44" t="inlineStr">
        <is>
          <t>2023-12</t>
        </is>
      </c>
      <c r="D131" s="44" t="n">
        <v>2023</v>
      </c>
      <c r="E131" s="44" t="inlineStr">
        <is>
          <t>P-SB-003</t>
        </is>
      </c>
      <c r="F131" s="44" t="inlineStr">
        <is>
          <t>C-SB-03</t>
        </is>
      </c>
      <c r="G131" s="46" t="inlineStr">
        <is>
          <t>베트남</t>
        </is>
      </c>
      <c r="H131" s="44" t="inlineStr">
        <is>
          <t>VN</t>
        </is>
      </c>
      <c r="I131" s="47" t="n">
        <v>39931</v>
      </c>
      <c r="J131" s="44" t="inlineStr">
        <is>
          <t>EA</t>
        </is>
      </c>
      <c r="K131" s="48" t="n">
        <v>9.98</v>
      </c>
      <c r="L131" s="48" t="n">
        <v>34651.13</v>
      </c>
      <c r="M131" s="44" t="inlineStr">
        <is>
          <t>USD</t>
        </is>
      </c>
      <c r="N131" s="44" t="inlineStr">
        <is>
          <t>FOB</t>
        </is>
      </c>
      <c r="O131" s="44" t="inlineStr">
        <is>
          <t>N</t>
        </is>
      </c>
      <c r="P131" s="48" t="n">
        <v>1304.3945</v>
      </c>
      <c r="Q131" s="47">
        <f>IF(OR(L131="",M131="",P131=""),"",L131*P131)</f>
        <v/>
      </c>
    </row>
    <row r="132" ht="15" customHeight="1" s="28">
      <c r="A132" s="44" t="inlineStr">
        <is>
          <t>R-SB-0130</t>
        </is>
      </c>
      <c r="B132" s="45" t="n">
        <v>45296</v>
      </c>
      <c r="C132" s="44" t="inlineStr">
        <is>
          <t>2024-01</t>
        </is>
      </c>
      <c r="D132" s="44" t="n">
        <v>2024</v>
      </c>
      <c r="E132" s="44" t="inlineStr">
        <is>
          <t>P-SB-002</t>
        </is>
      </c>
      <c r="F132" s="44" t="inlineStr">
        <is>
          <t>C-SB-04</t>
        </is>
      </c>
      <c r="G132" s="46" t="inlineStr">
        <is>
          <t>인도</t>
        </is>
      </c>
      <c r="H132" s="44" t="inlineStr">
        <is>
          <t>IN</t>
        </is>
      </c>
      <c r="I132" s="47" t="n">
        <v>9206</v>
      </c>
      <c r="J132" s="44" t="inlineStr">
        <is>
          <t>EA</t>
        </is>
      </c>
      <c r="K132" s="48" t="n">
        <v>8.289999999999999</v>
      </c>
      <c r="L132" s="48" t="n">
        <v>38508.03</v>
      </c>
      <c r="M132" s="44" t="inlineStr">
        <is>
          <t>USD</t>
        </is>
      </c>
      <c r="N132" s="44" t="inlineStr">
        <is>
          <t>FOB</t>
        </is>
      </c>
      <c r="O132" s="44" t="inlineStr">
        <is>
          <t>N</t>
        </is>
      </c>
      <c r="P132" s="48" t="n">
        <v>1325.9119</v>
      </c>
      <c r="Q132" s="47">
        <f>IF(OR(L132="",M132="",P132=""),"",L132*P132)</f>
        <v/>
      </c>
    </row>
    <row r="133" ht="15" customHeight="1" s="28">
      <c r="A133" s="44" t="inlineStr">
        <is>
          <t>R-SB-0131</t>
        </is>
      </c>
      <c r="B133" s="45" t="n">
        <v>45296</v>
      </c>
      <c r="C133" s="44" t="inlineStr">
        <is>
          <t>2024-01</t>
        </is>
      </c>
      <c r="D133" s="44" t="n">
        <v>2024</v>
      </c>
      <c r="E133" s="44" t="inlineStr">
        <is>
          <t>P-SB-003</t>
        </is>
      </c>
      <c r="F133" s="44" t="inlineStr">
        <is>
          <t>C-SB-04</t>
        </is>
      </c>
      <c r="G133" s="46" t="inlineStr">
        <is>
          <t>인도</t>
        </is>
      </c>
      <c r="H133" s="44" t="inlineStr">
        <is>
          <t>IN</t>
        </is>
      </c>
      <c r="I133" s="47" t="n">
        <v>17241</v>
      </c>
      <c r="J133" s="44" t="inlineStr">
        <is>
          <t>EA</t>
        </is>
      </c>
      <c r="K133" s="48" t="n">
        <v>4.31</v>
      </c>
      <c r="L133" s="48" t="n">
        <v>16116.08</v>
      </c>
      <c r="M133" s="44" t="inlineStr">
        <is>
          <t>USD</t>
        </is>
      </c>
      <c r="N133" s="44" t="inlineStr">
        <is>
          <t>FOB</t>
        </is>
      </c>
      <c r="O133" s="44" t="inlineStr">
        <is>
          <t>N</t>
        </is>
      </c>
      <c r="P133" s="48" t="n">
        <v>1325.9119</v>
      </c>
      <c r="Q133" s="47">
        <f>IF(OR(L133="",M133="",P133=""),"",L133*P133)</f>
        <v/>
      </c>
    </row>
    <row r="134" ht="15" customHeight="1" s="28">
      <c r="A134" s="44" t="inlineStr">
        <is>
          <t>R-SB-0132</t>
        </is>
      </c>
      <c r="B134" s="45" t="n">
        <v>45298</v>
      </c>
      <c r="C134" s="44" t="inlineStr">
        <is>
          <t>2024-01</t>
        </is>
      </c>
      <c r="D134" s="44" t="n">
        <v>2024</v>
      </c>
      <c r="E134" s="44" t="inlineStr">
        <is>
          <t>P-SB-001</t>
        </is>
      </c>
      <c r="F134" s="44" t="inlineStr">
        <is>
          <t>C-SB-02</t>
        </is>
      </c>
      <c r="G134" s="46" t="inlineStr">
        <is>
          <t>멕시코</t>
        </is>
      </c>
      <c r="H134" s="44" t="inlineStr">
        <is>
          <t>MX</t>
        </is>
      </c>
      <c r="I134" s="47" t="n">
        <v>83353</v>
      </c>
      <c r="J134" s="44" t="inlineStr">
        <is>
          <t>EA</t>
        </is>
      </c>
      <c r="K134" s="48" t="n">
        <v>29.17</v>
      </c>
      <c r="L134" s="48" t="n">
        <v>153303.76</v>
      </c>
      <c r="M134" s="44" t="inlineStr">
        <is>
          <t>USD</t>
        </is>
      </c>
      <c r="N134" s="44" t="inlineStr">
        <is>
          <t>FOB</t>
        </is>
      </c>
      <c r="O134" s="44" t="inlineStr">
        <is>
          <t>N</t>
        </is>
      </c>
      <c r="P134" s="48" t="n">
        <v>1325.9119</v>
      </c>
      <c r="Q134" s="47">
        <f>IF(OR(L134="",M134="",P134=""),"",L134*P134)</f>
        <v/>
      </c>
    </row>
    <row r="135" ht="15" customHeight="1" s="28">
      <c r="A135" s="44" t="inlineStr">
        <is>
          <t>R-SB-0133</t>
        </is>
      </c>
      <c r="B135" s="45" t="n">
        <v>45299</v>
      </c>
      <c r="C135" s="44" t="inlineStr">
        <is>
          <t>2024-01</t>
        </is>
      </c>
      <c r="D135" s="44" t="n">
        <v>2024</v>
      </c>
      <c r="E135" s="44" t="inlineStr">
        <is>
          <t>P-SB-001</t>
        </is>
      </c>
      <c r="F135" s="44" t="inlineStr">
        <is>
          <t>C-SB-04</t>
        </is>
      </c>
      <c r="G135" s="46" t="inlineStr">
        <is>
          <t>인도</t>
        </is>
      </c>
      <c r="H135" s="44" t="inlineStr">
        <is>
          <t>IN</t>
        </is>
      </c>
      <c r="I135" s="47" t="n">
        <v>24210</v>
      </c>
      <c r="J135" s="44" t="inlineStr">
        <is>
          <t>EA</t>
        </is>
      </c>
      <c r="K135" s="48" t="n">
        <v>8.470000000000001</v>
      </c>
      <c r="L135" s="48" t="n">
        <v>44422.05</v>
      </c>
      <c r="M135" s="44" t="inlineStr">
        <is>
          <t>USD</t>
        </is>
      </c>
      <c r="N135" s="44" t="inlineStr">
        <is>
          <t>FOB</t>
        </is>
      </c>
      <c r="O135" s="44" t="inlineStr">
        <is>
          <t>N</t>
        </is>
      </c>
      <c r="P135" s="48" t="n">
        <v>1325.9119</v>
      </c>
      <c r="Q135" s="47">
        <f>IF(OR(L135="",M135="",P135=""),"",L135*P135)</f>
        <v/>
      </c>
    </row>
    <row r="136" ht="15" customHeight="1" s="28">
      <c r="A136" s="44" t="inlineStr">
        <is>
          <t>R-SB-0134</t>
        </is>
      </c>
      <c r="B136" s="45" t="n">
        <v>45304</v>
      </c>
      <c r="C136" s="44" t="inlineStr">
        <is>
          <t>2024-01</t>
        </is>
      </c>
      <c r="D136" s="44" t="n">
        <v>2024</v>
      </c>
      <c r="E136" s="44" t="inlineStr">
        <is>
          <t>P-SB-002</t>
        </is>
      </c>
      <c r="F136" s="44" t="inlineStr">
        <is>
          <t>C-SB-03</t>
        </is>
      </c>
      <c r="G136" s="46" t="inlineStr">
        <is>
          <t>베트남</t>
        </is>
      </c>
      <c r="H136" s="44" t="inlineStr">
        <is>
          <t>VN</t>
        </is>
      </c>
      <c r="I136" s="47" t="n">
        <v>14555</v>
      </c>
      <c r="J136" s="44" t="inlineStr">
        <is>
          <t>EA</t>
        </is>
      </c>
      <c r="K136" s="48" t="n">
        <v>13.1</v>
      </c>
      <c r="L136" s="48" t="n">
        <v>56604.95</v>
      </c>
      <c r="M136" s="44" t="inlineStr">
        <is>
          <t>USD</t>
        </is>
      </c>
      <c r="N136" s="44" t="inlineStr">
        <is>
          <t>FOB</t>
        </is>
      </c>
      <c r="O136" s="44" t="inlineStr">
        <is>
          <t>N</t>
        </is>
      </c>
      <c r="P136" s="48" t="n">
        <v>1325.9119</v>
      </c>
      <c r="Q136" s="47">
        <f>IF(OR(L136="",M136="",P136=""),"",L136*P136)</f>
        <v/>
      </c>
    </row>
    <row r="137" ht="15" customHeight="1" s="28">
      <c r="A137" s="44" t="inlineStr">
        <is>
          <t>R-SB-0135</t>
        </is>
      </c>
      <c r="B137" s="45" t="n">
        <v>45306</v>
      </c>
      <c r="C137" s="44" t="inlineStr">
        <is>
          <t>2024-01</t>
        </is>
      </c>
      <c r="D137" s="44" t="n">
        <v>2024</v>
      </c>
      <c r="E137" s="44" t="inlineStr">
        <is>
          <t>P-SB-001</t>
        </is>
      </c>
      <c r="F137" s="44" t="inlineStr">
        <is>
          <t>C-SB-03</t>
        </is>
      </c>
      <c r="G137" s="46" t="inlineStr">
        <is>
          <t>베트남</t>
        </is>
      </c>
      <c r="H137" s="44" t="inlineStr">
        <is>
          <t>VN</t>
        </is>
      </c>
      <c r="I137" s="47" t="n">
        <v>49690</v>
      </c>
      <c r="J137" s="44" t="inlineStr">
        <is>
          <t>EA</t>
        </is>
      </c>
      <c r="K137" s="48" t="n">
        <v>17.39</v>
      </c>
      <c r="L137" s="48" t="n">
        <v>90430.37</v>
      </c>
      <c r="M137" s="44" t="inlineStr">
        <is>
          <t>USD</t>
        </is>
      </c>
      <c r="N137" s="44" t="inlineStr">
        <is>
          <t>FOB</t>
        </is>
      </c>
      <c r="O137" s="44" t="inlineStr">
        <is>
          <t>N</t>
        </is>
      </c>
      <c r="P137" s="48" t="n">
        <v>1325.9119</v>
      </c>
      <c r="Q137" s="47">
        <f>IF(OR(L137="",M137="",P137=""),"",L137*P137)</f>
        <v/>
      </c>
    </row>
    <row r="138" ht="15" customHeight="1" s="28">
      <c r="A138" s="44" t="inlineStr">
        <is>
          <t>R-SB-0136</t>
        </is>
      </c>
      <c r="B138" s="45" t="n">
        <v>45309</v>
      </c>
      <c r="C138" s="44" t="inlineStr">
        <is>
          <t>2024-01</t>
        </is>
      </c>
      <c r="D138" s="44" t="n">
        <v>2024</v>
      </c>
      <c r="E138" s="44" t="inlineStr">
        <is>
          <t>P-SB-002</t>
        </is>
      </c>
      <c r="F138" s="44" t="inlineStr">
        <is>
          <t>C-SB-02</t>
        </is>
      </c>
      <c r="G138" s="46" t="inlineStr">
        <is>
          <t>멕시코</t>
        </is>
      </c>
      <c r="H138" s="44" t="inlineStr">
        <is>
          <t>MX</t>
        </is>
      </c>
      <c r="I138" s="47" t="n">
        <v>18567</v>
      </c>
      <c r="J138" s="44" t="inlineStr">
        <is>
          <t>EA</t>
        </is>
      </c>
      <c r="K138" s="48" t="n">
        <v>16.71</v>
      </c>
      <c r="L138" s="48" t="n">
        <v>70834.16</v>
      </c>
      <c r="M138" s="44" t="inlineStr">
        <is>
          <t>USD</t>
        </is>
      </c>
      <c r="N138" s="44" t="inlineStr">
        <is>
          <t>FOB</t>
        </is>
      </c>
      <c r="O138" s="44" t="inlineStr">
        <is>
          <t>N</t>
        </is>
      </c>
      <c r="P138" s="48" t="n">
        <v>1325.9119</v>
      </c>
      <c r="Q138" s="47">
        <f>IF(OR(L138="",M138="",P138=""),"",L138*P138)</f>
        <v/>
      </c>
    </row>
    <row r="139" ht="15" customHeight="1" s="28">
      <c r="A139" s="44" t="inlineStr">
        <is>
          <t>R-SB-0137</t>
        </is>
      </c>
      <c r="B139" s="45" t="n">
        <v>45310</v>
      </c>
      <c r="C139" s="44" t="inlineStr">
        <is>
          <t>2024-01</t>
        </is>
      </c>
      <c r="D139" s="44" t="n">
        <v>2024</v>
      </c>
      <c r="E139" s="44" t="inlineStr">
        <is>
          <t>P-SB-003</t>
        </is>
      </c>
      <c r="F139" s="44" t="inlineStr">
        <is>
          <t>C-SB-01</t>
        </is>
      </c>
      <c r="G139" s="46" t="inlineStr">
        <is>
          <t>미국</t>
        </is>
      </c>
      <c r="H139" s="44" t="inlineStr">
        <is>
          <t>US</t>
        </is>
      </c>
      <c r="I139" s="47" t="n">
        <v>67926</v>
      </c>
      <c r="J139" s="44" t="inlineStr">
        <is>
          <t>EA</t>
        </is>
      </c>
      <c r="K139" s="48" t="n">
        <v>16.98</v>
      </c>
      <c r="L139" s="48" t="n">
        <v>61268.87</v>
      </c>
      <c r="M139" s="44" t="inlineStr">
        <is>
          <t>USD</t>
        </is>
      </c>
      <c r="N139" s="44" t="inlineStr">
        <is>
          <t>FOB</t>
        </is>
      </c>
      <c r="O139" s="44" t="inlineStr">
        <is>
          <t>N</t>
        </is>
      </c>
      <c r="P139" s="48" t="n">
        <v>1325.9119</v>
      </c>
      <c r="Q139" s="47">
        <f>IF(OR(L139="",M139="",P139=""),"",L139*P139)</f>
        <v/>
      </c>
    </row>
    <row r="140" ht="15" customHeight="1" s="28">
      <c r="A140" s="44" t="inlineStr">
        <is>
          <t>R-SB-0138</t>
        </is>
      </c>
      <c r="B140" s="45" t="n">
        <v>45311</v>
      </c>
      <c r="C140" s="44" t="inlineStr">
        <is>
          <t>2024-01</t>
        </is>
      </c>
      <c r="D140" s="44" t="n">
        <v>2024</v>
      </c>
      <c r="E140" s="44" t="inlineStr">
        <is>
          <t>P-SB-003</t>
        </is>
      </c>
      <c r="F140" s="44" t="inlineStr">
        <is>
          <t>C-SB-02</t>
        </is>
      </c>
      <c r="G140" s="46" t="inlineStr">
        <is>
          <t>멕시코</t>
        </is>
      </c>
      <c r="H140" s="44" t="inlineStr">
        <is>
          <t>MX</t>
        </is>
      </c>
      <c r="I140" s="47" t="n">
        <v>47938</v>
      </c>
      <c r="J140" s="44" t="inlineStr">
        <is>
          <t>EA</t>
        </is>
      </c>
      <c r="K140" s="48" t="n">
        <v>11.98</v>
      </c>
      <c r="L140" s="50" t="n"/>
      <c r="M140" s="44" t="inlineStr">
        <is>
          <t>USD</t>
        </is>
      </c>
      <c r="N140" s="44" t="inlineStr">
        <is>
          <t>FOB</t>
        </is>
      </c>
      <c r="O140" s="44" t="inlineStr">
        <is>
          <t>N</t>
        </is>
      </c>
      <c r="P140" s="48" t="n">
        <v>1325.9119</v>
      </c>
      <c r="Q140" s="47">
        <f>IF(OR(L140="",M140="",P140=""),"",L140*P140)</f>
        <v/>
      </c>
    </row>
    <row r="141" ht="15" customHeight="1" s="28">
      <c r="A141" s="44" t="inlineStr">
        <is>
          <t>R-SB-0139</t>
        </is>
      </c>
      <c r="B141" s="52" t="n"/>
      <c r="C141" s="49" t="n"/>
      <c r="D141" s="49" t="n"/>
      <c r="E141" s="44" t="inlineStr">
        <is>
          <t>P-SB-003</t>
        </is>
      </c>
      <c r="F141" s="44" t="inlineStr">
        <is>
          <t>C-SB-03</t>
        </is>
      </c>
      <c r="G141" s="46" t="inlineStr">
        <is>
          <t>베트남</t>
        </is>
      </c>
      <c r="H141" s="44" t="inlineStr">
        <is>
          <t>VN</t>
        </is>
      </c>
      <c r="I141" s="47" t="n">
        <v>32932</v>
      </c>
      <c r="J141" s="44" t="inlineStr">
        <is>
          <t>EA</t>
        </is>
      </c>
      <c r="K141" s="48" t="n">
        <v>8.23</v>
      </c>
      <c r="L141" s="48" t="n">
        <v>31106.89</v>
      </c>
      <c r="M141" s="44" t="inlineStr">
        <is>
          <t>USD</t>
        </is>
      </c>
      <c r="N141" s="44" t="inlineStr">
        <is>
          <t>FOB</t>
        </is>
      </c>
      <c r="O141" s="44" t="inlineStr">
        <is>
          <t>N</t>
        </is>
      </c>
      <c r="P141" s="50" t="n"/>
      <c r="Q141" s="47">
        <f>IF(OR(L141="",M141="",P141=""),"",L141*P141)</f>
        <v/>
      </c>
    </row>
    <row r="142" ht="15" customHeight="1" s="28">
      <c r="A142" s="44" t="inlineStr">
        <is>
          <t>R-SB-0140</t>
        </is>
      </c>
      <c r="B142" s="45" t="n">
        <v>45327</v>
      </c>
      <c r="C142" s="44" t="inlineStr">
        <is>
          <t>2024-02</t>
        </is>
      </c>
      <c r="D142" s="44" t="n">
        <v>2024</v>
      </c>
      <c r="E142" s="44" t="inlineStr">
        <is>
          <t>P-SB-001</t>
        </is>
      </c>
      <c r="F142" s="44" t="inlineStr">
        <is>
          <t>C-SB-03</t>
        </is>
      </c>
      <c r="G142" s="46" t="inlineStr">
        <is>
          <t>베트남</t>
        </is>
      </c>
      <c r="H142" s="44" t="inlineStr">
        <is>
          <t>VN</t>
        </is>
      </c>
      <c r="I142" s="47" t="n">
        <v>63737</v>
      </c>
      <c r="J142" s="44" t="inlineStr">
        <is>
          <t>EA</t>
        </is>
      </c>
      <c r="K142" s="48" t="n">
        <v>22.31</v>
      </c>
      <c r="L142" s="48" t="n">
        <v>117276.04</v>
      </c>
      <c r="M142" s="44" t="inlineStr">
        <is>
          <t>USD</t>
        </is>
      </c>
      <c r="N142" s="44" t="inlineStr">
        <is>
          <t>FOB</t>
        </is>
      </c>
      <c r="O142" s="44" t="inlineStr">
        <is>
          <t>N</t>
        </is>
      </c>
      <c r="P142" s="48" t="n">
        <v>1331.3345</v>
      </c>
      <c r="Q142" s="47">
        <f>IF(OR(L142="",M142="",P142=""),"",L142*P142)</f>
        <v/>
      </c>
    </row>
    <row r="143" ht="15" customHeight="1" s="28">
      <c r="A143" s="44" t="inlineStr">
        <is>
          <t>R-SB-0141</t>
        </is>
      </c>
      <c r="B143" s="45" t="n">
        <v>45328</v>
      </c>
      <c r="C143" s="44" t="inlineStr">
        <is>
          <t>2024-02</t>
        </is>
      </c>
      <c r="D143" s="44" t="n">
        <v>2024</v>
      </c>
      <c r="E143" s="44" t="inlineStr">
        <is>
          <t>P-SB-002</t>
        </is>
      </c>
      <c r="F143" s="44" t="inlineStr">
        <is>
          <t>C-SB-03</t>
        </is>
      </c>
      <c r="G143" s="46" t="inlineStr">
        <is>
          <t>베트남</t>
        </is>
      </c>
      <c r="H143" s="44" t="inlineStr">
        <is>
          <t>VN</t>
        </is>
      </c>
      <c r="I143" s="47" t="n">
        <v>19789</v>
      </c>
      <c r="J143" s="44" t="inlineStr">
        <is>
          <t>EA</t>
        </is>
      </c>
      <c r="K143" s="48" t="n">
        <v>17.81</v>
      </c>
      <c r="L143" s="48" t="n">
        <v>75823.72</v>
      </c>
      <c r="M143" s="44" t="inlineStr">
        <is>
          <t>USD</t>
        </is>
      </c>
      <c r="N143" s="44" t="inlineStr">
        <is>
          <t>FOB</t>
        </is>
      </c>
      <c r="O143" s="44" t="inlineStr">
        <is>
          <t>N</t>
        </is>
      </c>
      <c r="P143" s="48" t="n">
        <v>1331.3345</v>
      </c>
      <c r="Q143" s="47">
        <f>IF(OR(L143="",M143="",P143=""),"",L143*P143)</f>
        <v/>
      </c>
    </row>
    <row r="144" ht="15" customHeight="1" s="28">
      <c r="A144" s="44" t="inlineStr">
        <is>
          <t>R-SB-0142</t>
        </is>
      </c>
      <c r="B144" s="45" t="n">
        <v>45329</v>
      </c>
      <c r="C144" s="44" t="inlineStr">
        <is>
          <t>2024-02</t>
        </is>
      </c>
      <c r="D144" s="44" t="n">
        <v>2024</v>
      </c>
      <c r="E144" s="44" t="inlineStr">
        <is>
          <t>P-SB-003</t>
        </is>
      </c>
      <c r="F144" s="44" t="inlineStr">
        <is>
          <t>C-SB-04</t>
        </is>
      </c>
      <c r="G144" s="49" t="n"/>
      <c r="H144" s="49" t="n"/>
      <c r="I144" s="47" t="n">
        <v>14911</v>
      </c>
      <c r="J144" s="44" t="inlineStr">
        <is>
          <t>EA</t>
        </is>
      </c>
      <c r="K144" s="48" t="n">
        <v>3.73</v>
      </c>
      <c r="L144" s="48" t="n">
        <v>14050.67</v>
      </c>
      <c r="M144" s="44" t="inlineStr">
        <is>
          <t>USD</t>
        </is>
      </c>
      <c r="N144" s="44" t="inlineStr">
        <is>
          <t>FOB</t>
        </is>
      </c>
      <c r="O144" s="44" t="inlineStr">
        <is>
          <t>N</t>
        </is>
      </c>
      <c r="P144" s="48" t="n">
        <v>1331.3345</v>
      </c>
      <c r="Q144" s="47">
        <f>IF(OR(L144="",M144="",P144=""),"",L144*P144)</f>
        <v/>
      </c>
    </row>
    <row r="145" ht="15" customHeight="1" s="28">
      <c r="A145" s="44" t="inlineStr">
        <is>
          <t>R-SB-0143</t>
        </is>
      </c>
      <c r="B145" s="45" t="n">
        <v>45330</v>
      </c>
      <c r="C145" s="44" t="inlineStr">
        <is>
          <t>2024-02</t>
        </is>
      </c>
      <c r="D145" s="44" t="n">
        <v>2024</v>
      </c>
      <c r="E145" s="44" t="inlineStr">
        <is>
          <t>P-SB-001</t>
        </is>
      </c>
      <c r="F145" s="44" t="inlineStr">
        <is>
          <t>C-SB-04</t>
        </is>
      </c>
      <c r="G145" s="46" t="inlineStr">
        <is>
          <t>인도</t>
        </is>
      </c>
      <c r="H145" s="44" t="inlineStr">
        <is>
          <t>IN</t>
        </is>
      </c>
      <c r="I145" s="47" t="n">
        <v>39633</v>
      </c>
      <c r="J145" s="44" t="inlineStr">
        <is>
          <t>EA</t>
        </is>
      </c>
      <c r="K145" s="48" t="n">
        <v>13.87</v>
      </c>
      <c r="L145" s="48" t="n">
        <v>68301.64999999999</v>
      </c>
      <c r="M145" s="44" t="inlineStr">
        <is>
          <t>USD</t>
        </is>
      </c>
      <c r="N145" s="44" t="inlineStr">
        <is>
          <t>FOB</t>
        </is>
      </c>
      <c r="O145" s="44" t="inlineStr">
        <is>
          <t>N</t>
        </is>
      </c>
      <c r="P145" s="48" t="n">
        <v>1331.3345</v>
      </c>
      <c r="Q145" s="47">
        <f>IF(OR(L145="",M145="",P145=""),"",L145*P145)</f>
        <v/>
      </c>
    </row>
    <row r="146" ht="15" customHeight="1" s="28">
      <c r="A146" s="44" t="inlineStr">
        <is>
          <t>R-SB-0144</t>
        </is>
      </c>
      <c r="B146" s="45" t="n">
        <v>45331</v>
      </c>
      <c r="C146" s="44" t="inlineStr">
        <is>
          <t>2024-02</t>
        </is>
      </c>
      <c r="D146" s="44" t="n">
        <v>2024</v>
      </c>
      <c r="E146" s="44" t="inlineStr">
        <is>
          <t>P-SB-002</t>
        </is>
      </c>
      <c r="F146" s="44" t="inlineStr">
        <is>
          <t>C-SB-02</t>
        </is>
      </c>
      <c r="G146" s="46" t="inlineStr">
        <is>
          <t>멕시코</t>
        </is>
      </c>
      <c r="H146" s="44" t="inlineStr">
        <is>
          <t>MX</t>
        </is>
      </c>
      <c r="I146" s="47" t="n">
        <v>16884</v>
      </c>
      <c r="J146" s="44" t="inlineStr">
        <is>
          <t>EA</t>
        </is>
      </c>
      <c r="K146" s="48" t="n">
        <v>15.2</v>
      </c>
      <c r="L146" s="48" t="n">
        <v>69085.92</v>
      </c>
      <c r="M146" s="44" t="inlineStr">
        <is>
          <t>USD</t>
        </is>
      </c>
      <c r="N146" s="44" t="inlineStr">
        <is>
          <t>FOB</t>
        </is>
      </c>
      <c r="O146" s="44" t="inlineStr">
        <is>
          <t>N</t>
        </is>
      </c>
      <c r="P146" s="48" t="n">
        <v>1331.3345</v>
      </c>
      <c r="Q146" s="47">
        <f>IF(OR(L146="",M146="",P146=""),"",L146*P146)</f>
        <v/>
      </c>
    </row>
    <row r="147" ht="15" customHeight="1" s="28">
      <c r="A147" s="44" t="inlineStr">
        <is>
          <t>R-SB-0145</t>
        </is>
      </c>
      <c r="B147" s="45" t="n">
        <v>45336</v>
      </c>
      <c r="C147" s="44" t="inlineStr">
        <is>
          <t>2024-02</t>
        </is>
      </c>
      <c r="D147" s="44" t="n">
        <v>2024</v>
      </c>
      <c r="E147" s="44" t="inlineStr">
        <is>
          <t>P-SB-002</t>
        </is>
      </c>
      <c r="F147" s="44" t="inlineStr">
        <is>
          <t>C-SB-01</t>
        </is>
      </c>
      <c r="G147" s="46" t="inlineStr">
        <is>
          <t>미국</t>
        </is>
      </c>
      <c r="H147" s="44" t="inlineStr">
        <is>
          <t>US</t>
        </is>
      </c>
      <c r="I147" s="47" t="n">
        <v>34392</v>
      </c>
      <c r="J147" s="44" t="inlineStr">
        <is>
          <t>EA</t>
        </is>
      </c>
      <c r="K147" s="48" t="n">
        <v>30.95</v>
      </c>
      <c r="L147" s="48" t="n">
        <v>137805.49</v>
      </c>
      <c r="M147" s="44" t="inlineStr">
        <is>
          <t>USD</t>
        </is>
      </c>
      <c r="N147" s="44" t="inlineStr">
        <is>
          <t>FOB</t>
        </is>
      </c>
      <c r="O147" s="44" t="inlineStr">
        <is>
          <t>N</t>
        </is>
      </c>
      <c r="P147" s="48" t="n">
        <v>1331.3345</v>
      </c>
      <c r="Q147" s="47">
        <f>IF(OR(L147="",M147="",P147=""),"",L147*P147)</f>
        <v/>
      </c>
    </row>
    <row r="148" ht="15" customHeight="1" s="28">
      <c r="A148" s="44" t="inlineStr">
        <is>
          <t>R-SB-0146</t>
        </is>
      </c>
      <c r="B148" s="45" t="n">
        <v>45337</v>
      </c>
      <c r="C148" s="44" t="inlineStr">
        <is>
          <t>2024-02</t>
        </is>
      </c>
      <c r="D148" s="44" t="n">
        <v>2024</v>
      </c>
      <c r="E148" s="44" t="inlineStr">
        <is>
          <t>P-SB-001</t>
        </is>
      </c>
      <c r="F148" s="44" t="inlineStr">
        <is>
          <t>C-SB-02</t>
        </is>
      </c>
      <c r="G148" s="46" t="inlineStr">
        <is>
          <t>멕시코</t>
        </is>
      </c>
      <c r="H148" s="44" t="inlineStr">
        <is>
          <t>MX</t>
        </is>
      </c>
      <c r="I148" s="47" t="n">
        <v>84386</v>
      </c>
      <c r="J148" s="44" t="inlineStr">
        <is>
          <t>EA</t>
        </is>
      </c>
      <c r="K148" s="48" t="n">
        <v>29.54</v>
      </c>
      <c r="L148" s="48" t="n">
        <v>147763.08</v>
      </c>
      <c r="M148" s="44" t="inlineStr">
        <is>
          <t>USD</t>
        </is>
      </c>
      <c r="N148" s="44" t="inlineStr">
        <is>
          <t>FOB</t>
        </is>
      </c>
      <c r="O148" s="44" t="inlineStr">
        <is>
          <t>N</t>
        </is>
      </c>
      <c r="P148" s="48" t="n">
        <v>1331.3345</v>
      </c>
      <c r="Q148" s="47">
        <f>IF(OR(L148="",M148="",P148=""),"",L148*P148)</f>
        <v/>
      </c>
    </row>
    <row r="149" ht="15" customHeight="1" s="28">
      <c r="A149" s="44" t="inlineStr">
        <is>
          <t>R-SB-0147</t>
        </is>
      </c>
      <c r="B149" s="45" t="n">
        <v>45339</v>
      </c>
      <c r="C149" s="44" t="inlineStr">
        <is>
          <t>2024-02</t>
        </is>
      </c>
      <c r="D149" s="44" t="n">
        <v>2024</v>
      </c>
      <c r="E149" s="44" t="inlineStr">
        <is>
          <t>P-SB-003</t>
        </is>
      </c>
      <c r="F149" s="44" t="inlineStr">
        <is>
          <t>C-SB-01</t>
        </is>
      </c>
      <c r="G149" s="46" t="inlineStr">
        <is>
          <t>미국</t>
        </is>
      </c>
      <c r="H149" s="44" t="inlineStr">
        <is>
          <t>US</t>
        </is>
      </c>
      <c r="I149" s="47" t="n">
        <v>77415</v>
      </c>
      <c r="J149" s="44" t="inlineStr">
        <is>
          <t>EA</t>
        </is>
      </c>
      <c r="K149" s="48" t="n">
        <v>19.35</v>
      </c>
      <c r="L149" s="48" t="n">
        <v>67076.36</v>
      </c>
      <c r="M149" s="44" t="inlineStr">
        <is>
          <t>USD</t>
        </is>
      </c>
      <c r="N149" s="44" t="inlineStr">
        <is>
          <t>FOB</t>
        </is>
      </c>
      <c r="O149" s="44" t="inlineStr">
        <is>
          <t>N</t>
        </is>
      </c>
      <c r="P149" s="48" t="n">
        <v>1331.3345</v>
      </c>
      <c r="Q149" s="47">
        <f>IF(OR(L149="",M149="",P149=""),"",L149*P149)</f>
        <v/>
      </c>
    </row>
    <row r="150" ht="15" customHeight="1" s="28">
      <c r="A150" s="44" t="inlineStr">
        <is>
          <t>R-SB-0148</t>
        </is>
      </c>
      <c r="B150" s="45" t="n">
        <v>45345</v>
      </c>
      <c r="C150" s="44" t="inlineStr">
        <is>
          <t>2024-02</t>
        </is>
      </c>
      <c r="D150" s="44" t="n">
        <v>2024</v>
      </c>
      <c r="E150" s="44" t="inlineStr">
        <is>
          <t>P-SB-002</t>
        </is>
      </c>
      <c r="F150" s="44" t="inlineStr">
        <is>
          <t>C-SB-04</t>
        </is>
      </c>
      <c r="G150" s="46" t="inlineStr">
        <is>
          <t>인도</t>
        </is>
      </c>
      <c r="H150" s="44" t="inlineStr">
        <is>
          <t>IN</t>
        </is>
      </c>
      <c r="I150" s="47" t="n">
        <v>9027</v>
      </c>
      <c r="J150" s="44" t="inlineStr">
        <is>
          <t>EA</t>
        </is>
      </c>
      <c r="K150" s="48" t="n">
        <v>8.119999999999999</v>
      </c>
      <c r="L150" s="48" t="n">
        <v>35677.29</v>
      </c>
      <c r="M150" s="44" t="inlineStr">
        <is>
          <t>USD</t>
        </is>
      </c>
      <c r="N150" s="44" t="inlineStr">
        <is>
          <t>FOB</t>
        </is>
      </c>
      <c r="O150" s="44" t="inlineStr">
        <is>
          <t>N</t>
        </is>
      </c>
      <c r="P150" s="48" t="n">
        <v>1331.3345</v>
      </c>
      <c r="Q150" s="47">
        <f>IF(OR(L150="",M150="",P150=""),"",L150*P150)</f>
        <v/>
      </c>
    </row>
    <row r="151" ht="15" customHeight="1" s="28">
      <c r="A151" s="44" t="inlineStr">
        <is>
          <t>R-SB-0149</t>
        </is>
      </c>
      <c r="B151" s="45" t="n">
        <v>45357</v>
      </c>
      <c r="C151" s="44" t="inlineStr">
        <is>
          <t>2024-03</t>
        </is>
      </c>
      <c r="D151" s="44" t="n">
        <v>2024</v>
      </c>
      <c r="E151" s="44" t="inlineStr">
        <is>
          <t>P-SB-003</t>
        </is>
      </c>
      <c r="F151" s="44" t="inlineStr">
        <is>
          <t>C-SB-02</t>
        </is>
      </c>
      <c r="G151" s="46" t="inlineStr">
        <is>
          <t>멕시코</t>
        </is>
      </c>
      <c r="H151" s="44" t="inlineStr">
        <is>
          <t>MX</t>
        </is>
      </c>
      <c r="I151" s="47" t="n">
        <v>48836</v>
      </c>
      <c r="J151" s="44" t="inlineStr">
        <is>
          <t>EA</t>
        </is>
      </c>
      <c r="K151" s="48" t="n">
        <v>12.21</v>
      </c>
      <c r="L151" s="48" t="n">
        <v>42272.57</v>
      </c>
      <c r="M151" s="44" t="inlineStr">
        <is>
          <t>USD</t>
        </is>
      </c>
      <c r="N151" s="44" t="inlineStr">
        <is>
          <t>FOB</t>
        </is>
      </c>
      <c r="O151" s="44" t="inlineStr">
        <is>
          <t>N</t>
        </is>
      </c>
      <c r="P151" s="48" t="n">
        <v>1331.6752</v>
      </c>
      <c r="Q151" s="47">
        <f>IF(OR(L151="",M151="",P151=""),"",L151*P151)</f>
        <v/>
      </c>
    </row>
    <row r="152" ht="15" customHeight="1" s="28">
      <c r="A152" s="44" t="inlineStr">
        <is>
          <t>R-SB-0150</t>
        </is>
      </c>
      <c r="B152" s="45" t="n">
        <v>45358</v>
      </c>
      <c r="C152" s="44" t="inlineStr">
        <is>
          <t>2024-03</t>
        </is>
      </c>
      <c r="D152" s="44" t="n">
        <v>2024</v>
      </c>
      <c r="E152" s="44" t="inlineStr">
        <is>
          <t>P-SB-002</t>
        </is>
      </c>
      <c r="F152" s="44" t="inlineStr">
        <is>
          <t>C-SB-02</t>
        </is>
      </c>
      <c r="G152" s="46" t="inlineStr">
        <is>
          <t>멕시코</t>
        </is>
      </c>
      <c r="H152" s="44" t="inlineStr">
        <is>
          <t>MX</t>
        </is>
      </c>
      <c r="I152" s="47" t="n">
        <v>20870</v>
      </c>
      <c r="J152" s="44" t="inlineStr">
        <is>
          <t>EA</t>
        </is>
      </c>
      <c r="K152" s="48" t="n">
        <v>18.78</v>
      </c>
      <c r="L152" s="48" t="n">
        <v>85046.49000000001</v>
      </c>
      <c r="M152" s="44" t="inlineStr">
        <is>
          <t>USD</t>
        </is>
      </c>
      <c r="N152" s="44" t="inlineStr">
        <is>
          <t>FOB</t>
        </is>
      </c>
      <c r="O152" s="44" t="inlineStr">
        <is>
          <t>N</t>
        </is>
      </c>
      <c r="P152" s="48" t="n">
        <v>1331.6752</v>
      </c>
      <c r="Q152" s="47">
        <f>IF(OR(L152="",M152="",P152=""),"",L152*P152)</f>
        <v/>
      </c>
    </row>
    <row r="153" ht="15" customHeight="1" s="28">
      <c r="A153" s="44" t="inlineStr">
        <is>
          <t>R-SB-0151</t>
        </is>
      </c>
      <c r="B153" s="45" t="n">
        <v>45362</v>
      </c>
      <c r="C153" s="44" t="inlineStr">
        <is>
          <t>2024-03</t>
        </is>
      </c>
      <c r="D153" s="44" t="n">
        <v>2024</v>
      </c>
      <c r="E153" s="44" t="inlineStr">
        <is>
          <t>P-SB-002</t>
        </is>
      </c>
      <c r="F153" s="44" t="inlineStr">
        <is>
          <t>C-SB-04</t>
        </is>
      </c>
      <c r="G153" s="46" t="inlineStr">
        <is>
          <t>인도</t>
        </is>
      </c>
      <c r="H153" s="44" t="inlineStr">
        <is>
          <t>IN</t>
        </is>
      </c>
      <c r="I153" s="47" t="n">
        <v>9431</v>
      </c>
      <c r="J153" s="44" t="inlineStr">
        <is>
          <t>EA</t>
        </is>
      </c>
      <c r="K153" s="48" t="n">
        <v>8.49</v>
      </c>
      <c r="L153" s="48" t="n">
        <v>39340.24</v>
      </c>
      <c r="M153" s="44" t="inlineStr">
        <is>
          <t>USD</t>
        </is>
      </c>
      <c r="N153" s="44" t="inlineStr">
        <is>
          <t>FOB</t>
        </is>
      </c>
      <c r="O153" s="44" t="inlineStr">
        <is>
          <t>N</t>
        </is>
      </c>
      <c r="P153" s="48" t="n">
        <v>1331.6752</v>
      </c>
      <c r="Q153" s="47">
        <f>IF(OR(L153="",M153="",P153=""),"",L153*P153)</f>
        <v/>
      </c>
    </row>
    <row r="154" ht="15" customHeight="1" s="28">
      <c r="A154" s="44" t="inlineStr">
        <is>
          <t>R-SB-0152</t>
        </is>
      </c>
      <c r="B154" s="45" t="n">
        <v>45364</v>
      </c>
      <c r="C154" s="44" t="inlineStr">
        <is>
          <t>2024-03</t>
        </is>
      </c>
      <c r="D154" s="44" t="n">
        <v>2024</v>
      </c>
      <c r="E154" s="44" t="inlineStr">
        <is>
          <t>P-SB-003</t>
        </is>
      </c>
      <c r="F154" s="44" t="inlineStr">
        <is>
          <t>C-SB-03</t>
        </is>
      </c>
      <c r="G154" s="46" t="inlineStr">
        <is>
          <t>베트남</t>
        </is>
      </c>
      <c r="H154" s="44" t="inlineStr">
        <is>
          <t>VN</t>
        </is>
      </c>
      <c r="I154" s="47" t="n">
        <v>43761</v>
      </c>
      <c r="J154" s="44" t="inlineStr">
        <is>
          <t>EA</t>
        </is>
      </c>
      <c r="K154" s="48" t="n">
        <v>10.94</v>
      </c>
      <c r="L154" s="48" t="n">
        <v>37896.78</v>
      </c>
      <c r="M154" s="44" t="inlineStr">
        <is>
          <t>USD</t>
        </is>
      </c>
      <c r="N154" s="44" t="inlineStr">
        <is>
          <t>FOB</t>
        </is>
      </c>
      <c r="O154" s="44" t="inlineStr">
        <is>
          <t>N</t>
        </is>
      </c>
      <c r="P154" s="48" t="n">
        <v>1331.6752</v>
      </c>
      <c r="Q154" s="47">
        <f>IF(OR(L154="",M154="",P154=""),"",L154*P154)</f>
        <v/>
      </c>
    </row>
    <row r="155" ht="15" customHeight="1" s="28">
      <c r="A155" s="44" t="inlineStr">
        <is>
          <t>R-SB-0153</t>
        </is>
      </c>
      <c r="B155" s="45" t="n">
        <v>45368</v>
      </c>
      <c r="C155" s="44" t="inlineStr">
        <is>
          <t>2024-03</t>
        </is>
      </c>
      <c r="D155" s="44" t="n">
        <v>2024</v>
      </c>
      <c r="E155" s="44" t="inlineStr">
        <is>
          <t>P-SB-001</t>
        </is>
      </c>
      <c r="F155" s="44" t="inlineStr">
        <is>
          <t>C-SB-01</t>
        </is>
      </c>
      <c r="G155" s="46" t="inlineStr">
        <is>
          <t>미국</t>
        </is>
      </c>
      <c r="H155" s="44" t="inlineStr">
        <is>
          <t>US</t>
        </is>
      </c>
      <c r="I155" s="47" t="n">
        <v>110984</v>
      </c>
      <c r="J155" s="44" t="inlineStr">
        <is>
          <t>EA</t>
        </is>
      </c>
      <c r="K155" s="48" t="n">
        <v>38.84</v>
      </c>
      <c r="L155" s="48" t="n">
        <v>199982.19</v>
      </c>
      <c r="M155" s="44" t="inlineStr">
        <is>
          <t>USD</t>
        </is>
      </c>
      <c r="N155" s="44" t="inlineStr">
        <is>
          <t>FOB</t>
        </is>
      </c>
      <c r="O155" s="44" t="inlineStr">
        <is>
          <t>N</t>
        </is>
      </c>
      <c r="P155" s="48" t="n">
        <v>1331.6752</v>
      </c>
      <c r="Q155" s="47">
        <f>IF(OR(L155="",M155="",P155=""),"",L155*P155)</f>
        <v/>
      </c>
    </row>
    <row r="156" ht="15" customHeight="1" s="28">
      <c r="A156" s="44" t="inlineStr">
        <is>
          <t>R-SB-0154</t>
        </is>
      </c>
      <c r="B156" s="45" t="n">
        <v>45368</v>
      </c>
      <c r="C156" s="44" t="inlineStr">
        <is>
          <t>2024-03</t>
        </is>
      </c>
      <c r="D156" s="44" t="n">
        <v>2024</v>
      </c>
      <c r="E156" s="44" t="inlineStr">
        <is>
          <t>P-SB-003</t>
        </is>
      </c>
      <c r="F156" s="44" t="inlineStr">
        <is>
          <t>C-SB-01</t>
        </is>
      </c>
      <c r="G156" s="46" t="inlineStr">
        <is>
          <t>미국</t>
        </is>
      </c>
      <c r="H156" s="44" t="inlineStr">
        <is>
          <t>US</t>
        </is>
      </c>
      <c r="I156" s="47" t="n">
        <v>74348</v>
      </c>
      <c r="J156" s="44" t="inlineStr">
        <is>
          <t>EA</t>
        </is>
      </c>
      <c r="K156" s="48" t="n">
        <v>18.59</v>
      </c>
      <c r="L156" s="48" t="n">
        <v>67470.7</v>
      </c>
      <c r="M156" s="44" t="inlineStr">
        <is>
          <t>USD</t>
        </is>
      </c>
      <c r="N156" s="44" t="inlineStr">
        <is>
          <t>FOB</t>
        </is>
      </c>
      <c r="O156" s="44" t="inlineStr">
        <is>
          <t>N</t>
        </is>
      </c>
      <c r="P156" s="48" t="n">
        <v>1331.6752</v>
      </c>
      <c r="Q156" s="47">
        <f>IF(OR(L156="",M156="",P156=""),"",L156*P156)</f>
        <v/>
      </c>
    </row>
    <row r="157" ht="15" customHeight="1" s="28">
      <c r="A157" s="44" t="inlineStr">
        <is>
          <t>R-SB-0155</t>
        </is>
      </c>
      <c r="B157" s="45" t="n">
        <v>45368</v>
      </c>
      <c r="C157" s="44" t="inlineStr">
        <is>
          <t>2024-03</t>
        </is>
      </c>
      <c r="D157" s="44" t="n">
        <v>2024</v>
      </c>
      <c r="E157" s="44" t="inlineStr">
        <is>
          <t>P-SB-001</t>
        </is>
      </c>
      <c r="F157" s="49" t="n"/>
      <c r="G157" s="46" t="inlineStr">
        <is>
          <t>멕시코</t>
        </is>
      </c>
      <c r="H157" s="44" t="inlineStr">
        <is>
          <t>MX</t>
        </is>
      </c>
      <c r="I157" s="47" t="n">
        <v>103459</v>
      </c>
      <c r="J157" s="44" t="inlineStr">
        <is>
          <t>EA</t>
        </is>
      </c>
      <c r="K157" s="48" t="n">
        <v>36.21</v>
      </c>
      <c r="L157" s="48" t="n">
        <v>179209.21</v>
      </c>
      <c r="M157" s="44" t="inlineStr">
        <is>
          <t>USD</t>
        </is>
      </c>
      <c r="N157" s="44" t="inlineStr">
        <is>
          <t>FOB</t>
        </is>
      </c>
      <c r="O157" s="44" t="inlineStr">
        <is>
          <t>N</t>
        </is>
      </c>
      <c r="P157" s="48" t="n">
        <v>1331.6752</v>
      </c>
      <c r="Q157" s="47">
        <f>IF(OR(L157="",M157="",P157=""),"",L157*P157)</f>
        <v/>
      </c>
    </row>
    <row r="158" ht="15" customHeight="1" s="28">
      <c r="A158" s="44" t="inlineStr">
        <is>
          <t>R-SB-0156</t>
        </is>
      </c>
      <c r="B158" s="45" t="n">
        <v>45373</v>
      </c>
      <c r="C158" s="44" t="inlineStr">
        <is>
          <t>2024-03</t>
        </is>
      </c>
      <c r="D158" s="44" t="n">
        <v>2024</v>
      </c>
      <c r="E158" s="44" t="inlineStr">
        <is>
          <t>P-SB-001</t>
        </is>
      </c>
      <c r="F158" s="44" t="inlineStr">
        <is>
          <t>C-SB-03</t>
        </is>
      </c>
      <c r="G158" s="46" t="inlineStr">
        <is>
          <t>베트남</t>
        </is>
      </c>
      <c r="H158" s="44" t="inlineStr">
        <is>
          <t>VN</t>
        </is>
      </c>
      <c r="I158" s="47" t="n">
        <v>59734</v>
      </c>
      <c r="J158" s="44" t="inlineStr">
        <is>
          <t>EA</t>
        </is>
      </c>
      <c r="K158" s="48" t="n">
        <v>20.91</v>
      </c>
      <c r="L158" s="48" t="n">
        <v>110757.89</v>
      </c>
      <c r="M158" s="44" t="inlineStr">
        <is>
          <t>USD</t>
        </is>
      </c>
      <c r="N158" s="44" t="inlineStr">
        <is>
          <t>FOB</t>
        </is>
      </c>
      <c r="O158" s="44" t="inlineStr">
        <is>
          <t>N</t>
        </is>
      </c>
      <c r="P158" s="48" t="n">
        <v>1331.6752</v>
      </c>
      <c r="Q158" s="47">
        <f>IF(OR(L158="",M158="",P158=""),"",L158*P158)</f>
        <v/>
      </c>
    </row>
    <row r="159" ht="15" customHeight="1" s="28">
      <c r="A159" s="44" t="inlineStr">
        <is>
          <t>R-SB-0157</t>
        </is>
      </c>
      <c r="B159" s="45" t="n">
        <v>45374</v>
      </c>
      <c r="C159" s="44" t="inlineStr">
        <is>
          <t>2024-03</t>
        </is>
      </c>
      <c r="D159" s="44" t="n">
        <v>2024</v>
      </c>
      <c r="E159" s="44" t="inlineStr">
        <is>
          <t>P-SB-002</t>
        </is>
      </c>
      <c r="F159" s="44" t="inlineStr">
        <is>
          <t>C-SB-01</t>
        </is>
      </c>
      <c r="G159" s="46" t="inlineStr">
        <is>
          <t>미국</t>
        </is>
      </c>
      <c r="H159" s="44" t="inlineStr">
        <is>
          <t>US</t>
        </is>
      </c>
      <c r="I159" s="47" t="n">
        <v>36086</v>
      </c>
      <c r="J159" s="44" t="inlineStr">
        <is>
          <t>EA</t>
        </is>
      </c>
      <c r="K159" s="48" t="n">
        <v>32.48</v>
      </c>
      <c r="L159" s="48" t="n">
        <v>144967.65</v>
      </c>
      <c r="M159" s="44" t="inlineStr">
        <is>
          <t>USD</t>
        </is>
      </c>
      <c r="N159" s="44" t="inlineStr">
        <is>
          <t>FOB</t>
        </is>
      </c>
      <c r="O159" s="44" t="inlineStr">
        <is>
          <t>N</t>
        </is>
      </c>
      <c r="P159" s="48" t="n">
        <v>1331.6752</v>
      </c>
      <c r="Q159" s="47">
        <f>IF(OR(L159="",M159="",P159=""),"",L159*P159)</f>
        <v/>
      </c>
    </row>
    <row r="160" ht="15" customHeight="1" s="28">
      <c r="A160" s="44" t="inlineStr">
        <is>
          <t>R-SB-0158</t>
        </is>
      </c>
      <c r="B160" s="45" t="n">
        <v>45374</v>
      </c>
      <c r="C160" s="44" t="inlineStr">
        <is>
          <t>2024-03</t>
        </is>
      </c>
      <c r="D160" s="44" t="n">
        <v>2024</v>
      </c>
      <c r="E160" s="44" t="inlineStr">
        <is>
          <t>P-SB-002</t>
        </is>
      </c>
      <c r="F160" s="44" t="inlineStr">
        <is>
          <t>C-SB-03</t>
        </is>
      </c>
      <c r="G160" s="46" t="inlineStr">
        <is>
          <t>베트남</t>
        </is>
      </c>
      <c r="H160" s="44" t="inlineStr">
        <is>
          <t>VN</t>
        </is>
      </c>
      <c r="I160" s="47" t="n">
        <v>15062</v>
      </c>
      <c r="J160" s="44" t="inlineStr">
        <is>
          <t>EA</t>
        </is>
      </c>
      <c r="K160" s="48" t="n">
        <v>13.56</v>
      </c>
      <c r="L160" s="48" t="n">
        <v>60703.14</v>
      </c>
      <c r="M160" s="44" t="inlineStr">
        <is>
          <t>USD</t>
        </is>
      </c>
      <c r="N160" s="44" t="inlineStr">
        <is>
          <t>FOB</t>
        </is>
      </c>
      <c r="O160" s="44" t="inlineStr">
        <is>
          <t>N</t>
        </is>
      </c>
      <c r="P160" s="48" t="n">
        <v>1331.6752</v>
      </c>
      <c r="Q160" s="47">
        <f>IF(OR(L160="",M160="",P160=""),"",L160*P160)</f>
        <v/>
      </c>
    </row>
    <row r="161" ht="15" customHeight="1" s="28">
      <c r="A161" s="44" t="inlineStr">
        <is>
          <t>R-SB-0159</t>
        </is>
      </c>
      <c r="B161" s="45" t="n">
        <v>45378</v>
      </c>
      <c r="C161" s="44" t="inlineStr">
        <is>
          <t>2024-03</t>
        </is>
      </c>
      <c r="D161" s="44" t="n">
        <v>2024</v>
      </c>
      <c r="E161" s="44" t="inlineStr">
        <is>
          <t>P-SB-001</t>
        </is>
      </c>
      <c r="F161" s="44" t="inlineStr">
        <is>
          <t>C-SB-04</t>
        </is>
      </c>
      <c r="G161" s="46" t="inlineStr">
        <is>
          <t>인도</t>
        </is>
      </c>
      <c r="H161" s="44" t="inlineStr">
        <is>
          <t>IN</t>
        </is>
      </c>
      <c r="I161" s="47" t="n">
        <v>33680</v>
      </c>
      <c r="J161" s="44" t="inlineStr">
        <is>
          <t>EA</t>
        </is>
      </c>
      <c r="K161" s="48" t="n">
        <v>11.79</v>
      </c>
      <c r="L161" s="48" t="n">
        <v>61197.87</v>
      </c>
      <c r="M161" s="44" t="inlineStr">
        <is>
          <t>USD</t>
        </is>
      </c>
      <c r="N161" s="44" t="inlineStr">
        <is>
          <t>FOB</t>
        </is>
      </c>
      <c r="O161" s="44" t="inlineStr">
        <is>
          <t>N</t>
        </is>
      </c>
      <c r="P161" s="48" t="n">
        <v>1331.6752</v>
      </c>
      <c r="Q161" s="47">
        <f>IF(OR(L161="",M161="",P161=""),"",L161*P161)</f>
        <v/>
      </c>
    </row>
    <row r="162" ht="15" customHeight="1" s="28">
      <c r="A162" s="44" t="inlineStr">
        <is>
          <t>R-SB-0160</t>
        </is>
      </c>
      <c r="B162" s="45" t="n">
        <v>45385</v>
      </c>
      <c r="C162" s="44" t="inlineStr">
        <is>
          <t>2024-04</t>
        </is>
      </c>
      <c r="D162" s="44" t="n">
        <v>2024</v>
      </c>
      <c r="E162" s="44" t="inlineStr">
        <is>
          <t>P-SB-003</t>
        </is>
      </c>
      <c r="F162" s="44" t="inlineStr">
        <is>
          <t>C-SB-02</t>
        </is>
      </c>
      <c r="G162" s="46" t="inlineStr">
        <is>
          <t>멕시코</t>
        </is>
      </c>
      <c r="H162" s="44" t="inlineStr">
        <is>
          <t>MX</t>
        </is>
      </c>
      <c r="I162" s="47" t="n">
        <v>54413</v>
      </c>
      <c r="J162" s="44" t="inlineStr">
        <is>
          <t>EA</t>
        </is>
      </c>
      <c r="K162" s="48" t="n">
        <v>13.6</v>
      </c>
      <c r="L162" s="48" t="n">
        <v>48556.25</v>
      </c>
      <c r="M162" s="44" t="inlineStr">
        <is>
          <t>USD</t>
        </is>
      </c>
      <c r="N162" s="44" t="inlineStr">
        <is>
          <t>FOB</t>
        </is>
      </c>
      <c r="O162" s="44" t="inlineStr">
        <is>
          <t>N</t>
        </is>
      </c>
      <c r="P162" s="48" t="n">
        <v>1367.8555</v>
      </c>
      <c r="Q162" s="47">
        <f>IF(OR(L162="",M162="",P162=""),"",L162*P162)</f>
        <v/>
      </c>
    </row>
    <row r="163" ht="15" customHeight="1" s="28">
      <c r="A163" s="44" t="inlineStr">
        <is>
          <t>R-SB-0161</t>
        </is>
      </c>
      <c r="B163" s="45" t="n">
        <v>45388</v>
      </c>
      <c r="C163" s="44" t="inlineStr">
        <is>
          <t>2024-04</t>
        </is>
      </c>
      <c r="D163" s="44" t="n">
        <v>2024</v>
      </c>
      <c r="E163" s="44" t="inlineStr">
        <is>
          <t>P-SB-002</t>
        </is>
      </c>
      <c r="F163" s="44" t="inlineStr">
        <is>
          <t>C-SB-02</t>
        </is>
      </c>
      <c r="G163" s="46" t="inlineStr">
        <is>
          <t>멕시코</t>
        </is>
      </c>
      <c r="H163" s="44" t="inlineStr">
        <is>
          <t>MX</t>
        </is>
      </c>
      <c r="I163" s="47" t="n">
        <v>16317</v>
      </c>
      <c r="J163" s="44" t="inlineStr">
        <is>
          <t>EA</t>
        </is>
      </c>
      <c r="K163" s="48" t="n">
        <v>14.69</v>
      </c>
      <c r="L163" s="48" t="n">
        <v>66705.89999999999</v>
      </c>
      <c r="M163" s="44" t="inlineStr">
        <is>
          <t>USD</t>
        </is>
      </c>
      <c r="N163" s="44" t="inlineStr">
        <is>
          <t>FOB</t>
        </is>
      </c>
      <c r="O163" s="44" t="inlineStr">
        <is>
          <t>N</t>
        </is>
      </c>
      <c r="P163" s="48" t="n">
        <v>1367.8555</v>
      </c>
      <c r="Q163" s="47">
        <f>IF(OR(L163="",M163="",P163=""),"",L163*P163)</f>
        <v/>
      </c>
    </row>
    <row r="164" ht="15" customHeight="1" s="28">
      <c r="A164" s="44" t="inlineStr">
        <is>
          <t>R-SB-0162</t>
        </is>
      </c>
      <c r="B164" s="45" t="n">
        <v>45390</v>
      </c>
      <c r="C164" s="44" t="inlineStr">
        <is>
          <t>2024-04</t>
        </is>
      </c>
      <c r="D164" s="44" t="n">
        <v>2024</v>
      </c>
      <c r="E164" s="44" t="inlineStr">
        <is>
          <t>P-SB-002</t>
        </is>
      </c>
      <c r="F164" s="44" t="inlineStr">
        <is>
          <t>C-SB-04</t>
        </is>
      </c>
      <c r="G164" s="46" t="inlineStr">
        <is>
          <t>인도</t>
        </is>
      </c>
      <c r="H164" s="44" t="inlineStr">
        <is>
          <t>IN</t>
        </is>
      </c>
      <c r="I164" s="47" t="n">
        <v>8837</v>
      </c>
      <c r="J164" s="44" t="inlineStr">
        <is>
          <t>EA</t>
        </is>
      </c>
      <c r="K164" s="48" t="n">
        <v>7.95</v>
      </c>
      <c r="L164" s="48" t="n">
        <v>36055.26</v>
      </c>
      <c r="M164" s="44" t="inlineStr">
        <is>
          <t>USD</t>
        </is>
      </c>
      <c r="N164" s="44" t="inlineStr">
        <is>
          <t>FOB</t>
        </is>
      </c>
      <c r="O164" s="44" t="inlineStr">
        <is>
          <t>N</t>
        </is>
      </c>
      <c r="P164" s="48" t="n">
        <v>1367.8555</v>
      </c>
      <c r="Q164" s="47">
        <f>IF(OR(L164="",M164="",P164=""),"",L164*P164)</f>
        <v/>
      </c>
    </row>
    <row r="165" ht="15" customHeight="1" s="28">
      <c r="A165" s="44" t="inlineStr">
        <is>
          <t>R-SB-0163</t>
        </is>
      </c>
      <c r="B165" s="45" t="n">
        <v>45391</v>
      </c>
      <c r="C165" s="44" t="inlineStr">
        <is>
          <t>2024-04</t>
        </is>
      </c>
      <c r="D165" s="44" t="n">
        <v>2024</v>
      </c>
      <c r="E165" s="44" t="inlineStr">
        <is>
          <t>P-SB-001</t>
        </is>
      </c>
      <c r="F165" s="44" t="inlineStr">
        <is>
          <t>C-SB-01</t>
        </is>
      </c>
      <c r="G165" s="46" t="inlineStr">
        <is>
          <t>미국</t>
        </is>
      </c>
      <c r="H165" s="44" t="inlineStr">
        <is>
          <t>US</t>
        </is>
      </c>
      <c r="I165" s="47" t="n">
        <v>122442</v>
      </c>
      <c r="J165" s="44" t="inlineStr">
        <is>
          <t>EA</t>
        </is>
      </c>
      <c r="K165" s="48" t="n">
        <v>42.85</v>
      </c>
      <c r="L165" s="48" t="n">
        <v>212355.91</v>
      </c>
      <c r="M165" s="44" t="inlineStr">
        <is>
          <t>USD</t>
        </is>
      </c>
      <c r="N165" s="44" t="inlineStr">
        <is>
          <t>FOB</t>
        </is>
      </c>
      <c r="O165" s="44" t="inlineStr">
        <is>
          <t>N</t>
        </is>
      </c>
      <c r="P165" s="48" t="n">
        <v>1367.8555</v>
      </c>
      <c r="Q165" s="47">
        <f>IF(OR(L165="",M165="",P165=""),"",L165*P165)</f>
        <v/>
      </c>
    </row>
    <row r="166" ht="15" customHeight="1" s="28">
      <c r="A166" s="44" t="inlineStr">
        <is>
          <t>R-SB-0164</t>
        </is>
      </c>
      <c r="B166" s="45" t="n">
        <v>45393</v>
      </c>
      <c r="C166" s="44" t="inlineStr">
        <is>
          <t>2024-04</t>
        </is>
      </c>
      <c r="D166" s="44" t="n">
        <v>2024</v>
      </c>
      <c r="E166" s="44" t="inlineStr">
        <is>
          <t>P-SB-002</t>
        </is>
      </c>
      <c r="F166" s="44" t="inlineStr">
        <is>
          <t>C-SB-03</t>
        </is>
      </c>
      <c r="G166" s="46" t="inlineStr">
        <is>
          <t>베트남</t>
        </is>
      </c>
      <c r="H166" s="44" t="inlineStr">
        <is>
          <t>VN</t>
        </is>
      </c>
      <c r="I166" s="47" t="n">
        <v>16022</v>
      </c>
      <c r="J166" s="44" t="inlineStr">
        <is>
          <t>EA</t>
        </is>
      </c>
      <c r="K166" s="48" t="n">
        <v>14.42</v>
      </c>
      <c r="L166" s="48" t="n">
        <v>66655.92999999999</v>
      </c>
      <c r="M166" s="44" t="inlineStr">
        <is>
          <t>USD</t>
        </is>
      </c>
      <c r="N166" s="44" t="inlineStr">
        <is>
          <t>FOB</t>
        </is>
      </c>
      <c r="O166" s="44" t="inlineStr">
        <is>
          <t>N</t>
        </is>
      </c>
      <c r="P166" s="48" t="n">
        <v>1367.8555</v>
      </c>
      <c r="Q166" s="47">
        <f>IF(OR(L166="",M166="",P166=""),"",L166*P166)</f>
        <v/>
      </c>
    </row>
    <row r="167" ht="15" customHeight="1" s="28">
      <c r="A167" s="44" t="inlineStr">
        <is>
          <t>R-SB-0165</t>
        </is>
      </c>
      <c r="B167" s="45" t="n">
        <v>45395</v>
      </c>
      <c r="C167" s="44" t="inlineStr">
        <is>
          <t>2024-04</t>
        </is>
      </c>
      <c r="D167" s="44" t="n">
        <v>2024</v>
      </c>
      <c r="E167" s="44" t="inlineStr">
        <is>
          <t>P-SB-003</t>
        </is>
      </c>
      <c r="F167" s="44" t="inlineStr">
        <is>
          <t>C-SB-03</t>
        </is>
      </c>
      <c r="G167" s="46" t="inlineStr">
        <is>
          <t>베트남</t>
        </is>
      </c>
      <c r="H167" s="44" t="inlineStr">
        <is>
          <t>VN</t>
        </is>
      </c>
      <c r="I167" s="47" t="n">
        <v>39827</v>
      </c>
      <c r="J167" s="44" t="inlineStr">
        <is>
          <t>EA</t>
        </is>
      </c>
      <c r="K167" s="48" t="n">
        <v>9.960000000000001</v>
      </c>
      <c r="L167" s="48" t="n">
        <v>35635.31</v>
      </c>
      <c r="M167" s="44" t="inlineStr">
        <is>
          <t>USD</t>
        </is>
      </c>
      <c r="N167" s="44" t="inlineStr">
        <is>
          <t>FOB</t>
        </is>
      </c>
      <c r="O167" s="44" t="inlineStr">
        <is>
          <t>N</t>
        </is>
      </c>
      <c r="P167" s="48" t="n">
        <v>1367.8555</v>
      </c>
      <c r="Q167" s="47">
        <f>IF(OR(L167="",M167="",P167=""),"",L167*P167)</f>
        <v/>
      </c>
    </row>
    <row r="168" ht="15" customHeight="1" s="28">
      <c r="A168" s="44" t="inlineStr">
        <is>
          <t>R-SB-0166</t>
        </is>
      </c>
      <c r="B168" s="45" t="n">
        <v>45402</v>
      </c>
      <c r="C168" s="44" t="inlineStr">
        <is>
          <t>2024-04</t>
        </is>
      </c>
      <c r="D168" s="44" t="n">
        <v>2024</v>
      </c>
      <c r="E168" s="44" t="inlineStr">
        <is>
          <t>P-SB-001</t>
        </is>
      </c>
      <c r="F168" s="44" t="inlineStr">
        <is>
          <t>C-SB-04</t>
        </is>
      </c>
      <c r="G168" s="46" t="inlineStr">
        <is>
          <t>인도</t>
        </is>
      </c>
      <c r="H168" s="44" t="inlineStr">
        <is>
          <t>IN</t>
        </is>
      </c>
      <c r="I168" s="47" t="n">
        <v>29601</v>
      </c>
      <c r="J168" s="44" t="inlineStr">
        <is>
          <t>EA</t>
        </is>
      </c>
      <c r="K168" s="48" t="n">
        <v>10.36</v>
      </c>
      <c r="L168" s="48" t="n">
        <v>53482.23</v>
      </c>
      <c r="M168" s="44" t="inlineStr">
        <is>
          <t>USD</t>
        </is>
      </c>
      <c r="N168" s="44" t="inlineStr">
        <is>
          <t>FOB</t>
        </is>
      </c>
      <c r="O168" s="44" t="inlineStr">
        <is>
          <t>N</t>
        </is>
      </c>
      <c r="P168" s="48" t="n">
        <v>1367.8555</v>
      </c>
      <c r="Q168" s="47">
        <f>IF(OR(L168="",M168="",P168=""),"",L168*P168)</f>
        <v/>
      </c>
    </row>
    <row r="169" ht="15" customHeight="1" s="28">
      <c r="A169" s="44" t="inlineStr">
        <is>
          <t>R-SB-0167</t>
        </is>
      </c>
      <c r="B169" s="52" t="n"/>
      <c r="C169" s="49" t="n"/>
      <c r="D169" s="49" t="n"/>
      <c r="E169" s="44" t="inlineStr">
        <is>
          <t>P-SB-002</t>
        </is>
      </c>
      <c r="F169" s="44" t="inlineStr">
        <is>
          <t>C-SB-01</t>
        </is>
      </c>
      <c r="G169" s="46" t="inlineStr">
        <is>
          <t>미국</t>
        </is>
      </c>
      <c r="H169" s="44" t="inlineStr">
        <is>
          <t>US</t>
        </is>
      </c>
      <c r="I169" s="47" t="n">
        <v>34278</v>
      </c>
      <c r="J169" s="44" t="inlineStr">
        <is>
          <t>EA</t>
        </is>
      </c>
      <c r="K169" s="48" t="n">
        <v>30.85</v>
      </c>
      <c r="L169" s="48" t="n">
        <v>137895.92</v>
      </c>
      <c r="M169" s="44" t="inlineStr">
        <is>
          <t>USD</t>
        </is>
      </c>
      <c r="N169" s="44" t="inlineStr">
        <is>
          <t>FOB</t>
        </is>
      </c>
      <c r="O169" s="44" t="inlineStr">
        <is>
          <t>N</t>
        </is>
      </c>
      <c r="P169" s="50" t="n"/>
      <c r="Q169" s="47">
        <f>IF(OR(L169="",M169="",P169=""),"",L169*P169)</f>
        <v/>
      </c>
    </row>
    <row r="170" ht="15" customHeight="1" s="28">
      <c r="A170" s="44" t="inlineStr">
        <is>
          <t>R-SB-0168</t>
        </is>
      </c>
      <c r="B170" s="45" t="n">
        <v>45405</v>
      </c>
      <c r="C170" s="44" t="inlineStr">
        <is>
          <t>2024-04</t>
        </is>
      </c>
      <c r="D170" s="44" t="n">
        <v>2024</v>
      </c>
      <c r="E170" s="44" t="inlineStr">
        <is>
          <t>P-SB-003</t>
        </is>
      </c>
      <c r="F170" s="44" t="inlineStr">
        <is>
          <t>C-SB-01</t>
        </is>
      </c>
      <c r="G170" s="46" t="inlineStr">
        <is>
          <t>미국</t>
        </is>
      </c>
      <c r="H170" s="44" t="inlineStr">
        <is>
          <t>US</t>
        </is>
      </c>
      <c r="I170" s="47" t="n">
        <v>78263</v>
      </c>
      <c r="J170" s="44" t="inlineStr">
        <is>
          <t>EA</t>
        </is>
      </c>
      <c r="K170" s="48" t="n">
        <v>19.57</v>
      </c>
      <c r="L170" s="48" t="n">
        <v>70260.27</v>
      </c>
      <c r="M170" s="44" t="inlineStr">
        <is>
          <t>USD</t>
        </is>
      </c>
      <c r="N170" s="44" t="inlineStr">
        <is>
          <t>FOB</t>
        </is>
      </c>
      <c r="O170" s="44" t="inlineStr">
        <is>
          <t>N</t>
        </is>
      </c>
      <c r="P170" s="48" t="n">
        <v>1367.8555</v>
      </c>
      <c r="Q170" s="47">
        <f>IF(OR(L170="",M170="",P170=""),"",L170*P170)</f>
        <v/>
      </c>
    </row>
    <row r="171" ht="15" customHeight="1" s="28">
      <c r="A171" s="44" t="inlineStr">
        <is>
          <t>R-SB-0169</t>
        </is>
      </c>
      <c r="B171" s="45" t="n">
        <v>45409</v>
      </c>
      <c r="C171" s="44" t="inlineStr">
        <is>
          <t>2024-04</t>
        </is>
      </c>
      <c r="D171" s="44" t="n">
        <v>2024</v>
      </c>
      <c r="E171" s="44" t="inlineStr">
        <is>
          <t>P-SB-001</t>
        </is>
      </c>
      <c r="F171" s="44" t="inlineStr">
        <is>
          <t>C-SB-02</t>
        </is>
      </c>
      <c r="G171" s="46" t="inlineStr">
        <is>
          <t>멕시코</t>
        </is>
      </c>
      <c r="H171" s="44" t="inlineStr">
        <is>
          <t>MX</t>
        </is>
      </c>
      <c r="I171" s="51" t="n"/>
      <c r="J171" s="44" t="inlineStr">
        <is>
          <t>EA</t>
        </is>
      </c>
      <c r="K171" s="48" t="n">
        <v>33.09</v>
      </c>
      <c r="L171" s="48" t="n">
        <v>173919.83</v>
      </c>
      <c r="M171" s="44" t="inlineStr">
        <is>
          <t>USD</t>
        </is>
      </c>
      <c r="N171" s="44" t="inlineStr">
        <is>
          <t>FOB</t>
        </is>
      </c>
      <c r="O171" s="44" t="inlineStr">
        <is>
          <t>N</t>
        </is>
      </c>
      <c r="P171" s="48" t="n">
        <v>1367.8555</v>
      </c>
      <c r="Q171" s="47">
        <f>IF(OR(L171="",M171="",P171=""),"",L171*P171)</f>
        <v/>
      </c>
    </row>
    <row r="172" ht="15" customHeight="1" s="28">
      <c r="A172" s="44" t="inlineStr">
        <is>
          <t>R-SB-0170</t>
        </is>
      </c>
      <c r="B172" s="45" t="n">
        <v>45418</v>
      </c>
      <c r="C172" s="44" t="inlineStr">
        <is>
          <t>2024-05</t>
        </is>
      </c>
      <c r="D172" s="44" t="n">
        <v>2024</v>
      </c>
      <c r="E172" s="44" t="inlineStr">
        <is>
          <t>P-SB-003</t>
        </is>
      </c>
      <c r="F172" s="44" t="inlineStr">
        <is>
          <t>C-SB-03</t>
        </is>
      </c>
      <c r="G172" s="46" t="inlineStr">
        <is>
          <t>베트남</t>
        </is>
      </c>
      <c r="H172" s="44" t="inlineStr">
        <is>
          <t>VN</t>
        </is>
      </c>
      <c r="I172" s="47" t="n">
        <v>37204</v>
      </c>
      <c r="J172" s="44" t="inlineStr">
        <is>
          <t>EA</t>
        </is>
      </c>
      <c r="K172" s="48" t="n">
        <v>9.300000000000001</v>
      </c>
      <c r="L172" s="48" t="n">
        <v>32376.44</v>
      </c>
      <c r="M172" s="44" t="inlineStr">
        <is>
          <t>USD</t>
        </is>
      </c>
      <c r="N172" s="44" t="inlineStr">
        <is>
          <t>FOB</t>
        </is>
      </c>
      <c r="O172" s="44" t="inlineStr">
        <is>
          <t>N</t>
        </is>
      </c>
      <c r="P172" s="48" t="n">
        <v>1364.7241</v>
      </c>
      <c r="Q172" s="47">
        <f>IF(OR(L172="",M172="",P172=""),"",L172*P172)</f>
        <v/>
      </c>
    </row>
    <row r="173" ht="15" customHeight="1" s="28">
      <c r="A173" s="44" t="inlineStr">
        <is>
          <t>R-SB-0171</t>
        </is>
      </c>
      <c r="B173" s="45" t="n">
        <v>45419</v>
      </c>
      <c r="C173" s="44" t="inlineStr">
        <is>
          <t>2024-05</t>
        </is>
      </c>
      <c r="D173" s="44" t="n">
        <v>2024</v>
      </c>
      <c r="E173" s="44" t="inlineStr">
        <is>
          <t>P-SB-002</t>
        </is>
      </c>
      <c r="F173" s="44" t="inlineStr">
        <is>
          <t>C-SB-04</t>
        </is>
      </c>
      <c r="G173" s="46" t="inlineStr">
        <is>
          <t>인도</t>
        </is>
      </c>
      <c r="H173" s="44" t="inlineStr">
        <is>
          <t>IN</t>
        </is>
      </c>
      <c r="I173" s="47" t="n">
        <v>8419</v>
      </c>
      <c r="J173" s="44" t="inlineStr">
        <is>
          <t>EA</t>
        </is>
      </c>
      <c r="K173" s="48" t="n">
        <v>7.58</v>
      </c>
      <c r="L173" s="48" t="n">
        <v>33294.5</v>
      </c>
      <c r="M173" s="44" t="inlineStr">
        <is>
          <t>USD</t>
        </is>
      </c>
      <c r="N173" s="44" t="inlineStr">
        <is>
          <t>FOB</t>
        </is>
      </c>
      <c r="O173" s="44" t="inlineStr">
        <is>
          <t>N</t>
        </is>
      </c>
      <c r="P173" s="48" t="n">
        <v>1364.7241</v>
      </c>
      <c r="Q173" s="47">
        <f>IF(OR(L173="",M173="",P173=""),"",L173*P173)</f>
        <v/>
      </c>
    </row>
    <row r="174" ht="15" customHeight="1" s="28">
      <c r="A174" s="44" t="inlineStr">
        <is>
          <t>R-SB-0172</t>
        </is>
      </c>
      <c r="B174" s="45" t="n">
        <v>45424</v>
      </c>
      <c r="C174" s="44" t="inlineStr">
        <is>
          <t>2024-05</t>
        </is>
      </c>
      <c r="D174" s="44" t="n">
        <v>2024</v>
      </c>
      <c r="E174" s="44" t="inlineStr">
        <is>
          <t>P-SB-001</t>
        </is>
      </c>
      <c r="F174" s="44" t="inlineStr">
        <is>
          <t>C-SB-04</t>
        </is>
      </c>
      <c r="G174" s="46" t="inlineStr">
        <is>
          <t>인도</t>
        </is>
      </c>
      <c r="H174" s="44" t="inlineStr">
        <is>
          <t>IN</t>
        </is>
      </c>
      <c r="I174" s="47" t="n">
        <v>32933</v>
      </c>
      <c r="J174" s="44" t="inlineStr">
        <is>
          <t>EA</t>
        </is>
      </c>
      <c r="K174" s="48" t="n">
        <v>11.53</v>
      </c>
      <c r="L174" s="48" t="n">
        <v>58822.04</v>
      </c>
      <c r="M174" s="44" t="inlineStr">
        <is>
          <t>USD</t>
        </is>
      </c>
      <c r="N174" s="44" t="inlineStr">
        <is>
          <t>FOB</t>
        </is>
      </c>
      <c r="O174" s="44" t="inlineStr">
        <is>
          <t>N</t>
        </is>
      </c>
      <c r="P174" s="48" t="n">
        <v>1364.7241</v>
      </c>
      <c r="Q174" s="47">
        <f>IF(OR(L174="",M174="",P174=""),"",L174*P174)</f>
        <v/>
      </c>
    </row>
    <row r="175" ht="15" customHeight="1" s="28">
      <c r="A175" s="44" t="inlineStr">
        <is>
          <t>R-SB-0173</t>
        </is>
      </c>
      <c r="B175" s="45" t="n">
        <v>45426</v>
      </c>
      <c r="C175" s="44" t="inlineStr">
        <is>
          <t>2024-05</t>
        </is>
      </c>
      <c r="D175" s="44" t="n">
        <v>2024</v>
      </c>
      <c r="E175" s="44" t="inlineStr">
        <is>
          <t>P-SB-003</t>
        </is>
      </c>
      <c r="F175" s="44" t="inlineStr">
        <is>
          <t>C-SB-01</t>
        </is>
      </c>
      <c r="G175" s="46" t="inlineStr">
        <is>
          <t>미국</t>
        </is>
      </c>
      <c r="H175" s="44" t="inlineStr">
        <is>
          <t>US</t>
        </is>
      </c>
      <c r="I175" s="47" t="n">
        <v>95235</v>
      </c>
      <c r="J175" s="44" t="inlineStr">
        <is>
          <t>EA</t>
        </is>
      </c>
      <c r="K175" s="48" t="n">
        <v>23.81</v>
      </c>
      <c r="L175" s="48" t="n">
        <v>82674.67</v>
      </c>
      <c r="M175" s="44" t="inlineStr">
        <is>
          <t>USD</t>
        </is>
      </c>
      <c r="N175" s="44" t="inlineStr">
        <is>
          <t>FOB</t>
        </is>
      </c>
      <c r="O175" s="44" t="inlineStr">
        <is>
          <t>N</t>
        </is>
      </c>
      <c r="P175" s="48" t="n">
        <v>1364.7241</v>
      </c>
      <c r="Q175" s="47">
        <f>IF(OR(L175="",M175="",P175=""),"",L175*P175)</f>
        <v/>
      </c>
    </row>
    <row r="176" ht="15" customHeight="1" s="28">
      <c r="A176" s="44" t="inlineStr">
        <is>
          <t>R-SB-0174</t>
        </is>
      </c>
      <c r="B176" s="45" t="n">
        <v>45428</v>
      </c>
      <c r="C176" s="44" t="inlineStr">
        <is>
          <t>2024-05</t>
        </is>
      </c>
      <c r="D176" s="44" t="n">
        <v>2024</v>
      </c>
      <c r="E176" s="44" t="inlineStr">
        <is>
          <t>P-SB-002</t>
        </is>
      </c>
      <c r="F176" s="44" t="inlineStr">
        <is>
          <t>C-SB-01</t>
        </is>
      </c>
      <c r="G176" s="46" t="inlineStr">
        <is>
          <t>미국</t>
        </is>
      </c>
      <c r="H176" s="44" t="inlineStr">
        <is>
          <t>US</t>
        </is>
      </c>
      <c r="I176" s="47" t="n">
        <v>46561</v>
      </c>
      <c r="J176" s="44" t="inlineStr">
        <is>
          <t>EA</t>
        </is>
      </c>
      <c r="K176" s="48" t="n">
        <v>41.9</v>
      </c>
      <c r="L176" s="48" t="n">
        <v>181232.07</v>
      </c>
      <c r="M176" s="44" t="inlineStr">
        <is>
          <t>USD</t>
        </is>
      </c>
      <c r="N176" s="44" t="inlineStr">
        <is>
          <t>FOB</t>
        </is>
      </c>
      <c r="O176" s="44" t="inlineStr">
        <is>
          <t>N</t>
        </is>
      </c>
      <c r="P176" s="48" t="n">
        <v>1364.7241</v>
      </c>
      <c r="Q176" s="47">
        <f>IF(OR(L176="",M176="",P176=""),"",L176*P176)</f>
        <v/>
      </c>
    </row>
    <row r="177" ht="15" customHeight="1" s="28">
      <c r="A177" s="44" t="inlineStr">
        <is>
          <t>R-SB-0175</t>
        </is>
      </c>
      <c r="B177" s="45" t="n">
        <v>45428</v>
      </c>
      <c r="C177" s="44" t="inlineStr">
        <is>
          <t>2024-05</t>
        </is>
      </c>
      <c r="D177" s="44" t="n">
        <v>2024</v>
      </c>
      <c r="E177" s="44" t="inlineStr">
        <is>
          <t>P-SB-002</t>
        </is>
      </c>
      <c r="F177" s="44" t="inlineStr">
        <is>
          <t>C-SB-02</t>
        </is>
      </c>
      <c r="G177" s="46" t="inlineStr">
        <is>
          <t>멕시코</t>
        </is>
      </c>
      <c r="H177" s="44" t="inlineStr">
        <is>
          <t>MX</t>
        </is>
      </c>
      <c r="I177" s="47" t="n">
        <v>24708</v>
      </c>
      <c r="J177" s="44" t="inlineStr">
        <is>
          <t>EA</t>
        </is>
      </c>
      <c r="K177" s="48" t="n">
        <v>22.24</v>
      </c>
      <c r="L177" s="48" t="n">
        <v>102103.48</v>
      </c>
      <c r="M177" s="44" t="inlineStr">
        <is>
          <t>USD</t>
        </is>
      </c>
      <c r="N177" s="44" t="inlineStr">
        <is>
          <t>FOB</t>
        </is>
      </c>
      <c r="O177" s="44" t="inlineStr">
        <is>
          <t>N</t>
        </is>
      </c>
      <c r="P177" s="48" t="n">
        <v>1364.7241</v>
      </c>
      <c r="Q177" s="47">
        <f>IF(OR(L177="",M177="",P177=""),"",L177*P177)</f>
        <v/>
      </c>
    </row>
    <row r="178" ht="15" customHeight="1" s="28">
      <c r="A178" s="44" t="inlineStr">
        <is>
          <t>R-SB-0176</t>
        </is>
      </c>
      <c r="B178" s="45" t="n">
        <v>45429</v>
      </c>
      <c r="C178" s="44" t="inlineStr">
        <is>
          <t>2024-05</t>
        </is>
      </c>
      <c r="D178" s="44" t="n">
        <v>2024</v>
      </c>
      <c r="E178" s="44" t="inlineStr">
        <is>
          <t>P-SB-003</t>
        </is>
      </c>
      <c r="F178" s="44" t="inlineStr">
        <is>
          <t>C-SB-02</t>
        </is>
      </c>
      <c r="G178" s="49" t="n"/>
      <c r="H178" s="49" t="n"/>
      <c r="I178" s="47" t="n">
        <v>45616</v>
      </c>
      <c r="J178" s="44" t="inlineStr">
        <is>
          <t>EA</t>
        </is>
      </c>
      <c r="K178" s="48" t="n">
        <v>11.4</v>
      </c>
      <c r="L178" s="48" t="n">
        <v>39199.84</v>
      </c>
      <c r="M178" s="44" t="inlineStr">
        <is>
          <t>USD</t>
        </is>
      </c>
      <c r="N178" s="44" t="inlineStr">
        <is>
          <t>FOB</t>
        </is>
      </c>
      <c r="O178" s="44" t="inlineStr">
        <is>
          <t>N</t>
        </is>
      </c>
      <c r="P178" s="48" t="n">
        <v>1364.7241</v>
      </c>
      <c r="Q178" s="47">
        <f>IF(OR(L178="",M178="",P178=""),"",L178*P178)</f>
        <v/>
      </c>
    </row>
    <row r="179" ht="15" customHeight="1" s="28">
      <c r="A179" s="44" t="inlineStr">
        <is>
          <t>R-SB-0177</t>
        </is>
      </c>
      <c r="B179" s="45" t="n">
        <v>45431</v>
      </c>
      <c r="C179" s="44" t="inlineStr">
        <is>
          <t>2024-05</t>
        </is>
      </c>
      <c r="D179" s="44" t="n">
        <v>2024</v>
      </c>
      <c r="E179" s="44" t="inlineStr">
        <is>
          <t>P-SB-003</t>
        </is>
      </c>
      <c r="F179" s="44" t="inlineStr">
        <is>
          <t>C-SB-04</t>
        </is>
      </c>
      <c r="G179" s="46" t="inlineStr">
        <is>
          <t>인도</t>
        </is>
      </c>
      <c r="H179" s="44" t="inlineStr">
        <is>
          <t>IN</t>
        </is>
      </c>
      <c r="I179" s="47" t="n">
        <v>20591</v>
      </c>
      <c r="J179" s="44" t="inlineStr">
        <is>
          <t>EA</t>
        </is>
      </c>
      <c r="K179" s="48" t="n">
        <v>5.15</v>
      </c>
      <c r="L179" s="48" t="n">
        <v>19150.86</v>
      </c>
      <c r="M179" s="44" t="inlineStr">
        <is>
          <t>USD</t>
        </is>
      </c>
      <c r="N179" s="44" t="inlineStr">
        <is>
          <t>FOB</t>
        </is>
      </c>
      <c r="O179" s="44" t="inlineStr">
        <is>
          <t>N</t>
        </is>
      </c>
      <c r="P179" s="48" t="n">
        <v>1364.7241</v>
      </c>
      <c r="Q179" s="47">
        <f>IF(OR(L179="",M179="",P179=""),"",L179*P179)</f>
        <v/>
      </c>
    </row>
    <row r="180" ht="15" customHeight="1" s="28">
      <c r="A180" s="44" t="inlineStr">
        <is>
          <t>R-SB-0178</t>
        </is>
      </c>
      <c r="B180" s="45" t="n">
        <v>45432</v>
      </c>
      <c r="C180" s="44" t="inlineStr">
        <is>
          <t>2024-05</t>
        </is>
      </c>
      <c r="D180" s="44" t="n">
        <v>2024</v>
      </c>
      <c r="E180" s="44" t="inlineStr">
        <is>
          <t>P-SB-001</t>
        </is>
      </c>
      <c r="F180" s="44" t="inlineStr">
        <is>
          <t>C-SB-02</t>
        </is>
      </c>
      <c r="G180" s="46" t="inlineStr">
        <is>
          <t>멕시코</t>
        </is>
      </c>
      <c r="H180" s="44" t="inlineStr">
        <is>
          <t>MX</t>
        </is>
      </c>
      <c r="I180" s="47" t="n">
        <v>84819</v>
      </c>
      <c r="J180" s="44" t="inlineStr">
        <is>
          <t>EA</t>
        </is>
      </c>
      <c r="K180" s="48" t="n">
        <v>29.69</v>
      </c>
      <c r="L180" s="48" t="n">
        <v>147518.82</v>
      </c>
      <c r="M180" s="44" t="inlineStr">
        <is>
          <t>USD</t>
        </is>
      </c>
      <c r="N180" s="44" t="inlineStr">
        <is>
          <t>FOB</t>
        </is>
      </c>
      <c r="O180" s="44" t="inlineStr">
        <is>
          <t>N</t>
        </is>
      </c>
      <c r="P180" s="48" t="n">
        <v>1364.7241</v>
      </c>
      <c r="Q180" s="47">
        <f>IF(OR(L180="",M180="",P180=""),"",L180*P180)</f>
        <v/>
      </c>
    </row>
    <row r="181" ht="15" customHeight="1" s="28">
      <c r="A181" s="44" t="inlineStr">
        <is>
          <t>R-SB-0179</t>
        </is>
      </c>
      <c r="B181" s="45" t="n">
        <v>45436</v>
      </c>
      <c r="C181" s="44" t="inlineStr">
        <is>
          <t>2024-05</t>
        </is>
      </c>
      <c r="D181" s="44" t="n">
        <v>2024</v>
      </c>
      <c r="E181" s="44" t="inlineStr">
        <is>
          <t>P-SB-001</t>
        </is>
      </c>
      <c r="F181" s="44" t="inlineStr">
        <is>
          <t>C-SB-03</t>
        </is>
      </c>
      <c r="G181" s="46" t="inlineStr">
        <is>
          <t>베트남</t>
        </is>
      </c>
      <c r="H181" s="44" t="inlineStr">
        <is>
          <t>VN</t>
        </is>
      </c>
      <c r="I181" s="47" t="n">
        <v>59259</v>
      </c>
      <c r="J181" s="44" t="inlineStr">
        <is>
          <t>EA</t>
        </is>
      </c>
      <c r="K181" s="48" t="n">
        <v>20.74</v>
      </c>
      <c r="L181" s="48" t="n">
        <v>104060.58</v>
      </c>
      <c r="M181" s="44" t="inlineStr">
        <is>
          <t>USD</t>
        </is>
      </c>
      <c r="N181" s="44" t="inlineStr">
        <is>
          <t>FOB</t>
        </is>
      </c>
      <c r="O181" s="44" t="inlineStr">
        <is>
          <t>N</t>
        </is>
      </c>
      <c r="P181" s="48" t="n">
        <v>1364.7241</v>
      </c>
      <c r="Q181" s="47">
        <f>IF(OR(L181="",M181="",P181=""),"",L181*P181)</f>
        <v/>
      </c>
    </row>
    <row r="182" ht="15" customHeight="1" s="28">
      <c r="A182" s="44" t="inlineStr">
        <is>
          <t>R-SB-0180</t>
        </is>
      </c>
      <c r="B182" s="45" t="n">
        <v>45438</v>
      </c>
      <c r="C182" s="44" t="inlineStr">
        <is>
          <t>2024-05</t>
        </is>
      </c>
      <c r="D182" s="44" t="n">
        <v>2024</v>
      </c>
      <c r="E182" s="44" t="inlineStr">
        <is>
          <t>P-SB-001</t>
        </is>
      </c>
      <c r="F182" s="44" t="inlineStr">
        <is>
          <t>C-SB-01</t>
        </is>
      </c>
      <c r="G182" s="46" t="inlineStr">
        <is>
          <t>미국</t>
        </is>
      </c>
      <c r="H182" s="44" t="inlineStr">
        <is>
          <t>US</t>
        </is>
      </c>
      <c r="I182" s="47" t="n">
        <v>178818</v>
      </c>
      <c r="J182" s="44" t="inlineStr">
        <is>
          <t>EA</t>
        </is>
      </c>
      <c r="K182" s="48" t="n">
        <v>62.59</v>
      </c>
      <c r="L182" s="48" t="n">
        <v>317614.28</v>
      </c>
      <c r="M182" s="44" t="inlineStr">
        <is>
          <t>USD</t>
        </is>
      </c>
      <c r="N182" s="44" t="inlineStr">
        <is>
          <t>FOB</t>
        </is>
      </c>
      <c r="O182" s="44" t="inlineStr">
        <is>
          <t>N</t>
        </is>
      </c>
      <c r="P182" s="48" t="n">
        <v>1364.7241</v>
      </c>
      <c r="Q182" s="47">
        <f>IF(OR(L182="",M182="",P182=""),"",L182*P182)</f>
        <v/>
      </c>
    </row>
    <row r="183" ht="15" customHeight="1" s="28">
      <c r="A183" s="44" t="inlineStr">
        <is>
          <t>R-SB-0181</t>
        </is>
      </c>
      <c r="B183" s="45" t="n">
        <v>45448</v>
      </c>
      <c r="C183" s="44" t="inlineStr">
        <is>
          <t>2024-06</t>
        </is>
      </c>
      <c r="D183" s="44" t="n">
        <v>2024</v>
      </c>
      <c r="E183" s="44" t="inlineStr">
        <is>
          <t>P-SB-002</t>
        </is>
      </c>
      <c r="F183" s="44" t="inlineStr">
        <is>
          <t>C-SB-04</t>
        </is>
      </c>
      <c r="G183" s="46" t="inlineStr">
        <is>
          <t>인도</t>
        </is>
      </c>
      <c r="H183" s="44" t="inlineStr">
        <is>
          <t>IN</t>
        </is>
      </c>
      <c r="I183" s="47" t="n">
        <v>7361</v>
      </c>
      <c r="J183" s="44" t="inlineStr">
        <is>
          <t>EA</t>
        </is>
      </c>
      <c r="K183" s="48" t="n">
        <v>6.62</v>
      </c>
      <c r="L183" s="48" t="n">
        <v>30123.8</v>
      </c>
      <c r="M183" s="44" t="inlineStr">
        <is>
          <t>USD</t>
        </is>
      </c>
      <c r="N183" s="44" t="inlineStr">
        <is>
          <t>FOB</t>
        </is>
      </c>
      <c r="O183" s="44" t="inlineStr">
        <is>
          <t>N</t>
        </is>
      </c>
      <c r="P183" s="48" t="n">
        <v>1379.0526</v>
      </c>
      <c r="Q183" s="47">
        <f>IF(OR(L183="",M183="",P183=""),"",L183*P183)</f>
        <v/>
      </c>
    </row>
    <row r="184" ht="15" customHeight="1" s="28">
      <c r="A184" s="44" t="inlineStr">
        <is>
          <t>R-SB-0182</t>
        </is>
      </c>
      <c r="B184" s="45" t="n">
        <v>45454</v>
      </c>
      <c r="C184" s="44" t="inlineStr">
        <is>
          <t>2024-06</t>
        </is>
      </c>
      <c r="D184" s="44" t="n">
        <v>2024</v>
      </c>
      <c r="E184" s="44" t="inlineStr">
        <is>
          <t>P-SB-001</t>
        </is>
      </c>
      <c r="F184" s="44" t="inlineStr">
        <is>
          <t>C-SB-04</t>
        </is>
      </c>
      <c r="G184" s="46" t="inlineStr">
        <is>
          <t>인도</t>
        </is>
      </c>
      <c r="H184" s="44" t="inlineStr">
        <is>
          <t>IN</t>
        </is>
      </c>
      <c r="I184" s="47" t="n">
        <v>37409</v>
      </c>
      <c r="J184" s="44" t="inlineStr">
        <is>
          <t>EA</t>
        </is>
      </c>
      <c r="K184" s="48" t="n">
        <v>13.09</v>
      </c>
      <c r="L184" s="48" t="n">
        <v>65684.56</v>
      </c>
      <c r="M184" s="44" t="inlineStr">
        <is>
          <t>USD</t>
        </is>
      </c>
      <c r="N184" s="44" t="inlineStr">
        <is>
          <t>FOB</t>
        </is>
      </c>
      <c r="O184" s="44" t="inlineStr">
        <is>
          <t>N</t>
        </is>
      </c>
      <c r="P184" s="48" t="n">
        <v>1379.0526</v>
      </c>
      <c r="Q184" s="47">
        <f>IF(OR(L184="",M184="",P184=""),"",L184*P184)</f>
        <v/>
      </c>
    </row>
    <row r="185" ht="15" customHeight="1" s="28">
      <c r="A185" s="44" t="inlineStr">
        <is>
          <t>R-SB-0183</t>
        </is>
      </c>
      <c r="B185" s="45" t="n">
        <v>45458</v>
      </c>
      <c r="C185" s="44" t="inlineStr">
        <is>
          <t>2024-06</t>
        </is>
      </c>
      <c r="D185" s="44" t="n">
        <v>2024</v>
      </c>
      <c r="E185" s="44" t="inlineStr">
        <is>
          <t>P-SB-002</t>
        </is>
      </c>
      <c r="F185" s="44" t="inlineStr">
        <is>
          <t>C-SB-01</t>
        </is>
      </c>
      <c r="G185" s="46" t="inlineStr">
        <is>
          <t>미국</t>
        </is>
      </c>
      <c r="H185" s="44" t="inlineStr">
        <is>
          <t>US</t>
        </is>
      </c>
      <c r="I185" s="47" t="n">
        <v>45799</v>
      </c>
      <c r="J185" s="44" t="inlineStr">
        <is>
          <t>EA</t>
        </is>
      </c>
      <c r="K185" s="48" t="n">
        <v>41.22</v>
      </c>
      <c r="L185" s="48" t="n">
        <v>180556.9</v>
      </c>
      <c r="M185" s="44" t="inlineStr">
        <is>
          <t>USD</t>
        </is>
      </c>
      <c r="N185" s="44" t="inlineStr">
        <is>
          <t>FOB</t>
        </is>
      </c>
      <c r="O185" s="44" t="inlineStr">
        <is>
          <t>N</t>
        </is>
      </c>
      <c r="P185" s="48" t="n">
        <v>1379.0526</v>
      </c>
      <c r="Q185" s="47">
        <f>IF(OR(L185="",M185="",P185=""),"",L185*P185)</f>
        <v/>
      </c>
    </row>
    <row r="186" ht="15" customHeight="1" s="28">
      <c r="A186" s="44" t="inlineStr">
        <is>
          <t>R-SB-0184</t>
        </is>
      </c>
      <c r="B186" s="45" t="n">
        <v>45459</v>
      </c>
      <c r="C186" s="44" t="inlineStr">
        <is>
          <t>2024-06</t>
        </is>
      </c>
      <c r="D186" s="44" t="n">
        <v>2024</v>
      </c>
      <c r="E186" s="44" t="inlineStr">
        <is>
          <t>P-SB-003</t>
        </is>
      </c>
      <c r="F186" s="44" t="inlineStr">
        <is>
          <t>C-SB-01</t>
        </is>
      </c>
      <c r="G186" s="46" t="inlineStr">
        <is>
          <t>미국</t>
        </is>
      </c>
      <c r="H186" s="44" t="inlineStr">
        <is>
          <t>US</t>
        </is>
      </c>
      <c r="I186" s="47" t="n">
        <v>75470</v>
      </c>
      <c r="J186" s="44" t="inlineStr">
        <is>
          <t>EA</t>
        </is>
      </c>
      <c r="K186" s="48" t="n">
        <v>18.87</v>
      </c>
      <c r="L186" s="48" t="n">
        <v>70747.03</v>
      </c>
      <c r="M186" s="44" t="inlineStr">
        <is>
          <t>USD</t>
        </is>
      </c>
      <c r="N186" s="44" t="inlineStr">
        <is>
          <t>FOB</t>
        </is>
      </c>
      <c r="O186" s="44" t="inlineStr">
        <is>
          <t>N</t>
        </is>
      </c>
      <c r="P186" s="48" t="n">
        <v>1379.0526</v>
      </c>
      <c r="Q186" s="47">
        <f>IF(OR(L186="",M186="",P186=""),"",L186*P186)</f>
        <v/>
      </c>
    </row>
    <row r="187" ht="15" customHeight="1" s="28">
      <c r="A187" s="44" t="inlineStr">
        <is>
          <t>R-SB-0185</t>
        </is>
      </c>
      <c r="B187" s="45" t="n">
        <v>45462</v>
      </c>
      <c r="C187" s="44" t="inlineStr">
        <is>
          <t>2024-06</t>
        </is>
      </c>
      <c r="D187" s="44" t="n">
        <v>2024</v>
      </c>
      <c r="E187" s="44" t="inlineStr">
        <is>
          <t>P-SB-001</t>
        </is>
      </c>
      <c r="F187" s="49" t="n"/>
      <c r="G187" s="46" t="inlineStr">
        <is>
          <t>미국</t>
        </is>
      </c>
      <c r="H187" s="44" t="inlineStr">
        <is>
          <t>US</t>
        </is>
      </c>
      <c r="I187" s="47" t="n">
        <v>199979</v>
      </c>
      <c r="J187" s="44" t="inlineStr">
        <is>
          <t>EA</t>
        </is>
      </c>
      <c r="K187" s="48" t="n">
        <v>69.98999999999999</v>
      </c>
      <c r="L187" s="48" t="n">
        <v>347951.11</v>
      </c>
      <c r="M187" s="44" t="inlineStr">
        <is>
          <t>USD</t>
        </is>
      </c>
      <c r="N187" s="44" t="inlineStr">
        <is>
          <t>FOB</t>
        </is>
      </c>
      <c r="O187" s="44" t="inlineStr">
        <is>
          <t>N</t>
        </is>
      </c>
      <c r="P187" s="48" t="n">
        <v>1379.0526</v>
      </c>
      <c r="Q187" s="47">
        <f>IF(OR(L187="",M187="",P187=""),"",L187*P187)</f>
        <v/>
      </c>
    </row>
    <row r="188" ht="15" customHeight="1" s="28">
      <c r="A188" s="44" t="inlineStr">
        <is>
          <t>R-SB-0186</t>
        </is>
      </c>
      <c r="B188" s="45" t="n">
        <v>45465</v>
      </c>
      <c r="C188" s="44" t="inlineStr">
        <is>
          <t>2024-06</t>
        </is>
      </c>
      <c r="D188" s="44" t="n">
        <v>2024</v>
      </c>
      <c r="E188" s="44" t="inlineStr">
        <is>
          <t>P-SB-002</t>
        </is>
      </c>
      <c r="F188" s="44" t="inlineStr">
        <is>
          <t>C-SB-03</t>
        </is>
      </c>
      <c r="G188" s="46" t="inlineStr">
        <is>
          <t>베트남</t>
        </is>
      </c>
      <c r="H188" s="44" t="inlineStr">
        <is>
          <t>VN</t>
        </is>
      </c>
      <c r="I188" s="47" t="n">
        <v>13636</v>
      </c>
      <c r="J188" s="44" t="inlineStr">
        <is>
          <t>EA</t>
        </is>
      </c>
      <c r="K188" s="48" t="n">
        <v>12.27</v>
      </c>
      <c r="L188" s="48" t="n">
        <v>53746.65</v>
      </c>
      <c r="M188" s="44" t="inlineStr">
        <is>
          <t>USD</t>
        </is>
      </c>
      <c r="N188" s="44" t="inlineStr">
        <is>
          <t>FOB</t>
        </is>
      </c>
      <c r="O188" s="44" t="inlineStr">
        <is>
          <t>N</t>
        </is>
      </c>
      <c r="P188" s="48" t="n">
        <v>1379.0526</v>
      </c>
      <c r="Q188" s="47">
        <f>IF(OR(L188="",M188="",P188=""),"",L188*P188)</f>
        <v/>
      </c>
    </row>
    <row r="189" ht="15" customHeight="1" s="28">
      <c r="A189" s="44" t="inlineStr">
        <is>
          <t>R-SB-0187</t>
        </is>
      </c>
      <c r="B189" s="45" t="n">
        <v>45465</v>
      </c>
      <c r="C189" s="44" t="inlineStr">
        <is>
          <t>2024-06</t>
        </is>
      </c>
      <c r="D189" s="44" t="n">
        <v>2024</v>
      </c>
      <c r="E189" s="44" t="inlineStr">
        <is>
          <t>P-SB-003</t>
        </is>
      </c>
      <c r="F189" s="44" t="inlineStr">
        <is>
          <t>C-SB-04</t>
        </is>
      </c>
      <c r="G189" s="46" t="inlineStr">
        <is>
          <t>인도</t>
        </is>
      </c>
      <c r="H189" s="44" t="inlineStr">
        <is>
          <t>IN</t>
        </is>
      </c>
      <c r="I189" s="47" t="n">
        <v>18738</v>
      </c>
      <c r="J189" s="44" t="inlineStr">
        <is>
          <t>EA</t>
        </is>
      </c>
      <c r="K189" s="48" t="n">
        <v>4.68</v>
      </c>
      <c r="L189" s="48" t="n">
        <v>17217.13</v>
      </c>
      <c r="M189" s="44" t="inlineStr">
        <is>
          <t>USD</t>
        </is>
      </c>
      <c r="N189" s="44" t="inlineStr">
        <is>
          <t>FOB</t>
        </is>
      </c>
      <c r="O189" s="44" t="inlineStr">
        <is>
          <t>N</t>
        </is>
      </c>
      <c r="P189" s="48" t="n">
        <v>1379.0526</v>
      </c>
      <c r="Q189" s="47">
        <f>IF(OR(L189="",M189="",P189=""),"",L189*P189)</f>
        <v/>
      </c>
    </row>
    <row r="190" ht="15" customHeight="1" s="28">
      <c r="A190" s="44" t="inlineStr">
        <is>
          <t>R-SB-0188</t>
        </is>
      </c>
      <c r="B190" s="45" t="n">
        <v>45466</v>
      </c>
      <c r="C190" s="44" t="inlineStr">
        <is>
          <t>2024-06</t>
        </is>
      </c>
      <c r="D190" s="44" t="n">
        <v>2024</v>
      </c>
      <c r="E190" s="44" t="inlineStr">
        <is>
          <t>P-SB-003</t>
        </is>
      </c>
      <c r="F190" s="44" t="inlineStr">
        <is>
          <t>C-SB-02</t>
        </is>
      </c>
      <c r="G190" s="46" t="inlineStr">
        <is>
          <t>멕시코</t>
        </is>
      </c>
      <c r="H190" s="44" t="inlineStr">
        <is>
          <t>MX</t>
        </is>
      </c>
      <c r="I190" s="47" t="n">
        <v>40976</v>
      </c>
      <c r="J190" s="44" t="inlineStr">
        <is>
          <t>EA</t>
        </is>
      </c>
      <c r="K190" s="48" t="n">
        <v>10.24</v>
      </c>
      <c r="L190" s="48" t="n">
        <v>37822.26</v>
      </c>
      <c r="M190" s="44" t="inlineStr">
        <is>
          <t>USD</t>
        </is>
      </c>
      <c r="N190" s="44" t="inlineStr">
        <is>
          <t>FOB</t>
        </is>
      </c>
      <c r="O190" s="44" t="inlineStr">
        <is>
          <t>N</t>
        </is>
      </c>
      <c r="P190" s="48" t="n">
        <v>1379.0526</v>
      </c>
      <c r="Q190" s="47">
        <f>IF(OR(L190="",M190="",P190=""),"",L190*P190)</f>
        <v/>
      </c>
    </row>
    <row r="191" ht="15" customHeight="1" s="28">
      <c r="A191" s="44" t="inlineStr">
        <is>
          <t>R-SB-0189</t>
        </is>
      </c>
      <c r="B191" s="45" t="n">
        <v>45468</v>
      </c>
      <c r="C191" s="44" t="inlineStr">
        <is>
          <t>2024-06</t>
        </is>
      </c>
      <c r="D191" s="44" t="n">
        <v>2024</v>
      </c>
      <c r="E191" s="44" t="inlineStr">
        <is>
          <t>P-SB-001</t>
        </is>
      </c>
      <c r="F191" s="44" t="inlineStr">
        <is>
          <t>C-SB-02</t>
        </is>
      </c>
      <c r="G191" s="46" t="inlineStr">
        <is>
          <t>멕시코</t>
        </is>
      </c>
      <c r="H191" s="44" t="inlineStr">
        <is>
          <t>MX</t>
        </is>
      </c>
      <c r="I191" s="47" t="n">
        <v>70090</v>
      </c>
      <c r="J191" s="44" t="inlineStr">
        <is>
          <t>EA</t>
        </is>
      </c>
      <c r="K191" s="50" t="n"/>
      <c r="L191" s="48" t="n">
        <v>130067.12</v>
      </c>
      <c r="M191" s="44" t="inlineStr">
        <is>
          <t>USD</t>
        </is>
      </c>
      <c r="N191" s="44" t="inlineStr">
        <is>
          <t>FOB</t>
        </is>
      </c>
      <c r="O191" s="44" t="inlineStr">
        <is>
          <t>N</t>
        </is>
      </c>
      <c r="P191" s="48" t="n">
        <v>1379.0526</v>
      </c>
      <c r="Q191" s="47">
        <f>IF(OR(L191="",M191="",P191=""),"",L191*P191)</f>
        <v/>
      </c>
    </row>
    <row r="192" ht="15" customHeight="1" s="28">
      <c r="A192" s="44" t="inlineStr">
        <is>
          <t>R-SB-0190</t>
        </is>
      </c>
      <c r="B192" s="45" t="n">
        <v>45507</v>
      </c>
      <c r="C192" s="44" t="inlineStr">
        <is>
          <t>2024-08</t>
        </is>
      </c>
      <c r="D192" s="44" t="n">
        <v>2024</v>
      </c>
      <c r="E192" s="44" t="inlineStr">
        <is>
          <t>P-SB-003</t>
        </is>
      </c>
      <c r="F192" s="44" t="inlineStr">
        <is>
          <t>C-SB-03</t>
        </is>
      </c>
      <c r="G192" s="46" t="inlineStr">
        <is>
          <t>베트남</t>
        </is>
      </c>
      <c r="H192" s="44" t="inlineStr">
        <is>
          <t>VN</t>
        </is>
      </c>
      <c r="I192" s="47" t="n">
        <v>40291</v>
      </c>
      <c r="J192" s="44" t="inlineStr">
        <is>
          <t>EA</t>
        </is>
      </c>
      <c r="K192" s="48" t="n">
        <v>10.07</v>
      </c>
      <c r="L192" s="48" t="n">
        <v>38050.12</v>
      </c>
      <c r="M192" s="44" t="inlineStr">
        <is>
          <t>USD</t>
        </is>
      </c>
      <c r="N192" s="44" t="inlineStr">
        <is>
          <t>FOB</t>
        </is>
      </c>
      <c r="O192" s="44" t="inlineStr">
        <is>
          <t>N</t>
        </is>
      </c>
      <c r="P192" s="48" t="n">
        <v>1351.4436</v>
      </c>
      <c r="Q192" s="47">
        <f>IF(OR(L192="",M192="",P192=""),"",L192*P192)</f>
        <v/>
      </c>
    </row>
    <row r="193" ht="15" customHeight="1" s="28">
      <c r="A193" s="44" t="inlineStr">
        <is>
          <t>R-SB-0191</t>
        </is>
      </c>
      <c r="B193" s="45" t="n">
        <v>45509</v>
      </c>
      <c r="C193" s="44" t="inlineStr">
        <is>
          <t>2024-08</t>
        </is>
      </c>
      <c r="D193" s="44" t="n">
        <v>2024</v>
      </c>
      <c r="E193" s="44" t="inlineStr">
        <is>
          <t>P-SB-001</t>
        </is>
      </c>
      <c r="F193" s="44" t="inlineStr">
        <is>
          <t>C-SB-04</t>
        </is>
      </c>
      <c r="G193" s="46" t="inlineStr">
        <is>
          <t>인도</t>
        </is>
      </c>
      <c r="H193" s="44" t="inlineStr">
        <is>
          <t>IN</t>
        </is>
      </c>
      <c r="I193" s="47" t="n">
        <v>26751</v>
      </c>
      <c r="J193" s="44" t="inlineStr">
        <is>
          <t>EA</t>
        </is>
      </c>
      <c r="K193" s="48" t="n">
        <v>9.359999999999999</v>
      </c>
      <c r="L193" s="48" t="n">
        <v>48829.59</v>
      </c>
      <c r="M193" s="44" t="inlineStr">
        <is>
          <t>USD</t>
        </is>
      </c>
      <c r="N193" s="44" t="inlineStr">
        <is>
          <t>FOB</t>
        </is>
      </c>
      <c r="O193" s="44" t="inlineStr">
        <is>
          <t>N</t>
        </is>
      </c>
      <c r="P193" s="48" t="n">
        <v>1351.4436</v>
      </c>
      <c r="Q193" s="47">
        <f>IF(OR(L193="",M193="",P193=""),"",L193*P193)</f>
        <v/>
      </c>
    </row>
    <row r="194" ht="15" customHeight="1" s="28">
      <c r="A194" s="44" t="inlineStr">
        <is>
          <t>R-SB-0192</t>
        </is>
      </c>
      <c r="B194" s="45" t="n">
        <v>45510</v>
      </c>
      <c r="C194" s="44" t="inlineStr">
        <is>
          <t>2024-08</t>
        </is>
      </c>
      <c r="D194" s="44" t="n">
        <v>2024</v>
      </c>
      <c r="E194" s="44" t="inlineStr">
        <is>
          <t>P-SB-002</t>
        </is>
      </c>
      <c r="F194" s="44" t="inlineStr">
        <is>
          <t>C-SB-01</t>
        </is>
      </c>
      <c r="G194" s="46" t="inlineStr">
        <is>
          <t>미국</t>
        </is>
      </c>
      <c r="H194" s="44" t="inlineStr">
        <is>
          <t>US</t>
        </is>
      </c>
      <c r="I194" s="47" t="n">
        <v>44170</v>
      </c>
      <c r="J194" s="44" t="inlineStr">
        <is>
          <t>EA</t>
        </is>
      </c>
      <c r="K194" s="48" t="n">
        <v>39.75</v>
      </c>
      <c r="L194" s="48" t="n">
        <v>177594.35</v>
      </c>
      <c r="M194" s="44" t="inlineStr">
        <is>
          <t>USD</t>
        </is>
      </c>
      <c r="N194" s="44" t="inlineStr">
        <is>
          <t>FOB</t>
        </is>
      </c>
      <c r="O194" s="44" t="inlineStr">
        <is>
          <t>N</t>
        </is>
      </c>
      <c r="P194" s="48" t="n">
        <v>1351.4436</v>
      </c>
      <c r="Q194" s="47">
        <f>IF(OR(L194="",M194="",P194=""),"",L194*P194)</f>
        <v/>
      </c>
    </row>
    <row r="195" ht="15" customHeight="1" s="28">
      <c r="A195" s="44" t="inlineStr">
        <is>
          <t>R-SB-0193</t>
        </is>
      </c>
      <c r="B195" s="45" t="n">
        <v>45511</v>
      </c>
      <c r="C195" s="44" t="inlineStr">
        <is>
          <t>2024-08</t>
        </is>
      </c>
      <c r="D195" s="44" t="n">
        <v>2024</v>
      </c>
      <c r="E195" s="44" t="inlineStr">
        <is>
          <t>P-SB-001</t>
        </is>
      </c>
      <c r="F195" s="44" t="inlineStr">
        <is>
          <t>C-SB-02</t>
        </is>
      </c>
      <c r="G195" s="46" t="inlineStr">
        <is>
          <t>멕시코</t>
        </is>
      </c>
      <c r="H195" s="44" t="inlineStr">
        <is>
          <t>MX</t>
        </is>
      </c>
      <c r="I195" s="47" t="n">
        <v>100809</v>
      </c>
      <c r="J195" s="44" t="inlineStr">
        <is>
          <t>EA</t>
        </is>
      </c>
      <c r="K195" s="48" t="n">
        <v>35.28</v>
      </c>
      <c r="L195" s="48" t="n">
        <v>175551.56</v>
      </c>
      <c r="M195" s="44" t="inlineStr">
        <is>
          <t>USD</t>
        </is>
      </c>
      <c r="N195" s="44" t="inlineStr">
        <is>
          <t>FOB</t>
        </is>
      </c>
      <c r="O195" s="44" t="inlineStr">
        <is>
          <t>N</t>
        </is>
      </c>
      <c r="P195" s="48" t="n">
        <v>1351.4436</v>
      </c>
      <c r="Q195" s="47">
        <f>IF(OR(L195="",M195="",P195=""),"",L195*P195)</f>
        <v/>
      </c>
    </row>
    <row r="196" ht="15" customHeight="1" s="28">
      <c r="A196" s="44" t="inlineStr">
        <is>
          <t>R-SB-0194</t>
        </is>
      </c>
      <c r="B196" s="45" t="n">
        <v>45512</v>
      </c>
      <c r="C196" s="44" t="inlineStr">
        <is>
          <t>2024-08</t>
        </is>
      </c>
      <c r="D196" s="44" t="n">
        <v>2024</v>
      </c>
      <c r="E196" s="44" t="inlineStr">
        <is>
          <t>P-SB-002</t>
        </is>
      </c>
      <c r="F196" s="44" t="inlineStr">
        <is>
          <t>C-SB-04</t>
        </is>
      </c>
      <c r="G196" s="46" t="inlineStr">
        <is>
          <t>인도</t>
        </is>
      </c>
      <c r="H196" s="44" t="inlineStr">
        <is>
          <t>IN</t>
        </is>
      </c>
      <c r="I196" s="47" t="n">
        <v>7267</v>
      </c>
      <c r="J196" s="44" t="inlineStr">
        <is>
          <t>EA</t>
        </is>
      </c>
      <c r="K196" s="48" t="n">
        <v>6.54</v>
      </c>
      <c r="L196" s="48" t="n">
        <v>29293.29</v>
      </c>
      <c r="M196" s="44" t="inlineStr">
        <is>
          <t>USD</t>
        </is>
      </c>
      <c r="N196" s="44" t="inlineStr">
        <is>
          <t>FOB</t>
        </is>
      </c>
      <c r="O196" s="44" t="inlineStr">
        <is>
          <t>N</t>
        </is>
      </c>
      <c r="P196" s="48" t="n">
        <v>1351.4436</v>
      </c>
      <c r="Q196" s="47">
        <f>IF(OR(L196="",M196="",P196=""),"",L196*P196)</f>
        <v/>
      </c>
    </row>
    <row r="197" ht="15" customHeight="1" s="28">
      <c r="A197" s="44" t="inlineStr">
        <is>
          <t>R-SB-0195</t>
        </is>
      </c>
      <c r="B197" s="45" t="n">
        <v>45513</v>
      </c>
      <c r="C197" s="44" t="inlineStr">
        <is>
          <t>2024-08</t>
        </is>
      </c>
      <c r="D197" s="44" t="n">
        <v>2024</v>
      </c>
      <c r="E197" s="44" t="inlineStr">
        <is>
          <t>P-SB-003</t>
        </is>
      </c>
      <c r="F197" s="44" t="inlineStr">
        <is>
          <t>C-SB-01</t>
        </is>
      </c>
      <c r="G197" s="46" t="inlineStr">
        <is>
          <t>미국</t>
        </is>
      </c>
      <c r="H197" s="44" t="inlineStr">
        <is>
          <t>US</t>
        </is>
      </c>
      <c r="I197" s="47" t="n">
        <v>96529</v>
      </c>
      <c r="J197" s="44" t="inlineStr">
        <is>
          <t>EA</t>
        </is>
      </c>
      <c r="K197" s="48" t="n">
        <v>24.13</v>
      </c>
      <c r="L197" s="48" t="n">
        <v>87003.23</v>
      </c>
      <c r="M197" s="44" t="inlineStr">
        <is>
          <t>USD</t>
        </is>
      </c>
      <c r="N197" s="44" t="inlineStr">
        <is>
          <t>FOB</t>
        </is>
      </c>
      <c r="O197" s="44" t="inlineStr">
        <is>
          <t>N</t>
        </is>
      </c>
      <c r="P197" s="48" t="n">
        <v>1351.4436</v>
      </c>
      <c r="Q197" s="47">
        <f>IF(OR(L197="",M197="",P197=""),"",L197*P197)</f>
        <v/>
      </c>
    </row>
    <row r="198" ht="15" customHeight="1" s="28">
      <c r="A198" s="44" t="inlineStr">
        <is>
          <t>R-SB-0196</t>
        </is>
      </c>
      <c r="B198" s="45" t="n">
        <v>45525</v>
      </c>
      <c r="C198" s="44" t="inlineStr">
        <is>
          <t>2024-08</t>
        </is>
      </c>
      <c r="D198" s="44" t="n">
        <v>2024</v>
      </c>
      <c r="E198" s="44" t="inlineStr">
        <is>
          <t>P-SB-002</t>
        </is>
      </c>
      <c r="F198" s="44" t="inlineStr">
        <is>
          <t>C-SB-03</t>
        </is>
      </c>
      <c r="G198" s="46" t="inlineStr">
        <is>
          <t>베트남</t>
        </is>
      </c>
      <c r="H198" s="44" t="inlineStr">
        <is>
          <t>VN</t>
        </is>
      </c>
      <c r="I198" s="47" t="n">
        <v>16991</v>
      </c>
      <c r="J198" s="44" t="inlineStr">
        <is>
          <t>EA</t>
        </is>
      </c>
      <c r="K198" s="48" t="n">
        <v>15.29</v>
      </c>
      <c r="L198" s="48" t="n">
        <v>69786.75999999999</v>
      </c>
      <c r="M198" s="44" t="inlineStr">
        <is>
          <t>USD</t>
        </is>
      </c>
      <c r="N198" s="44" t="inlineStr">
        <is>
          <t>FOB</t>
        </is>
      </c>
      <c r="O198" s="44" t="inlineStr">
        <is>
          <t>N</t>
        </is>
      </c>
      <c r="P198" s="48" t="n">
        <v>1351.4436</v>
      </c>
      <c r="Q198" s="47">
        <f>IF(OR(L198="",M198="",P198=""),"",L198*P198)</f>
        <v/>
      </c>
    </row>
    <row r="199" ht="15" customHeight="1" s="28">
      <c r="A199" s="44" t="inlineStr">
        <is>
          <t>R-SB-0197</t>
        </is>
      </c>
      <c r="B199" s="45" t="n">
        <v>45526</v>
      </c>
      <c r="C199" s="44" t="inlineStr">
        <is>
          <t>2024-08</t>
        </is>
      </c>
      <c r="D199" s="44" t="n">
        <v>2024</v>
      </c>
      <c r="E199" s="44" t="inlineStr">
        <is>
          <t>P-SB-003</t>
        </is>
      </c>
      <c r="F199" s="44" t="inlineStr">
        <is>
          <t>C-SB-04</t>
        </is>
      </c>
      <c r="G199" s="46" t="inlineStr">
        <is>
          <t>인도</t>
        </is>
      </c>
      <c r="H199" s="44" t="inlineStr">
        <is>
          <t>IN</t>
        </is>
      </c>
      <c r="I199" s="47" t="n">
        <v>19685</v>
      </c>
      <c r="J199" s="44" t="inlineStr">
        <is>
          <t>EA</t>
        </is>
      </c>
      <c r="K199" s="48" t="n">
        <v>4.92</v>
      </c>
      <c r="L199" s="48" t="n">
        <v>18342.66</v>
      </c>
      <c r="M199" s="44" t="inlineStr">
        <is>
          <t>USD</t>
        </is>
      </c>
      <c r="N199" s="44" t="inlineStr">
        <is>
          <t>FOB</t>
        </is>
      </c>
      <c r="O199" s="44" t="inlineStr">
        <is>
          <t>N</t>
        </is>
      </c>
      <c r="P199" s="48" t="n">
        <v>1351.4436</v>
      </c>
      <c r="Q199" s="47">
        <f>IF(OR(L199="",M199="",P199=""),"",L199*P199)</f>
        <v/>
      </c>
    </row>
    <row r="200" ht="15" customHeight="1" s="28">
      <c r="A200" s="44" t="inlineStr">
        <is>
          <t>R-SB-0198</t>
        </is>
      </c>
      <c r="B200" s="45" t="n">
        <v>45527</v>
      </c>
      <c r="C200" s="44" t="inlineStr">
        <is>
          <t>2024-08</t>
        </is>
      </c>
      <c r="D200" s="44" t="n">
        <v>2024</v>
      </c>
      <c r="E200" s="44" t="inlineStr">
        <is>
          <t>P-SB-002</t>
        </is>
      </c>
      <c r="F200" s="44" t="inlineStr">
        <is>
          <t>C-SB-02</t>
        </is>
      </c>
      <c r="G200" s="46" t="inlineStr">
        <is>
          <t>멕시코</t>
        </is>
      </c>
      <c r="H200" s="44" t="inlineStr">
        <is>
          <t>MX</t>
        </is>
      </c>
      <c r="I200" s="47" t="n">
        <v>20068</v>
      </c>
      <c r="J200" s="44" t="inlineStr">
        <is>
          <t>EA</t>
        </is>
      </c>
      <c r="K200" s="48" t="n">
        <v>18.06</v>
      </c>
      <c r="L200" s="48" t="n">
        <v>78527.10000000001</v>
      </c>
      <c r="M200" s="44" t="inlineStr">
        <is>
          <t>USD</t>
        </is>
      </c>
      <c r="N200" s="44" t="inlineStr">
        <is>
          <t>FOB</t>
        </is>
      </c>
      <c r="O200" s="44" t="inlineStr">
        <is>
          <t>N</t>
        </is>
      </c>
      <c r="P200" s="48" t="n">
        <v>1351.4436</v>
      </c>
      <c r="Q200" s="47">
        <f>IF(OR(L200="",M200="",P200=""),"",L200*P200)</f>
        <v/>
      </c>
    </row>
    <row r="201" ht="15" customHeight="1" s="28">
      <c r="A201" s="44" t="inlineStr">
        <is>
          <t>R-SB-0199</t>
        </is>
      </c>
      <c r="B201" s="45" t="n">
        <v>45528</v>
      </c>
      <c r="C201" s="44" t="inlineStr">
        <is>
          <t>2024-08</t>
        </is>
      </c>
      <c r="D201" s="44" t="n">
        <v>2024</v>
      </c>
      <c r="E201" s="44" t="inlineStr">
        <is>
          <t>P-SB-001</t>
        </is>
      </c>
      <c r="F201" s="44" t="inlineStr">
        <is>
          <t>C-SB-03</t>
        </is>
      </c>
      <c r="G201" s="46" t="inlineStr">
        <is>
          <t>베트남</t>
        </is>
      </c>
      <c r="H201" s="44" t="inlineStr">
        <is>
          <t>VN</t>
        </is>
      </c>
      <c r="I201" s="47" t="n">
        <v>54927</v>
      </c>
      <c r="J201" s="44" t="inlineStr">
        <is>
          <t>EA</t>
        </is>
      </c>
      <c r="K201" s="48" t="n">
        <v>19.22</v>
      </c>
      <c r="L201" s="48" t="n">
        <v>95403.62</v>
      </c>
      <c r="M201" s="44" t="inlineStr">
        <is>
          <t>USD</t>
        </is>
      </c>
      <c r="N201" s="44" t="inlineStr">
        <is>
          <t>FOB</t>
        </is>
      </c>
      <c r="O201" s="44" t="inlineStr">
        <is>
          <t>N</t>
        </is>
      </c>
      <c r="P201" s="48" t="n">
        <v>1351.4436</v>
      </c>
      <c r="Q201" s="47">
        <f>IF(OR(L201="",M201="",P201=""),"",L201*P201)</f>
        <v/>
      </c>
    </row>
    <row r="202" ht="15" customHeight="1" s="28">
      <c r="A202" s="44" t="inlineStr">
        <is>
          <t>R-SB-0200</t>
        </is>
      </c>
      <c r="B202" s="45" t="n">
        <v>45529</v>
      </c>
      <c r="C202" s="44" t="inlineStr">
        <is>
          <t>2024-08</t>
        </is>
      </c>
      <c r="D202" s="44" t="n">
        <v>2024</v>
      </c>
      <c r="E202" s="44" t="inlineStr">
        <is>
          <t>P-SB-003</t>
        </is>
      </c>
      <c r="F202" s="44" t="inlineStr">
        <is>
          <t>C-SB-02</t>
        </is>
      </c>
      <c r="G202" s="46" t="inlineStr">
        <is>
          <t>멕시코</t>
        </is>
      </c>
      <c r="H202" s="44" t="inlineStr">
        <is>
          <t>MX</t>
        </is>
      </c>
      <c r="I202" s="47" t="n">
        <v>58737</v>
      </c>
      <c r="J202" s="44" t="inlineStr">
        <is>
          <t>EA</t>
        </is>
      </c>
      <c r="K202" s="48" t="n">
        <v>14.68</v>
      </c>
      <c r="L202" s="48" t="n">
        <v>52729.02</v>
      </c>
      <c r="M202" s="44" t="inlineStr">
        <is>
          <t>USD</t>
        </is>
      </c>
      <c r="N202" s="44" t="inlineStr">
        <is>
          <t>FOB</t>
        </is>
      </c>
      <c r="O202" s="44" t="inlineStr">
        <is>
          <t>N</t>
        </is>
      </c>
      <c r="P202" s="48" t="n">
        <v>1351.4436</v>
      </c>
      <c r="Q202" s="47">
        <f>IF(OR(L202="",M202="",P202=""),"",L202*P202)</f>
        <v/>
      </c>
    </row>
    <row r="203" ht="15" customHeight="1" s="28">
      <c r="A203" s="44" t="inlineStr">
        <is>
          <t>R-SB-0201</t>
        </is>
      </c>
      <c r="B203" s="45" t="n">
        <v>45538</v>
      </c>
      <c r="C203" s="44" t="inlineStr">
        <is>
          <t>2024-09</t>
        </is>
      </c>
      <c r="D203" s="44" t="n">
        <v>2024</v>
      </c>
      <c r="E203" s="44" t="inlineStr">
        <is>
          <t>P-SB-001</t>
        </is>
      </c>
      <c r="F203" s="44" t="inlineStr">
        <is>
          <t>C-SB-04</t>
        </is>
      </c>
      <c r="G203" s="46" t="inlineStr">
        <is>
          <t>인도</t>
        </is>
      </c>
      <c r="H203" s="44" t="inlineStr">
        <is>
          <t>IN</t>
        </is>
      </c>
      <c r="I203" s="47" t="n">
        <v>27905</v>
      </c>
      <c r="J203" s="44" t="inlineStr">
        <is>
          <t>EA</t>
        </is>
      </c>
      <c r="K203" s="48" t="n">
        <v>9.77</v>
      </c>
      <c r="L203" s="48" t="n">
        <v>48628.55</v>
      </c>
      <c r="M203" s="44" t="inlineStr">
        <is>
          <t>USD</t>
        </is>
      </c>
      <c r="N203" s="44" t="inlineStr">
        <is>
          <t>FOB</t>
        </is>
      </c>
      <c r="O203" s="44" t="inlineStr">
        <is>
          <t>N</t>
        </is>
      </c>
      <c r="P203" s="48" t="n">
        <v>1330.6985</v>
      </c>
      <c r="Q203" s="47">
        <f>IF(OR(L203="",M203="",P203=""),"",L203*P203)</f>
        <v/>
      </c>
    </row>
    <row r="204" ht="15" customHeight="1" s="28">
      <c r="A204" s="44" t="inlineStr">
        <is>
          <t>R-SB-0202</t>
        </is>
      </c>
      <c r="B204" s="45" t="n">
        <v>45539</v>
      </c>
      <c r="C204" s="44" t="inlineStr">
        <is>
          <t>2024-09</t>
        </is>
      </c>
      <c r="D204" s="44" t="n">
        <v>2024</v>
      </c>
      <c r="E204" s="44" t="inlineStr">
        <is>
          <t>P-SB-003</t>
        </is>
      </c>
      <c r="F204" s="44" t="inlineStr">
        <is>
          <t>C-SB-02</t>
        </is>
      </c>
      <c r="G204" s="46" t="inlineStr">
        <is>
          <t>멕시코</t>
        </is>
      </c>
      <c r="H204" s="44" t="inlineStr">
        <is>
          <t>MX</t>
        </is>
      </c>
      <c r="I204" s="47" t="n">
        <v>46672</v>
      </c>
      <c r="J204" s="44" t="inlineStr">
        <is>
          <t>EA</t>
        </is>
      </c>
      <c r="K204" s="48" t="n">
        <v>11.67</v>
      </c>
      <c r="L204" s="48" t="n">
        <v>41283.77</v>
      </c>
      <c r="M204" s="44" t="inlineStr">
        <is>
          <t>USD</t>
        </is>
      </c>
      <c r="N204" s="44" t="inlineStr">
        <is>
          <t>FOB</t>
        </is>
      </c>
      <c r="O204" s="44" t="inlineStr">
        <is>
          <t>N</t>
        </is>
      </c>
      <c r="P204" s="48" t="n">
        <v>1330.6985</v>
      </c>
      <c r="Q204" s="47">
        <f>IF(OR(L204="",M204="",P204=""),"",L204*P204)</f>
        <v/>
      </c>
    </row>
    <row r="205" ht="15" customHeight="1" s="28">
      <c r="A205" s="44" t="inlineStr">
        <is>
          <t>R-SB-0203</t>
        </is>
      </c>
      <c r="B205" s="45" t="n">
        <v>45542</v>
      </c>
      <c r="C205" s="44" t="inlineStr">
        <is>
          <t>2024-09</t>
        </is>
      </c>
      <c r="D205" s="44" t="n">
        <v>2024</v>
      </c>
      <c r="E205" s="44" t="inlineStr">
        <is>
          <t>P-SB-002</t>
        </is>
      </c>
      <c r="F205" s="44" t="inlineStr">
        <is>
          <t>C-SB-02</t>
        </is>
      </c>
      <c r="G205" s="46" t="inlineStr">
        <is>
          <t>멕시코</t>
        </is>
      </c>
      <c r="H205" s="44" t="inlineStr">
        <is>
          <t>MX</t>
        </is>
      </c>
      <c r="I205" s="47" t="n">
        <v>20430</v>
      </c>
      <c r="J205" s="44" t="inlineStr">
        <is>
          <t>EA</t>
        </is>
      </c>
      <c r="K205" s="48" t="n">
        <v>18.39</v>
      </c>
      <c r="L205" s="48" t="n">
        <v>82356.89999999999</v>
      </c>
      <c r="M205" s="44" t="inlineStr">
        <is>
          <t>USD</t>
        </is>
      </c>
      <c r="N205" s="44" t="inlineStr">
        <is>
          <t>FOB</t>
        </is>
      </c>
      <c r="O205" s="44" t="inlineStr">
        <is>
          <t>N</t>
        </is>
      </c>
      <c r="P205" s="48" t="n">
        <v>1330.6985</v>
      </c>
      <c r="Q205" s="47">
        <f>IF(OR(L205="",M205="",P205=""),"",L205*P205)</f>
        <v/>
      </c>
    </row>
    <row r="206" ht="15" customHeight="1" s="28">
      <c r="A206" s="44" t="inlineStr">
        <is>
          <t>R-SB-0204</t>
        </is>
      </c>
      <c r="B206" s="45" t="n">
        <v>45551</v>
      </c>
      <c r="C206" s="44" t="inlineStr">
        <is>
          <t>2024-09</t>
        </is>
      </c>
      <c r="D206" s="44" t="n">
        <v>2024</v>
      </c>
      <c r="E206" s="44" t="inlineStr">
        <is>
          <t>P-SB-003</t>
        </is>
      </c>
      <c r="F206" s="44" t="inlineStr">
        <is>
          <t>C-SB-03</t>
        </is>
      </c>
      <c r="G206" s="46" t="inlineStr">
        <is>
          <t>베트남</t>
        </is>
      </c>
      <c r="H206" s="44" t="inlineStr">
        <is>
          <t>VN</t>
        </is>
      </c>
      <c r="I206" s="47" t="n">
        <v>48269</v>
      </c>
      <c r="J206" s="44" t="inlineStr">
        <is>
          <t>EA</t>
        </is>
      </c>
      <c r="K206" s="48" t="n">
        <v>12.07</v>
      </c>
      <c r="L206" s="48" t="n">
        <v>41746.18</v>
      </c>
      <c r="M206" s="44" t="inlineStr">
        <is>
          <t>USD</t>
        </is>
      </c>
      <c r="N206" s="44" t="inlineStr">
        <is>
          <t>FOB</t>
        </is>
      </c>
      <c r="O206" s="44" t="inlineStr">
        <is>
          <t>N</t>
        </is>
      </c>
      <c r="P206" s="48" t="n">
        <v>1330.6985</v>
      </c>
      <c r="Q206" s="47">
        <f>IF(OR(L206="",M206="",P206=""),"",L206*P206)</f>
        <v/>
      </c>
    </row>
    <row r="207" ht="15" customHeight="1" s="28">
      <c r="A207" s="44" t="inlineStr">
        <is>
          <t>R-SB-0205</t>
        </is>
      </c>
      <c r="B207" s="45" t="n">
        <v>45554</v>
      </c>
      <c r="C207" s="44" t="inlineStr">
        <is>
          <t>2024-09</t>
        </is>
      </c>
      <c r="D207" s="44" t="n">
        <v>2024</v>
      </c>
      <c r="E207" s="44" t="inlineStr">
        <is>
          <t>P-SB-003</t>
        </is>
      </c>
      <c r="F207" s="44" t="inlineStr">
        <is>
          <t>C-SB-01</t>
        </is>
      </c>
      <c r="G207" s="46" t="inlineStr">
        <is>
          <t>미국</t>
        </is>
      </c>
      <c r="H207" s="44" t="inlineStr">
        <is>
          <t>US</t>
        </is>
      </c>
      <c r="I207" s="47" t="n">
        <v>66434</v>
      </c>
      <c r="J207" s="44" t="inlineStr">
        <is>
          <t>EA</t>
        </is>
      </c>
      <c r="K207" s="48" t="n">
        <v>16.61</v>
      </c>
      <c r="L207" s="48" t="n">
        <v>62224.46</v>
      </c>
      <c r="M207" s="44" t="inlineStr">
        <is>
          <t>USD</t>
        </is>
      </c>
      <c r="N207" s="44" t="inlineStr">
        <is>
          <t>FOB</t>
        </is>
      </c>
      <c r="O207" s="44" t="inlineStr">
        <is>
          <t>N</t>
        </is>
      </c>
      <c r="P207" s="48" t="n">
        <v>1330.6985</v>
      </c>
      <c r="Q207" s="47">
        <f>IF(OR(L207="",M207="",P207=""),"",L207*P207)</f>
        <v/>
      </c>
    </row>
    <row r="208" ht="15" customHeight="1" s="28">
      <c r="A208" s="44" t="inlineStr">
        <is>
          <t>R-SB-0206</t>
        </is>
      </c>
      <c r="B208" s="45" t="n">
        <v>45555</v>
      </c>
      <c r="C208" s="44" t="inlineStr">
        <is>
          <t>2024-09</t>
        </is>
      </c>
      <c r="D208" s="44" t="n">
        <v>2024</v>
      </c>
      <c r="E208" s="44" t="inlineStr">
        <is>
          <t>P-SB-002</t>
        </is>
      </c>
      <c r="F208" s="44" t="inlineStr">
        <is>
          <t>C-SB-03</t>
        </is>
      </c>
      <c r="G208" s="46" t="inlineStr">
        <is>
          <t>베트남</t>
        </is>
      </c>
      <c r="H208" s="44" t="inlineStr">
        <is>
          <t>VN</t>
        </is>
      </c>
      <c r="I208" s="47" t="n">
        <v>21719</v>
      </c>
      <c r="J208" s="44" t="inlineStr">
        <is>
          <t>EA</t>
        </is>
      </c>
      <c r="K208" s="48" t="n">
        <v>19.55</v>
      </c>
      <c r="L208" s="48" t="n">
        <v>83006.75</v>
      </c>
      <c r="M208" s="44" t="inlineStr">
        <is>
          <t>USD</t>
        </is>
      </c>
      <c r="N208" s="44" t="inlineStr">
        <is>
          <t>FOB</t>
        </is>
      </c>
      <c r="O208" s="44" t="inlineStr">
        <is>
          <t>N</t>
        </is>
      </c>
      <c r="P208" s="48" t="n">
        <v>1330.6985</v>
      </c>
      <c r="Q208" s="47">
        <f>IF(OR(L208="",M208="",P208=""),"",L208*P208)</f>
        <v/>
      </c>
    </row>
    <row r="209" ht="15" customHeight="1" s="28">
      <c r="A209" s="44" t="inlineStr">
        <is>
          <t>R-SB-0207</t>
        </is>
      </c>
      <c r="B209" s="45" t="n">
        <v>45557</v>
      </c>
      <c r="C209" s="44" t="inlineStr">
        <is>
          <t>2024-09</t>
        </is>
      </c>
      <c r="D209" s="44" t="n">
        <v>2024</v>
      </c>
      <c r="E209" s="44" t="inlineStr">
        <is>
          <t>P-SB-003</t>
        </is>
      </c>
      <c r="F209" s="44" t="inlineStr">
        <is>
          <t>C-SB-04</t>
        </is>
      </c>
      <c r="G209" s="46" t="inlineStr">
        <is>
          <t>인도</t>
        </is>
      </c>
      <c r="H209" s="44" t="inlineStr">
        <is>
          <t>IN</t>
        </is>
      </c>
      <c r="I209" s="47" t="n">
        <v>18860</v>
      </c>
      <c r="J209" s="44" t="inlineStr">
        <is>
          <t>EA</t>
        </is>
      </c>
      <c r="K209" s="48" t="n">
        <v>4.71</v>
      </c>
      <c r="L209" s="48" t="n">
        <v>17643.96</v>
      </c>
      <c r="M209" s="44" t="inlineStr">
        <is>
          <t>USD</t>
        </is>
      </c>
      <c r="N209" s="44" t="inlineStr">
        <is>
          <t>FOB</t>
        </is>
      </c>
      <c r="O209" s="44" t="inlineStr">
        <is>
          <t>N</t>
        </is>
      </c>
      <c r="P209" s="48" t="n">
        <v>1330.6985</v>
      </c>
      <c r="Q209" s="47">
        <f>IF(OR(L209="",M209="",P209=""),"",L209*P209)</f>
        <v/>
      </c>
    </row>
    <row r="210" ht="15" customHeight="1" s="28">
      <c r="A210" s="44" t="inlineStr">
        <is>
          <t>R-SB-0208</t>
        </is>
      </c>
      <c r="B210" s="45" t="n">
        <v>45558</v>
      </c>
      <c r="C210" s="44" t="inlineStr">
        <is>
          <t>2024-09</t>
        </is>
      </c>
      <c r="D210" s="44" t="n">
        <v>2024</v>
      </c>
      <c r="E210" s="44" t="inlineStr">
        <is>
          <t>P-SB-001</t>
        </is>
      </c>
      <c r="F210" s="44" t="inlineStr">
        <is>
          <t>C-SB-01</t>
        </is>
      </c>
      <c r="G210" s="46" t="inlineStr">
        <is>
          <t>미국</t>
        </is>
      </c>
      <c r="H210" s="44" t="inlineStr">
        <is>
          <t>US</t>
        </is>
      </c>
      <c r="I210" s="47" t="n">
        <v>186656</v>
      </c>
      <c r="J210" s="44" t="inlineStr">
        <is>
          <t>EA</t>
        </is>
      </c>
      <c r="K210" s="48" t="n">
        <v>65.33</v>
      </c>
      <c r="L210" s="48" t="n">
        <v>327020.74</v>
      </c>
      <c r="M210" s="44" t="inlineStr">
        <is>
          <t>USD</t>
        </is>
      </c>
      <c r="N210" s="44" t="inlineStr">
        <is>
          <t>FOB</t>
        </is>
      </c>
      <c r="O210" s="44" t="inlineStr">
        <is>
          <t>N</t>
        </is>
      </c>
      <c r="P210" s="48" t="n">
        <v>1330.6985</v>
      </c>
      <c r="Q210" s="47">
        <f>IF(OR(L210="",M210="",P210=""),"",L210*P210)</f>
        <v/>
      </c>
    </row>
    <row r="211" ht="15" customHeight="1" s="28">
      <c r="A211" s="44" t="inlineStr">
        <is>
          <t>R-SB-0209</t>
        </is>
      </c>
      <c r="B211" s="45" t="n">
        <v>45558</v>
      </c>
      <c r="C211" s="44" t="inlineStr">
        <is>
          <t>2024-09</t>
        </is>
      </c>
      <c r="D211" s="44" t="n">
        <v>2024</v>
      </c>
      <c r="E211" s="44" t="inlineStr">
        <is>
          <t>P-SB-002</t>
        </is>
      </c>
      <c r="F211" s="44" t="inlineStr">
        <is>
          <t>C-SB-01</t>
        </is>
      </c>
      <c r="G211" s="46" t="inlineStr">
        <is>
          <t>미국</t>
        </is>
      </c>
      <c r="H211" s="44" t="inlineStr">
        <is>
          <t>US</t>
        </is>
      </c>
      <c r="I211" s="47" t="n">
        <v>44588</v>
      </c>
      <c r="J211" s="44" t="inlineStr">
        <is>
          <t>EA</t>
        </is>
      </c>
      <c r="K211" s="48" t="n">
        <v>40.13</v>
      </c>
      <c r="L211" s="48" t="n">
        <v>183435.83</v>
      </c>
      <c r="M211" s="44" t="inlineStr">
        <is>
          <t>USD</t>
        </is>
      </c>
      <c r="N211" s="44" t="inlineStr">
        <is>
          <t>FOB</t>
        </is>
      </c>
      <c r="O211" s="44" t="inlineStr">
        <is>
          <t>N</t>
        </is>
      </c>
      <c r="P211" s="48" t="n">
        <v>1330.6985</v>
      </c>
      <c r="Q211" s="47">
        <f>IF(OR(L211="",M211="",P211=""),"",L211*P211)</f>
        <v/>
      </c>
    </row>
    <row r="212" ht="15" customHeight="1" s="28">
      <c r="A212" s="44" t="inlineStr">
        <is>
          <t>R-SB-0210</t>
        </is>
      </c>
      <c r="B212" s="45" t="n">
        <v>45559</v>
      </c>
      <c r="C212" s="44" t="inlineStr">
        <is>
          <t>2024-09</t>
        </is>
      </c>
      <c r="D212" s="44" t="n">
        <v>2024</v>
      </c>
      <c r="E212" s="44" t="inlineStr">
        <is>
          <t>P-SB-001</t>
        </is>
      </c>
      <c r="F212" s="44" t="inlineStr">
        <is>
          <t>C-SB-02</t>
        </is>
      </c>
      <c r="G212" s="46" t="inlineStr">
        <is>
          <t>멕시코</t>
        </is>
      </c>
      <c r="H212" s="44" t="inlineStr">
        <is>
          <t>MX</t>
        </is>
      </c>
      <c r="I212" s="47" t="n">
        <v>103437</v>
      </c>
      <c r="J212" s="44" t="inlineStr">
        <is>
          <t>EA</t>
        </is>
      </c>
      <c r="K212" s="48" t="n">
        <v>36.2</v>
      </c>
      <c r="L212" s="48" t="n">
        <v>193977.93</v>
      </c>
      <c r="M212" s="44" t="inlineStr">
        <is>
          <t>USD</t>
        </is>
      </c>
      <c r="N212" s="44" t="inlineStr">
        <is>
          <t>FOB</t>
        </is>
      </c>
      <c r="O212" s="44" t="inlineStr">
        <is>
          <t>N</t>
        </is>
      </c>
      <c r="P212" s="48" t="n">
        <v>1330.6985</v>
      </c>
      <c r="Q212" s="47">
        <f>IF(OR(L212="",M212="",P212=""),"",L212*P212)</f>
        <v/>
      </c>
    </row>
    <row r="213" ht="15" customHeight="1" s="28">
      <c r="A213" s="44" t="inlineStr">
        <is>
          <t>R-SB-0211</t>
        </is>
      </c>
      <c r="B213" s="45" t="n">
        <v>45560</v>
      </c>
      <c r="C213" s="44" t="inlineStr">
        <is>
          <t>2024-09</t>
        </is>
      </c>
      <c r="D213" s="44" t="n">
        <v>2024</v>
      </c>
      <c r="E213" s="44" t="inlineStr">
        <is>
          <t>P-SB-002</t>
        </is>
      </c>
      <c r="F213" s="44" t="inlineStr">
        <is>
          <t>C-SB-04</t>
        </is>
      </c>
      <c r="G213" s="46" t="inlineStr">
        <is>
          <t>인도</t>
        </is>
      </c>
      <c r="H213" s="44" t="inlineStr">
        <is>
          <t>IN</t>
        </is>
      </c>
      <c r="I213" s="47" t="n">
        <v>6830</v>
      </c>
      <c r="J213" s="44" t="inlineStr">
        <is>
          <t>EA</t>
        </is>
      </c>
      <c r="K213" s="48" t="n">
        <v>6.15</v>
      </c>
      <c r="L213" s="48" t="n">
        <v>26233.22</v>
      </c>
      <c r="M213" s="44" t="inlineStr">
        <is>
          <t>USD</t>
        </is>
      </c>
      <c r="N213" s="44" t="inlineStr">
        <is>
          <t>FOB</t>
        </is>
      </c>
      <c r="O213" s="44" t="inlineStr">
        <is>
          <t>N</t>
        </is>
      </c>
      <c r="P213" s="48" t="n">
        <v>1330.6985</v>
      </c>
      <c r="Q213" s="47">
        <f>IF(OR(L213="",M213="",P213=""),"",L213*P213)</f>
        <v/>
      </c>
    </row>
    <row r="214" ht="15" customHeight="1" s="28">
      <c r="A214" s="44" t="inlineStr">
        <is>
          <t>R-SB-0212</t>
        </is>
      </c>
      <c r="B214" s="45" t="n">
        <v>45573</v>
      </c>
      <c r="C214" s="44" t="inlineStr">
        <is>
          <t>2024-10</t>
        </is>
      </c>
      <c r="D214" s="44" t="n">
        <v>2024</v>
      </c>
      <c r="E214" s="44" t="inlineStr">
        <is>
          <t>P-SB-002</t>
        </is>
      </c>
      <c r="F214" s="44" t="inlineStr">
        <is>
          <t>C-SB-03</t>
        </is>
      </c>
      <c r="G214" s="46" t="inlineStr">
        <is>
          <t>베트남</t>
        </is>
      </c>
      <c r="H214" s="44" t="inlineStr">
        <is>
          <t>VN</t>
        </is>
      </c>
      <c r="I214" s="47" t="n">
        <v>19720</v>
      </c>
      <c r="J214" s="44" t="inlineStr">
        <is>
          <t>EA</t>
        </is>
      </c>
      <c r="K214" s="48" t="n">
        <v>17.75</v>
      </c>
      <c r="L214" s="48" t="n">
        <v>77091.25999999999</v>
      </c>
      <c r="M214" s="44" t="inlineStr">
        <is>
          <t>USD</t>
        </is>
      </c>
      <c r="N214" s="44" t="inlineStr">
        <is>
          <t>FOB</t>
        </is>
      </c>
      <c r="O214" s="44" t="inlineStr">
        <is>
          <t>N</t>
        </is>
      </c>
      <c r="P214" s="48" t="n">
        <v>1362.3691</v>
      </c>
      <c r="Q214" s="47">
        <f>IF(OR(L214="",M214="",P214=""),"",L214*P214)</f>
        <v/>
      </c>
    </row>
    <row r="215" ht="15" customHeight="1" s="28">
      <c r="A215" s="44" t="inlineStr">
        <is>
          <t>R-SB-0213</t>
        </is>
      </c>
      <c r="B215" s="45" t="n">
        <v>45574</v>
      </c>
      <c r="C215" s="44" t="inlineStr">
        <is>
          <t>2024-10</t>
        </is>
      </c>
      <c r="D215" s="44" t="n">
        <v>2024</v>
      </c>
      <c r="E215" s="44" t="inlineStr">
        <is>
          <t>P-SB-002</t>
        </is>
      </c>
      <c r="F215" s="44" t="inlineStr">
        <is>
          <t>C-SB-02</t>
        </is>
      </c>
      <c r="G215" s="46" t="inlineStr">
        <is>
          <t>멕시코</t>
        </is>
      </c>
      <c r="H215" s="44" t="inlineStr">
        <is>
          <t>MX</t>
        </is>
      </c>
      <c r="I215" s="47" t="n">
        <v>24360</v>
      </c>
      <c r="J215" s="44" t="inlineStr">
        <is>
          <t>EA</t>
        </is>
      </c>
      <c r="K215" s="48" t="n">
        <v>21.92</v>
      </c>
      <c r="L215" s="48" t="n">
        <v>98931.89999999999</v>
      </c>
      <c r="M215" s="44" t="inlineStr">
        <is>
          <t>USD</t>
        </is>
      </c>
      <c r="N215" s="44" t="inlineStr">
        <is>
          <t>FOB</t>
        </is>
      </c>
      <c r="O215" s="44" t="inlineStr">
        <is>
          <t>N</t>
        </is>
      </c>
      <c r="P215" s="48" t="n">
        <v>1362.3691</v>
      </c>
      <c r="Q215" s="47">
        <f>IF(OR(L215="",M215="",P215=""),"",L215*P215)</f>
        <v/>
      </c>
    </row>
    <row r="216" ht="15" customHeight="1" s="28">
      <c r="A216" s="44" t="inlineStr">
        <is>
          <t>R-SB-0214</t>
        </is>
      </c>
      <c r="B216" s="45" t="n">
        <v>45576</v>
      </c>
      <c r="C216" s="44" t="inlineStr">
        <is>
          <t>2024-10</t>
        </is>
      </c>
      <c r="D216" s="44" t="n">
        <v>2024</v>
      </c>
      <c r="E216" s="44" t="inlineStr">
        <is>
          <t>P-SB-002</t>
        </is>
      </c>
      <c r="F216" s="44" t="inlineStr">
        <is>
          <t>C-SB-01</t>
        </is>
      </c>
      <c r="G216" s="46" t="inlineStr">
        <is>
          <t>미국</t>
        </is>
      </c>
      <c r="H216" s="44" t="inlineStr">
        <is>
          <t>US</t>
        </is>
      </c>
      <c r="I216" s="47" t="n">
        <v>37431</v>
      </c>
      <c r="J216" s="44" t="inlineStr">
        <is>
          <t>EA</t>
        </is>
      </c>
      <c r="K216" s="48" t="n">
        <v>33.69</v>
      </c>
      <c r="L216" s="48" t="n">
        <v>147585.78</v>
      </c>
      <c r="M216" s="44" t="inlineStr">
        <is>
          <t>USD</t>
        </is>
      </c>
      <c r="N216" s="44" t="inlineStr">
        <is>
          <t>FOB</t>
        </is>
      </c>
      <c r="O216" s="44" t="inlineStr">
        <is>
          <t>N</t>
        </is>
      </c>
      <c r="P216" s="48" t="n">
        <v>1362.3691</v>
      </c>
      <c r="Q216" s="47">
        <f>IF(OR(L216="",M216="",P216=""),"",L216*P216)</f>
        <v/>
      </c>
    </row>
    <row r="217" ht="15" customHeight="1" s="28">
      <c r="A217" s="44" t="inlineStr">
        <is>
          <t>R-SB-0215</t>
        </is>
      </c>
      <c r="B217" s="45" t="n">
        <v>45576</v>
      </c>
      <c r="C217" s="44" t="inlineStr">
        <is>
          <t>2024-10</t>
        </is>
      </c>
      <c r="D217" s="44" t="n">
        <v>2024</v>
      </c>
      <c r="E217" s="44" t="inlineStr">
        <is>
          <t>P-SB-001</t>
        </is>
      </c>
      <c r="F217" s="44" t="inlineStr">
        <is>
          <t>C-SB-04</t>
        </is>
      </c>
      <c r="G217" s="46" t="inlineStr">
        <is>
          <t>인도</t>
        </is>
      </c>
      <c r="H217" s="44" t="inlineStr">
        <is>
          <t>IN</t>
        </is>
      </c>
      <c r="I217" s="47" t="n">
        <v>28137</v>
      </c>
      <c r="J217" s="44" t="inlineStr">
        <is>
          <t>EA</t>
        </is>
      </c>
      <c r="K217" s="48" t="n">
        <v>9.85</v>
      </c>
      <c r="L217" s="48" t="n">
        <v>50499.78</v>
      </c>
      <c r="M217" s="44" t="inlineStr">
        <is>
          <t>USD</t>
        </is>
      </c>
      <c r="N217" s="44" t="inlineStr">
        <is>
          <t>FOB</t>
        </is>
      </c>
      <c r="O217" s="44" t="inlineStr">
        <is>
          <t>N</t>
        </is>
      </c>
      <c r="P217" s="48" t="n">
        <v>1362.3691</v>
      </c>
      <c r="Q217" s="47">
        <f>IF(OR(L217="",M217="",P217=""),"",L217*P217)</f>
        <v/>
      </c>
    </row>
    <row r="218" ht="15" customHeight="1" s="28">
      <c r="A218" s="44" t="inlineStr">
        <is>
          <t>R-SB-0216</t>
        </is>
      </c>
      <c r="B218" s="45" t="n">
        <v>45577</v>
      </c>
      <c r="C218" s="44" t="inlineStr">
        <is>
          <t>2024-10</t>
        </is>
      </c>
      <c r="D218" s="44" t="n">
        <v>2024</v>
      </c>
      <c r="E218" s="44" t="inlineStr">
        <is>
          <t>P-SB-001</t>
        </is>
      </c>
      <c r="F218" s="44" t="inlineStr">
        <is>
          <t>C-SB-01</t>
        </is>
      </c>
      <c r="G218" s="46" t="inlineStr">
        <is>
          <t>미국</t>
        </is>
      </c>
      <c r="H218" s="44" t="inlineStr">
        <is>
          <t>US</t>
        </is>
      </c>
      <c r="I218" s="47" t="n">
        <v>125665</v>
      </c>
      <c r="J218" s="44" t="inlineStr">
        <is>
          <t>EA</t>
        </is>
      </c>
      <c r="K218" s="48" t="n">
        <v>43.98</v>
      </c>
      <c r="L218" s="48" t="n">
        <v>231083.31</v>
      </c>
      <c r="M218" s="44" t="inlineStr">
        <is>
          <t>USD</t>
        </is>
      </c>
      <c r="N218" s="44" t="inlineStr">
        <is>
          <t>FOB</t>
        </is>
      </c>
      <c r="O218" s="44" t="inlineStr">
        <is>
          <t>N</t>
        </is>
      </c>
      <c r="P218" s="48" t="n">
        <v>1362.3691</v>
      </c>
      <c r="Q218" s="47">
        <f>IF(OR(L218="",M218="",P218=""),"",L218*P218)</f>
        <v/>
      </c>
    </row>
    <row r="219" ht="15" customHeight="1" s="28">
      <c r="A219" s="44" t="inlineStr">
        <is>
          <t>R-SB-0217</t>
        </is>
      </c>
      <c r="B219" s="45" t="n">
        <v>45579</v>
      </c>
      <c r="C219" s="44" t="inlineStr">
        <is>
          <t>2024-10</t>
        </is>
      </c>
      <c r="D219" s="44" t="n">
        <v>2024</v>
      </c>
      <c r="E219" s="44" t="inlineStr">
        <is>
          <t>P-SB-003</t>
        </is>
      </c>
      <c r="F219" s="44" t="inlineStr">
        <is>
          <t>C-SB-01</t>
        </is>
      </c>
      <c r="G219" s="46" t="inlineStr">
        <is>
          <t>미국</t>
        </is>
      </c>
      <c r="H219" s="44" t="inlineStr">
        <is>
          <t>US</t>
        </is>
      </c>
      <c r="I219" s="47" t="n">
        <v>96268</v>
      </c>
      <c r="J219" s="44" t="inlineStr">
        <is>
          <t>EA</t>
        </is>
      </c>
      <c r="K219" s="48" t="n">
        <v>24.07</v>
      </c>
      <c r="L219" s="50" t="n"/>
      <c r="M219" s="44" t="inlineStr">
        <is>
          <t>USD</t>
        </is>
      </c>
      <c r="N219" s="44" t="inlineStr">
        <is>
          <t>FOB</t>
        </is>
      </c>
      <c r="O219" s="44" t="inlineStr">
        <is>
          <t>N</t>
        </is>
      </c>
      <c r="P219" s="48" t="n">
        <v>1362.3691</v>
      </c>
      <c r="Q219" s="47">
        <f>IF(OR(L219="",M219="",P219=""),"",L219*P219)</f>
        <v/>
      </c>
    </row>
    <row r="220" ht="15" customHeight="1" s="28">
      <c r="A220" s="44" t="inlineStr">
        <is>
          <t>R-SB-0218</t>
        </is>
      </c>
      <c r="B220" s="45" t="n">
        <v>45582</v>
      </c>
      <c r="C220" s="44" t="inlineStr">
        <is>
          <t>2024-10</t>
        </is>
      </c>
      <c r="D220" s="44" t="n">
        <v>2024</v>
      </c>
      <c r="E220" s="44" t="inlineStr">
        <is>
          <t>P-SB-001</t>
        </is>
      </c>
      <c r="F220" s="44" t="inlineStr">
        <is>
          <t>C-SB-02</t>
        </is>
      </c>
      <c r="G220" s="46" t="inlineStr">
        <is>
          <t>멕시코</t>
        </is>
      </c>
      <c r="H220" s="44" t="inlineStr">
        <is>
          <t>MX</t>
        </is>
      </c>
      <c r="I220" s="47" t="n">
        <v>103393</v>
      </c>
      <c r="J220" s="44" t="inlineStr">
        <is>
          <t>EA</t>
        </is>
      </c>
      <c r="K220" s="48" t="n">
        <v>36.19</v>
      </c>
      <c r="L220" s="48" t="n">
        <v>194899.38</v>
      </c>
      <c r="M220" s="44" t="inlineStr">
        <is>
          <t>USD</t>
        </is>
      </c>
      <c r="N220" s="44" t="inlineStr">
        <is>
          <t>FOB</t>
        </is>
      </c>
      <c r="O220" s="44" t="inlineStr">
        <is>
          <t>N</t>
        </is>
      </c>
      <c r="P220" s="48" t="n">
        <v>1362.3691</v>
      </c>
      <c r="Q220" s="47">
        <f>IF(OR(L220="",M220="",P220=""),"",L220*P220)</f>
        <v/>
      </c>
    </row>
    <row r="221" ht="15" customHeight="1" s="28">
      <c r="A221" s="44" t="inlineStr">
        <is>
          <t>R-SB-0219</t>
        </is>
      </c>
      <c r="B221" s="45" t="n">
        <v>45582</v>
      </c>
      <c r="C221" s="44" t="inlineStr">
        <is>
          <t>2024-10</t>
        </is>
      </c>
      <c r="D221" s="44" t="n">
        <v>2024</v>
      </c>
      <c r="E221" s="44" t="inlineStr">
        <is>
          <t>P-SB-003</t>
        </is>
      </c>
      <c r="F221" s="44" t="inlineStr">
        <is>
          <t>C-SB-03</t>
        </is>
      </c>
      <c r="G221" s="46" t="inlineStr">
        <is>
          <t>베트남</t>
        </is>
      </c>
      <c r="H221" s="44" t="inlineStr">
        <is>
          <t>VN</t>
        </is>
      </c>
      <c r="I221" s="47" t="n">
        <v>39465</v>
      </c>
      <c r="J221" s="44" t="inlineStr">
        <is>
          <t>EA</t>
        </is>
      </c>
      <c r="K221" s="48" t="n">
        <v>9.869999999999999</v>
      </c>
      <c r="L221" s="48" t="n">
        <v>33750.54</v>
      </c>
      <c r="M221" s="44" t="inlineStr">
        <is>
          <t>USD</t>
        </is>
      </c>
      <c r="N221" s="44" t="inlineStr">
        <is>
          <t>FOB</t>
        </is>
      </c>
      <c r="O221" s="44" t="inlineStr">
        <is>
          <t>N</t>
        </is>
      </c>
      <c r="P221" s="48" t="n">
        <v>1362.3691</v>
      </c>
      <c r="Q221" s="47">
        <f>IF(OR(L221="",M221="",P221=""),"",L221*P221)</f>
        <v/>
      </c>
    </row>
    <row r="222" ht="15" customHeight="1" s="28">
      <c r="A222" s="44" t="inlineStr">
        <is>
          <t>R-SB-0220</t>
        </is>
      </c>
      <c r="B222" s="45" t="n">
        <v>45584</v>
      </c>
      <c r="C222" s="44" t="inlineStr">
        <is>
          <t>2024-10</t>
        </is>
      </c>
      <c r="D222" s="44" t="n">
        <v>2024</v>
      </c>
      <c r="E222" s="44" t="inlineStr">
        <is>
          <t>P-SB-002</t>
        </is>
      </c>
      <c r="F222" s="44" t="inlineStr">
        <is>
          <t>C-SB-04</t>
        </is>
      </c>
      <c r="G222" s="46" t="inlineStr">
        <is>
          <t>인도</t>
        </is>
      </c>
      <c r="H222" s="44" t="inlineStr">
        <is>
          <t>IN</t>
        </is>
      </c>
      <c r="I222" s="47" t="n">
        <v>8070</v>
      </c>
      <c r="J222" s="44" t="inlineStr">
        <is>
          <t>EA</t>
        </is>
      </c>
      <c r="K222" s="48" t="n">
        <v>7.26</v>
      </c>
      <c r="L222" s="48" t="n">
        <v>30993.46</v>
      </c>
      <c r="M222" s="44" t="inlineStr">
        <is>
          <t>USD</t>
        </is>
      </c>
      <c r="N222" s="44" t="inlineStr">
        <is>
          <t>FOB</t>
        </is>
      </c>
      <c r="O222" s="44" t="inlineStr">
        <is>
          <t>N</t>
        </is>
      </c>
      <c r="P222" s="48" t="n">
        <v>1362.3691</v>
      </c>
      <c r="Q222" s="47">
        <f>IF(OR(L222="",M222="",P222=""),"",L222*P222)</f>
        <v/>
      </c>
    </row>
    <row r="223" ht="15" customHeight="1" s="28">
      <c r="A223" s="44" t="inlineStr">
        <is>
          <t>R-SB-0221</t>
        </is>
      </c>
      <c r="B223" s="45" t="n">
        <v>45588</v>
      </c>
      <c r="C223" s="44" t="inlineStr">
        <is>
          <t>2024-10</t>
        </is>
      </c>
      <c r="D223" s="44" t="n">
        <v>2024</v>
      </c>
      <c r="E223" s="44" t="inlineStr">
        <is>
          <t>P-SB-003</t>
        </is>
      </c>
      <c r="F223" s="44" t="inlineStr">
        <is>
          <t>C-SB-02</t>
        </is>
      </c>
      <c r="G223" s="46" t="inlineStr">
        <is>
          <t>멕시코</t>
        </is>
      </c>
      <c r="H223" s="44" t="inlineStr">
        <is>
          <t>MX</t>
        </is>
      </c>
      <c r="I223" s="47" t="n">
        <v>54756</v>
      </c>
      <c r="J223" s="44" t="inlineStr">
        <is>
          <t>EA</t>
        </is>
      </c>
      <c r="K223" s="48" t="n">
        <v>13.69</v>
      </c>
      <c r="L223" s="48" t="n">
        <v>47732.94</v>
      </c>
      <c r="M223" s="49" t="n"/>
      <c r="N223" s="44" t="inlineStr">
        <is>
          <t>FOB</t>
        </is>
      </c>
      <c r="O223" s="44" t="inlineStr">
        <is>
          <t>N</t>
        </is>
      </c>
      <c r="P223" s="48" t="n">
        <v>1362.3691</v>
      </c>
      <c r="Q223" s="47">
        <f>IF(OR(L223="",M223="",P223=""),"",L223*P223)</f>
        <v/>
      </c>
    </row>
    <row r="224" ht="15" customHeight="1" s="28">
      <c r="A224" s="44" t="inlineStr">
        <is>
          <t>R-SB-0222</t>
        </is>
      </c>
      <c r="B224" s="45" t="n">
        <v>45588</v>
      </c>
      <c r="C224" s="44" t="inlineStr">
        <is>
          <t>2024-10</t>
        </is>
      </c>
      <c r="D224" s="44" t="n">
        <v>2024</v>
      </c>
      <c r="E224" s="44" t="inlineStr">
        <is>
          <t>P-SB-003</t>
        </is>
      </c>
      <c r="F224" s="44" t="inlineStr">
        <is>
          <t>C-SB-04</t>
        </is>
      </c>
      <c r="G224" s="46" t="inlineStr">
        <is>
          <t>인도</t>
        </is>
      </c>
      <c r="H224" s="44" t="inlineStr">
        <is>
          <t>IN</t>
        </is>
      </c>
      <c r="I224" s="47" t="n">
        <v>19668</v>
      </c>
      <c r="J224" s="44" t="inlineStr">
        <is>
          <t>EA</t>
        </is>
      </c>
      <c r="K224" s="48" t="n">
        <v>4.92</v>
      </c>
      <c r="L224" s="48" t="n">
        <v>17340.65</v>
      </c>
      <c r="M224" s="44" t="inlineStr">
        <is>
          <t>USD</t>
        </is>
      </c>
      <c r="N224" s="44" t="inlineStr">
        <is>
          <t>FOB</t>
        </is>
      </c>
      <c r="O224" s="44" t="inlineStr">
        <is>
          <t>N</t>
        </is>
      </c>
      <c r="P224" s="48" t="n">
        <v>1362.3691</v>
      </c>
      <c r="Q224" s="47">
        <f>IF(OR(L224="",M224="",P224=""),"",L224*P224)</f>
        <v/>
      </c>
    </row>
    <row r="225" ht="15" customHeight="1" s="28">
      <c r="A225" s="44" t="inlineStr">
        <is>
          <t>R-SB-0223</t>
        </is>
      </c>
      <c r="B225" s="45" t="n">
        <v>45589</v>
      </c>
      <c r="C225" s="44" t="inlineStr">
        <is>
          <t>2024-10</t>
        </is>
      </c>
      <c r="D225" s="44" t="n">
        <v>2024</v>
      </c>
      <c r="E225" s="44" t="inlineStr">
        <is>
          <t>P-SB-001</t>
        </is>
      </c>
      <c r="F225" s="44" t="inlineStr">
        <is>
          <t>C-SB-03</t>
        </is>
      </c>
      <c r="G225" s="46" t="inlineStr">
        <is>
          <t>베트남</t>
        </is>
      </c>
      <c r="H225" s="44" t="inlineStr">
        <is>
          <t>VN</t>
        </is>
      </c>
      <c r="I225" s="47" t="n">
        <v>77490</v>
      </c>
      <c r="J225" s="44" t="inlineStr">
        <is>
          <t>EA</t>
        </is>
      </c>
      <c r="K225" s="48" t="n">
        <v>27.12</v>
      </c>
      <c r="L225" s="48" t="n">
        <v>140291.97</v>
      </c>
      <c r="M225" s="44" t="inlineStr">
        <is>
          <t>USD</t>
        </is>
      </c>
      <c r="N225" s="44" t="inlineStr">
        <is>
          <t>FOB</t>
        </is>
      </c>
      <c r="O225" s="44" t="inlineStr">
        <is>
          <t>N</t>
        </is>
      </c>
      <c r="P225" s="48" t="n">
        <v>1362.3691</v>
      </c>
      <c r="Q225" s="47">
        <f>IF(OR(L225="",M225="",P225=""),"",L225*P225)</f>
        <v/>
      </c>
    </row>
    <row r="226" ht="15" customHeight="1" s="28">
      <c r="A226" s="44" t="inlineStr">
        <is>
          <t>R-SB-0224</t>
        </is>
      </c>
      <c r="B226" s="45" t="n">
        <v>45599</v>
      </c>
      <c r="C226" s="44" t="inlineStr">
        <is>
          <t>2024-11</t>
        </is>
      </c>
      <c r="D226" s="44" t="n">
        <v>2024</v>
      </c>
      <c r="E226" s="44" t="inlineStr">
        <is>
          <t>P-SB-002</t>
        </is>
      </c>
      <c r="F226" s="44" t="inlineStr">
        <is>
          <t>C-SB-04</t>
        </is>
      </c>
      <c r="G226" s="46" t="inlineStr">
        <is>
          <t>인도</t>
        </is>
      </c>
      <c r="H226" s="44" t="inlineStr">
        <is>
          <t>IN</t>
        </is>
      </c>
      <c r="I226" s="47" t="n">
        <v>10848</v>
      </c>
      <c r="J226" s="44" t="inlineStr">
        <is>
          <t>EA</t>
        </is>
      </c>
      <c r="K226" s="48" t="n">
        <v>9.76</v>
      </c>
      <c r="L226" s="48" t="n">
        <v>44245.88</v>
      </c>
      <c r="M226" s="44" t="inlineStr">
        <is>
          <t>USD</t>
        </is>
      </c>
      <c r="N226" s="44" t="inlineStr">
        <is>
          <t>FOB</t>
        </is>
      </c>
      <c r="O226" s="44" t="inlineStr">
        <is>
          <t>N</t>
        </is>
      </c>
      <c r="P226" s="48" t="n">
        <v>1395.02</v>
      </c>
      <c r="Q226" s="47">
        <f>IF(OR(L226="",M226="",P226=""),"",L226*P226)</f>
        <v/>
      </c>
    </row>
    <row r="227" ht="15" customHeight="1" s="28">
      <c r="A227" s="44" t="inlineStr">
        <is>
          <t>R-SB-0225</t>
        </is>
      </c>
      <c r="B227" s="45" t="n">
        <v>45600</v>
      </c>
      <c r="C227" s="44" t="inlineStr">
        <is>
          <t>2024-11</t>
        </is>
      </c>
      <c r="D227" s="44" t="n">
        <v>2024</v>
      </c>
      <c r="E227" s="44" t="inlineStr">
        <is>
          <t>P-SB-002</t>
        </is>
      </c>
      <c r="F227" s="44" t="inlineStr">
        <is>
          <t>C-SB-02</t>
        </is>
      </c>
      <c r="G227" s="46" t="inlineStr">
        <is>
          <t>멕시코</t>
        </is>
      </c>
      <c r="H227" s="44" t="inlineStr">
        <is>
          <t>MX</t>
        </is>
      </c>
      <c r="I227" s="47" t="n">
        <v>24529</v>
      </c>
      <c r="J227" s="44" t="inlineStr">
        <is>
          <t>EA</t>
        </is>
      </c>
      <c r="K227" s="48" t="n">
        <v>22.08</v>
      </c>
      <c r="L227" s="48" t="n">
        <v>99389.81</v>
      </c>
      <c r="M227" s="44" t="inlineStr">
        <is>
          <t>USD</t>
        </is>
      </c>
      <c r="N227" s="44" t="inlineStr">
        <is>
          <t>FOB</t>
        </is>
      </c>
      <c r="O227" s="44" t="inlineStr">
        <is>
          <t>N</t>
        </is>
      </c>
      <c r="P227" s="48" t="n">
        <v>1395.02</v>
      </c>
      <c r="Q227" s="47">
        <f>IF(OR(L227="",M227="",P227=""),"",L227*P227)</f>
        <v/>
      </c>
    </row>
    <row r="228" ht="15" customHeight="1" s="28">
      <c r="A228" s="44" t="inlineStr">
        <is>
          <t>R-SB-0226</t>
        </is>
      </c>
      <c r="B228" s="45" t="n">
        <v>45603</v>
      </c>
      <c r="C228" s="44" t="inlineStr">
        <is>
          <t>2024-11</t>
        </is>
      </c>
      <c r="D228" s="44" t="n">
        <v>2024</v>
      </c>
      <c r="E228" s="44" t="inlineStr">
        <is>
          <t>P-SB-003</t>
        </is>
      </c>
      <c r="F228" s="44" t="inlineStr">
        <is>
          <t>C-SB-03</t>
        </is>
      </c>
      <c r="G228" s="46" t="inlineStr">
        <is>
          <t>베트남</t>
        </is>
      </c>
      <c r="H228" s="44" t="inlineStr">
        <is>
          <t>VN</t>
        </is>
      </c>
      <c r="I228" s="47" t="n">
        <v>36058</v>
      </c>
      <c r="J228" s="44" t="inlineStr">
        <is>
          <t>EA</t>
        </is>
      </c>
      <c r="K228" s="50" t="n"/>
      <c r="L228" s="48" t="n">
        <v>32701.69</v>
      </c>
      <c r="M228" s="44" t="inlineStr">
        <is>
          <t>USD</t>
        </is>
      </c>
      <c r="N228" s="44" t="inlineStr">
        <is>
          <t>FOB</t>
        </is>
      </c>
      <c r="O228" s="44" t="inlineStr">
        <is>
          <t>N</t>
        </is>
      </c>
      <c r="P228" s="48" t="n">
        <v>1395.02</v>
      </c>
      <c r="Q228" s="47">
        <f>IF(OR(L228="",M228="",P228=""),"",L228*P228)</f>
        <v/>
      </c>
    </row>
    <row r="229" ht="15" customHeight="1" s="28">
      <c r="A229" s="44" t="inlineStr">
        <is>
          <t>R-SB-0227</t>
        </is>
      </c>
      <c r="B229" s="45" t="n">
        <v>45603</v>
      </c>
      <c r="C229" s="44" t="inlineStr">
        <is>
          <t>2024-11</t>
        </is>
      </c>
      <c r="D229" s="44" t="n">
        <v>2024</v>
      </c>
      <c r="E229" s="44" t="inlineStr">
        <is>
          <t>P-SB-001</t>
        </is>
      </c>
      <c r="F229" s="44" t="inlineStr">
        <is>
          <t>C-SB-04</t>
        </is>
      </c>
      <c r="G229" s="46" t="inlineStr">
        <is>
          <t>인도</t>
        </is>
      </c>
      <c r="H229" s="44" t="inlineStr">
        <is>
          <t>IN</t>
        </is>
      </c>
      <c r="I229" s="47" t="n">
        <v>36802</v>
      </c>
      <c r="J229" s="44" t="inlineStr">
        <is>
          <t>EA</t>
        </is>
      </c>
      <c r="K229" s="48" t="n">
        <v>12.88</v>
      </c>
      <c r="L229" s="48" t="n">
        <v>68547.45</v>
      </c>
      <c r="M229" s="44" t="inlineStr">
        <is>
          <t>USD</t>
        </is>
      </c>
      <c r="N229" s="44" t="inlineStr">
        <is>
          <t>FOB</t>
        </is>
      </c>
      <c r="O229" s="44" t="inlineStr">
        <is>
          <t>N</t>
        </is>
      </c>
      <c r="P229" s="48" t="n">
        <v>1395.02</v>
      </c>
      <c r="Q229" s="47">
        <f>IF(OR(L229="",M229="",P229=""),"",L229*P229)</f>
        <v/>
      </c>
    </row>
    <row r="230" ht="15" customHeight="1" s="28">
      <c r="A230" s="44" t="inlineStr">
        <is>
          <t>R-SB-0228</t>
        </is>
      </c>
      <c r="B230" s="45" t="n">
        <v>45613</v>
      </c>
      <c r="C230" s="44" t="inlineStr">
        <is>
          <t>2024-11</t>
        </is>
      </c>
      <c r="D230" s="44" t="n">
        <v>2024</v>
      </c>
      <c r="E230" s="44" t="inlineStr">
        <is>
          <t>P-SB-003</t>
        </is>
      </c>
      <c r="F230" s="44" t="inlineStr">
        <is>
          <t>C-SB-04</t>
        </is>
      </c>
      <c r="G230" s="46" t="inlineStr">
        <is>
          <t>인도</t>
        </is>
      </c>
      <c r="H230" s="44" t="inlineStr">
        <is>
          <t>IN</t>
        </is>
      </c>
      <c r="I230" s="47" t="n">
        <v>18388</v>
      </c>
      <c r="J230" s="44" t="inlineStr">
        <is>
          <t>EA</t>
        </is>
      </c>
      <c r="K230" s="48" t="n">
        <v>4.6</v>
      </c>
      <c r="L230" s="48" t="n">
        <v>16072.08</v>
      </c>
      <c r="M230" s="44" t="inlineStr">
        <is>
          <t>USD</t>
        </is>
      </c>
      <c r="N230" s="44" t="inlineStr">
        <is>
          <t>FOB</t>
        </is>
      </c>
      <c r="O230" s="44" t="inlineStr">
        <is>
          <t>N</t>
        </is>
      </c>
      <c r="P230" s="48" t="n">
        <v>1395.02</v>
      </c>
      <c r="Q230" s="47">
        <f>IF(OR(L230="",M230="",P230=""),"",L230*P230)</f>
        <v/>
      </c>
    </row>
    <row r="231" ht="15" customHeight="1" s="28">
      <c r="A231" s="44" t="inlineStr">
        <is>
          <t>R-SB-0229</t>
        </is>
      </c>
      <c r="B231" s="45" t="n">
        <v>45617</v>
      </c>
      <c r="C231" s="44" t="inlineStr">
        <is>
          <t>2024-11</t>
        </is>
      </c>
      <c r="D231" s="44" t="n">
        <v>2024</v>
      </c>
      <c r="E231" s="44" t="inlineStr">
        <is>
          <t>P-SB-003</t>
        </is>
      </c>
      <c r="F231" s="44" t="inlineStr">
        <is>
          <t>C-SB-01</t>
        </is>
      </c>
      <c r="G231" s="46" t="inlineStr">
        <is>
          <t>미국</t>
        </is>
      </c>
      <c r="H231" s="44" t="inlineStr">
        <is>
          <t>US</t>
        </is>
      </c>
      <c r="I231" s="47" t="n">
        <v>91557</v>
      </c>
      <c r="J231" s="44" t="inlineStr">
        <is>
          <t>EA</t>
        </is>
      </c>
      <c r="K231" s="48" t="n">
        <v>22.89</v>
      </c>
      <c r="L231" s="48" t="n">
        <v>82212.45</v>
      </c>
      <c r="M231" s="44" t="inlineStr">
        <is>
          <t>USD</t>
        </is>
      </c>
      <c r="N231" s="44" t="inlineStr">
        <is>
          <t>FOB</t>
        </is>
      </c>
      <c r="O231" s="44" t="inlineStr">
        <is>
          <t>N</t>
        </is>
      </c>
      <c r="P231" s="48" t="n">
        <v>1395.02</v>
      </c>
      <c r="Q231" s="47">
        <f>IF(OR(L231="",M231="",P231=""),"",L231*P231)</f>
        <v/>
      </c>
    </row>
    <row r="232" ht="15" customHeight="1" s="28">
      <c r="A232" s="44" t="inlineStr">
        <is>
          <t>R-SB-0230</t>
        </is>
      </c>
      <c r="B232" s="45" t="n">
        <v>45619</v>
      </c>
      <c r="C232" s="44" t="inlineStr">
        <is>
          <t>2024-11</t>
        </is>
      </c>
      <c r="D232" s="44" t="n">
        <v>2024</v>
      </c>
      <c r="E232" s="44" t="inlineStr">
        <is>
          <t>P-SB-001</t>
        </is>
      </c>
      <c r="F232" s="44" t="inlineStr">
        <is>
          <t>C-SB-03</t>
        </is>
      </c>
      <c r="G232" s="46" t="inlineStr">
        <is>
          <t>베트남</t>
        </is>
      </c>
      <c r="H232" s="44" t="inlineStr">
        <is>
          <t>VN</t>
        </is>
      </c>
      <c r="I232" s="47" t="n">
        <v>60045</v>
      </c>
      <c r="J232" s="44" t="inlineStr">
        <is>
          <t>EA</t>
        </is>
      </c>
      <c r="K232" s="48" t="n">
        <v>21.02</v>
      </c>
      <c r="L232" s="48" t="n">
        <v>108044.62</v>
      </c>
      <c r="M232" s="44" t="inlineStr">
        <is>
          <t>USD</t>
        </is>
      </c>
      <c r="N232" s="44" t="inlineStr">
        <is>
          <t>FOB</t>
        </is>
      </c>
      <c r="O232" s="44" t="inlineStr">
        <is>
          <t>N</t>
        </is>
      </c>
      <c r="P232" s="48" t="n">
        <v>1395.02</v>
      </c>
      <c r="Q232" s="47">
        <f>IF(OR(L232="",M232="",P232=""),"",L232*P232)</f>
        <v/>
      </c>
    </row>
    <row r="233" ht="15" customHeight="1" s="28">
      <c r="A233" s="44" t="inlineStr">
        <is>
          <t>R-SB-0231</t>
        </is>
      </c>
      <c r="B233" s="45" t="n">
        <v>45620</v>
      </c>
      <c r="C233" s="44" t="inlineStr">
        <is>
          <t>2024-11</t>
        </is>
      </c>
      <c r="D233" s="44" t="n">
        <v>2024</v>
      </c>
      <c r="E233" s="44" t="inlineStr">
        <is>
          <t>P-SB-001</t>
        </is>
      </c>
      <c r="F233" s="44" t="inlineStr">
        <is>
          <t>C-SB-02</t>
        </is>
      </c>
      <c r="G233" s="46" t="inlineStr">
        <is>
          <t>멕시코</t>
        </is>
      </c>
      <c r="H233" s="44" t="inlineStr">
        <is>
          <t>MX</t>
        </is>
      </c>
      <c r="I233" s="47" t="n">
        <v>83609</v>
      </c>
      <c r="J233" s="44" t="inlineStr">
        <is>
          <t>EA</t>
        </is>
      </c>
      <c r="K233" s="48" t="n">
        <v>29.26</v>
      </c>
      <c r="L233" s="48" t="n">
        <v>146456.71</v>
      </c>
      <c r="M233" s="44" t="inlineStr">
        <is>
          <t>USD</t>
        </is>
      </c>
      <c r="N233" s="44" t="inlineStr">
        <is>
          <t>FOB</t>
        </is>
      </c>
      <c r="O233" s="44" t="inlineStr">
        <is>
          <t>N</t>
        </is>
      </c>
      <c r="P233" s="48" t="n">
        <v>1395.02</v>
      </c>
      <c r="Q233" s="47">
        <f>IF(OR(L233="",M233="",P233=""),"",L233*P233)</f>
        <v/>
      </c>
    </row>
    <row r="234" ht="15" customHeight="1" s="28">
      <c r="A234" s="44" t="inlineStr">
        <is>
          <t>R-SB-0232</t>
        </is>
      </c>
      <c r="B234" s="45" t="n">
        <v>45622</v>
      </c>
      <c r="C234" s="44" t="inlineStr">
        <is>
          <t>2024-11</t>
        </is>
      </c>
      <c r="D234" s="44" t="n">
        <v>2024</v>
      </c>
      <c r="E234" s="44" t="inlineStr">
        <is>
          <t>P-SB-002</t>
        </is>
      </c>
      <c r="F234" s="44" t="inlineStr">
        <is>
          <t>C-SB-01</t>
        </is>
      </c>
      <c r="G234" s="46" t="inlineStr">
        <is>
          <t>미국</t>
        </is>
      </c>
      <c r="H234" s="44" t="inlineStr">
        <is>
          <t>US</t>
        </is>
      </c>
      <c r="I234" s="47" t="n">
        <v>34817</v>
      </c>
      <c r="J234" s="44" t="inlineStr">
        <is>
          <t>EA</t>
        </is>
      </c>
      <c r="K234" s="48" t="n">
        <v>31.34</v>
      </c>
      <c r="L234" s="48" t="n">
        <v>139606.32</v>
      </c>
      <c r="M234" s="44" t="inlineStr">
        <is>
          <t>USD</t>
        </is>
      </c>
      <c r="N234" s="44" t="inlineStr">
        <is>
          <t>FOB</t>
        </is>
      </c>
      <c r="O234" s="44" t="inlineStr">
        <is>
          <t>N</t>
        </is>
      </c>
      <c r="P234" s="48" t="n">
        <v>1395.02</v>
      </c>
      <c r="Q234" s="47">
        <f>IF(OR(L234="",M234="",P234=""),"",L234*P234)</f>
        <v/>
      </c>
    </row>
    <row r="235" ht="15" customHeight="1" s="28">
      <c r="A235" s="44" t="inlineStr">
        <is>
          <t>R-SB-0233</t>
        </is>
      </c>
      <c r="B235" s="45" t="n">
        <v>45622</v>
      </c>
      <c r="C235" s="44" t="inlineStr">
        <is>
          <t>2024-11</t>
        </is>
      </c>
      <c r="D235" s="44" t="n">
        <v>2024</v>
      </c>
      <c r="E235" s="44" t="inlineStr">
        <is>
          <t>P-SB-003</t>
        </is>
      </c>
      <c r="F235" s="44" t="inlineStr">
        <is>
          <t>C-SB-02</t>
        </is>
      </c>
      <c r="G235" s="46" t="inlineStr">
        <is>
          <t>멕시코</t>
        </is>
      </c>
      <c r="H235" s="44" t="inlineStr">
        <is>
          <t>MX</t>
        </is>
      </c>
      <c r="I235" s="47" t="n">
        <v>39295</v>
      </c>
      <c r="J235" s="44" t="inlineStr">
        <is>
          <t>EA</t>
        </is>
      </c>
      <c r="K235" s="48" t="n">
        <v>9.82</v>
      </c>
      <c r="L235" s="48" t="n">
        <v>34797.78</v>
      </c>
      <c r="M235" s="44" t="inlineStr">
        <is>
          <t>USD</t>
        </is>
      </c>
      <c r="N235" s="44" t="inlineStr">
        <is>
          <t>FOB</t>
        </is>
      </c>
      <c r="O235" s="44" t="inlineStr">
        <is>
          <t>N</t>
        </is>
      </c>
      <c r="P235" s="48" t="n">
        <v>1395.02</v>
      </c>
      <c r="Q235" s="47">
        <f>IF(OR(L235="",M235="",P235=""),"",L235*P235)</f>
        <v/>
      </c>
    </row>
    <row r="236" ht="15" customHeight="1" s="28">
      <c r="A236" s="44" t="inlineStr">
        <is>
          <t>R-SB-0234</t>
        </is>
      </c>
      <c r="B236" s="45" t="n">
        <v>45630</v>
      </c>
      <c r="C236" s="44" t="inlineStr">
        <is>
          <t>2024-12</t>
        </is>
      </c>
      <c r="D236" s="44" t="n">
        <v>2024</v>
      </c>
      <c r="E236" s="44" t="inlineStr">
        <is>
          <t>P-SB-001</t>
        </is>
      </c>
      <c r="F236" s="44" t="inlineStr">
        <is>
          <t>C-SB-01</t>
        </is>
      </c>
      <c r="G236" s="46" t="inlineStr">
        <is>
          <t>미국</t>
        </is>
      </c>
      <c r="H236" s="44" t="inlineStr">
        <is>
          <t>US</t>
        </is>
      </c>
      <c r="I236" s="47" t="n">
        <v>172763</v>
      </c>
      <c r="J236" s="44" t="inlineStr">
        <is>
          <t>EA</t>
        </is>
      </c>
      <c r="K236" s="48" t="n">
        <v>60.47</v>
      </c>
      <c r="L236" s="48" t="n">
        <v>305216.09</v>
      </c>
      <c r="M236" s="44" t="inlineStr">
        <is>
          <t>USD</t>
        </is>
      </c>
      <c r="N236" s="44" t="inlineStr">
        <is>
          <t>FOB</t>
        </is>
      </c>
      <c r="O236" s="44" t="inlineStr">
        <is>
          <t>N</t>
        </is>
      </c>
      <c r="P236" s="48" t="n">
        <v>1439.9967</v>
      </c>
      <c r="Q236" s="47">
        <f>IF(OR(L236="",M236="",P236=""),"",L236*P236)</f>
        <v/>
      </c>
    </row>
    <row r="237" ht="15" customHeight="1" s="28">
      <c r="A237" s="44" t="inlineStr">
        <is>
          <t>R-SB-0235</t>
        </is>
      </c>
      <c r="B237" s="45" t="n">
        <v>45633</v>
      </c>
      <c r="C237" s="44" t="inlineStr">
        <is>
          <t>2024-12</t>
        </is>
      </c>
      <c r="D237" s="44" t="n">
        <v>2024</v>
      </c>
      <c r="E237" s="44" t="inlineStr">
        <is>
          <t>P-SB-002</t>
        </is>
      </c>
      <c r="F237" s="44" t="inlineStr">
        <is>
          <t>C-SB-04</t>
        </is>
      </c>
      <c r="G237" s="46" t="inlineStr">
        <is>
          <t>인도</t>
        </is>
      </c>
      <c r="H237" s="44" t="inlineStr">
        <is>
          <t>IN</t>
        </is>
      </c>
      <c r="I237" s="47" t="n">
        <v>8697</v>
      </c>
      <c r="J237" s="44" t="inlineStr">
        <is>
          <t>EA</t>
        </is>
      </c>
      <c r="K237" s="48" t="n">
        <v>7.83</v>
      </c>
      <c r="L237" s="48" t="n">
        <v>35482.93</v>
      </c>
      <c r="M237" s="44" t="inlineStr">
        <is>
          <t>USD</t>
        </is>
      </c>
      <c r="N237" s="44" t="inlineStr">
        <is>
          <t>FOB</t>
        </is>
      </c>
      <c r="O237" s="44" t="inlineStr">
        <is>
          <t>N</t>
        </is>
      </c>
      <c r="P237" s="48" t="n">
        <v>1439.9967</v>
      </c>
      <c r="Q237" s="47">
        <f>IF(OR(L237="",M237="",P237=""),"",L237*P237)</f>
        <v/>
      </c>
    </row>
    <row r="238" ht="15" customHeight="1" s="28">
      <c r="A238" s="44" t="inlineStr">
        <is>
          <t>R-SB-0236</t>
        </is>
      </c>
      <c r="B238" s="45" t="n">
        <v>45634</v>
      </c>
      <c r="C238" s="44" t="inlineStr">
        <is>
          <t>2024-12</t>
        </is>
      </c>
      <c r="D238" s="44" t="n">
        <v>2024</v>
      </c>
      <c r="E238" s="44" t="inlineStr">
        <is>
          <t>P-SB-002</t>
        </is>
      </c>
      <c r="F238" s="44" t="inlineStr">
        <is>
          <t>C-SB-01</t>
        </is>
      </c>
      <c r="G238" s="46" t="inlineStr">
        <is>
          <t>미국</t>
        </is>
      </c>
      <c r="H238" s="44" t="inlineStr">
        <is>
          <t>US</t>
        </is>
      </c>
      <c r="I238" s="47" t="n">
        <v>38373</v>
      </c>
      <c r="J238" s="44" t="inlineStr">
        <is>
          <t>EA</t>
        </is>
      </c>
      <c r="K238" s="48" t="n">
        <v>34.54</v>
      </c>
      <c r="L238" s="48" t="n">
        <v>153574.19</v>
      </c>
      <c r="M238" s="44" t="inlineStr">
        <is>
          <t>USD</t>
        </is>
      </c>
      <c r="N238" s="44" t="inlineStr">
        <is>
          <t>FOB</t>
        </is>
      </c>
      <c r="O238" s="44" t="inlineStr">
        <is>
          <t>N</t>
        </is>
      </c>
      <c r="P238" s="48" t="n">
        <v>1439.9967</v>
      </c>
      <c r="Q238" s="47">
        <f>IF(OR(L238="",M238="",P238=""),"",L238*P238)</f>
        <v/>
      </c>
    </row>
    <row r="239" ht="15" customHeight="1" s="28">
      <c r="A239" s="44" t="inlineStr">
        <is>
          <t>R-SB-0237</t>
        </is>
      </c>
      <c r="B239" s="45" t="n">
        <v>45634</v>
      </c>
      <c r="C239" s="44" t="inlineStr">
        <is>
          <t>2024-12</t>
        </is>
      </c>
      <c r="D239" s="44" t="n">
        <v>2024</v>
      </c>
      <c r="E239" s="44" t="inlineStr">
        <is>
          <t>P-SB-003</t>
        </is>
      </c>
      <c r="F239" s="44" t="inlineStr">
        <is>
          <t>C-SB-04</t>
        </is>
      </c>
      <c r="G239" s="46" t="inlineStr">
        <is>
          <t>인도</t>
        </is>
      </c>
      <c r="H239" s="44" t="inlineStr">
        <is>
          <t>IN</t>
        </is>
      </c>
      <c r="I239" s="47" t="n">
        <v>22732</v>
      </c>
      <c r="J239" s="44" t="inlineStr">
        <is>
          <t>EA</t>
        </is>
      </c>
      <c r="K239" s="48" t="n">
        <v>5.68</v>
      </c>
      <c r="L239" s="48" t="n">
        <v>19858.67</v>
      </c>
      <c r="M239" s="44" t="inlineStr">
        <is>
          <t>USD</t>
        </is>
      </c>
      <c r="N239" s="44" t="inlineStr">
        <is>
          <t>FOB</t>
        </is>
      </c>
      <c r="O239" s="44" t="inlineStr">
        <is>
          <t>N</t>
        </is>
      </c>
      <c r="P239" s="48" t="n">
        <v>1439.9967</v>
      </c>
      <c r="Q239" s="47">
        <f>IF(OR(L239="",M239="",P239=""),"",L239*P239)</f>
        <v/>
      </c>
    </row>
    <row r="240" ht="15" customHeight="1" s="28">
      <c r="A240" s="44" t="inlineStr">
        <is>
          <t>R-SB-0238</t>
        </is>
      </c>
      <c r="B240" s="45" t="n">
        <v>45636</v>
      </c>
      <c r="C240" s="44" t="inlineStr">
        <is>
          <t>2024-12</t>
        </is>
      </c>
      <c r="D240" s="44" t="n">
        <v>2024</v>
      </c>
      <c r="E240" s="44" t="inlineStr">
        <is>
          <t>P-SB-002</t>
        </is>
      </c>
      <c r="F240" s="44" t="inlineStr">
        <is>
          <t>C-SB-03</t>
        </is>
      </c>
      <c r="G240" s="46" t="inlineStr">
        <is>
          <t>베트남</t>
        </is>
      </c>
      <c r="H240" s="44" t="inlineStr">
        <is>
          <t>VN</t>
        </is>
      </c>
      <c r="I240" s="47" t="n">
        <v>18985</v>
      </c>
      <c r="J240" s="44" t="inlineStr">
        <is>
          <t>EA</t>
        </is>
      </c>
      <c r="K240" s="48" t="n">
        <v>17.09</v>
      </c>
      <c r="L240" s="48" t="n">
        <v>74104.52</v>
      </c>
      <c r="M240" s="44" t="inlineStr">
        <is>
          <t>USD</t>
        </is>
      </c>
      <c r="N240" s="44" t="inlineStr">
        <is>
          <t>FOB</t>
        </is>
      </c>
      <c r="O240" s="44" t="inlineStr">
        <is>
          <t>N</t>
        </is>
      </c>
      <c r="P240" s="48" t="n">
        <v>1439.9967</v>
      </c>
      <c r="Q240" s="47">
        <f>IF(OR(L240="",M240="",P240=""),"",L240*P240)</f>
        <v/>
      </c>
    </row>
    <row r="241" ht="15" customHeight="1" s="28">
      <c r="A241" s="44" t="inlineStr">
        <is>
          <t>R-SB-0239</t>
        </is>
      </c>
      <c r="B241" s="45" t="n">
        <v>45640</v>
      </c>
      <c r="C241" s="44" t="inlineStr">
        <is>
          <t>2024-12</t>
        </is>
      </c>
      <c r="D241" s="44" t="n">
        <v>2024</v>
      </c>
      <c r="E241" s="44" t="inlineStr">
        <is>
          <t>P-SB-003</t>
        </is>
      </c>
      <c r="F241" s="44" t="inlineStr">
        <is>
          <t>C-SB-02</t>
        </is>
      </c>
      <c r="G241" s="46" t="inlineStr">
        <is>
          <t>멕시코</t>
        </is>
      </c>
      <c r="H241" s="44" t="inlineStr">
        <is>
          <t>MX</t>
        </is>
      </c>
      <c r="I241" s="47" t="n">
        <v>59667</v>
      </c>
      <c r="J241" s="44" t="inlineStr">
        <is>
          <t>EA</t>
        </is>
      </c>
      <c r="K241" s="48" t="n">
        <v>14.92</v>
      </c>
      <c r="L241" s="48" t="n">
        <v>51582.37</v>
      </c>
      <c r="M241" s="44" t="inlineStr">
        <is>
          <t>USD</t>
        </is>
      </c>
      <c r="N241" s="44" t="inlineStr">
        <is>
          <t>FOB</t>
        </is>
      </c>
      <c r="O241" s="44" t="inlineStr">
        <is>
          <t>N</t>
        </is>
      </c>
      <c r="P241" s="48" t="n">
        <v>1439.9967</v>
      </c>
      <c r="Q241" s="47">
        <f>IF(OR(L241="",M241="",P241=""),"",L241*P241)</f>
        <v/>
      </c>
    </row>
    <row r="242" ht="15" customHeight="1" s="28">
      <c r="A242" s="44" t="inlineStr">
        <is>
          <t>R-SB-0240</t>
        </is>
      </c>
      <c r="B242" s="45" t="n">
        <v>45646</v>
      </c>
      <c r="C242" s="44" t="inlineStr">
        <is>
          <t>2024-12</t>
        </is>
      </c>
      <c r="D242" s="44" t="n">
        <v>2024</v>
      </c>
      <c r="E242" s="44" t="inlineStr">
        <is>
          <t>P-SB-003</t>
        </is>
      </c>
      <c r="F242" s="44" t="inlineStr">
        <is>
          <t>C-SB-01</t>
        </is>
      </c>
      <c r="G242" s="46" t="inlineStr">
        <is>
          <t>미국</t>
        </is>
      </c>
      <c r="H242" s="44" t="inlineStr">
        <is>
          <t>US</t>
        </is>
      </c>
      <c r="I242" s="47" t="n">
        <v>73008</v>
      </c>
      <c r="J242" s="44" t="inlineStr">
        <is>
          <t>EA</t>
        </is>
      </c>
      <c r="K242" s="48" t="n">
        <v>18.25</v>
      </c>
      <c r="L242" s="48" t="n">
        <v>65949.57000000001</v>
      </c>
      <c r="M242" s="44" t="inlineStr">
        <is>
          <t>USD</t>
        </is>
      </c>
      <c r="N242" s="44" t="inlineStr">
        <is>
          <t>FOB</t>
        </is>
      </c>
      <c r="O242" s="44" t="inlineStr">
        <is>
          <t>N</t>
        </is>
      </c>
      <c r="P242" s="48" t="n">
        <v>1439.9967</v>
      </c>
      <c r="Q242" s="47">
        <f>IF(OR(L242="",M242="",P242=""),"",L242*P242)</f>
        <v/>
      </c>
    </row>
    <row r="243" ht="15" customHeight="1" s="28">
      <c r="A243" s="44" t="inlineStr">
        <is>
          <t>R-SB-0241</t>
        </is>
      </c>
      <c r="B243" s="45" t="n">
        <v>45646</v>
      </c>
      <c r="C243" s="44" t="inlineStr">
        <is>
          <t>2024-12</t>
        </is>
      </c>
      <c r="D243" s="44" t="n">
        <v>2024</v>
      </c>
      <c r="E243" s="44" t="inlineStr">
        <is>
          <t>P-SB-003</t>
        </is>
      </c>
      <c r="F243" s="44" t="inlineStr">
        <is>
          <t>C-SB-03</t>
        </is>
      </c>
      <c r="G243" s="46" t="inlineStr">
        <is>
          <t>베트남</t>
        </is>
      </c>
      <c r="H243" s="44" t="inlineStr">
        <is>
          <t>VN</t>
        </is>
      </c>
      <c r="I243" s="47" t="n">
        <v>33247</v>
      </c>
      <c r="J243" s="44" t="inlineStr">
        <is>
          <t>EA</t>
        </is>
      </c>
      <c r="K243" s="48" t="n">
        <v>8.31</v>
      </c>
      <c r="L243" s="50" t="n"/>
      <c r="M243" s="44" t="inlineStr">
        <is>
          <t>USD</t>
        </is>
      </c>
      <c r="N243" s="44" t="inlineStr">
        <is>
          <t>FOB</t>
        </is>
      </c>
      <c r="O243" s="44" t="inlineStr">
        <is>
          <t>N</t>
        </is>
      </c>
      <c r="P243" s="48" t="n">
        <v>1439.9967</v>
      </c>
      <c r="Q243" s="47">
        <f>IF(OR(L243="",M243="",P243=""),"",L243*P243)</f>
        <v/>
      </c>
    </row>
    <row r="244" ht="15" customHeight="1" s="28">
      <c r="A244" s="44" t="inlineStr">
        <is>
          <t>R-SB-0242</t>
        </is>
      </c>
      <c r="B244" s="45" t="n">
        <v>45647</v>
      </c>
      <c r="C244" s="44" t="inlineStr">
        <is>
          <t>2024-12</t>
        </is>
      </c>
      <c r="D244" s="44" t="n">
        <v>2024</v>
      </c>
      <c r="E244" s="44" t="inlineStr">
        <is>
          <t>P-SB-001</t>
        </is>
      </c>
      <c r="F244" s="44" t="inlineStr">
        <is>
          <t>C-SB-03</t>
        </is>
      </c>
      <c r="G244" s="46" t="inlineStr">
        <is>
          <t>베트남</t>
        </is>
      </c>
      <c r="H244" s="44" t="inlineStr">
        <is>
          <t>VN</t>
        </is>
      </c>
      <c r="I244" s="47" t="n">
        <v>69436</v>
      </c>
      <c r="J244" s="44" t="inlineStr">
        <is>
          <t>EA</t>
        </is>
      </c>
      <c r="K244" s="48" t="n">
        <v>24.3</v>
      </c>
      <c r="L244" s="48" t="n">
        <v>120047.63</v>
      </c>
      <c r="M244" s="44" t="inlineStr">
        <is>
          <t>USD</t>
        </is>
      </c>
      <c r="N244" s="44" t="inlineStr">
        <is>
          <t>FOB</t>
        </is>
      </c>
      <c r="O244" s="44" t="inlineStr">
        <is>
          <t>N</t>
        </is>
      </c>
      <c r="P244" s="48" t="n">
        <v>1439.9967</v>
      </c>
      <c r="Q244" s="47">
        <f>IF(OR(L244="",M244="",P244=""),"",L244*P244)</f>
        <v/>
      </c>
    </row>
    <row r="245" ht="15" customHeight="1" s="28">
      <c r="A245" s="44" t="inlineStr">
        <is>
          <t>R-SB-0243</t>
        </is>
      </c>
      <c r="B245" s="45" t="n">
        <v>45662</v>
      </c>
      <c r="C245" s="44" t="inlineStr">
        <is>
          <t>2025-01</t>
        </is>
      </c>
      <c r="D245" s="44" t="n">
        <v>2025</v>
      </c>
      <c r="E245" s="44" t="inlineStr">
        <is>
          <t>P-SB-001</t>
        </is>
      </c>
      <c r="F245" s="44" t="inlineStr">
        <is>
          <t>C-SB-03</t>
        </is>
      </c>
      <c r="G245" s="46" t="inlineStr">
        <is>
          <t>베트남</t>
        </is>
      </c>
      <c r="H245" s="44" t="inlineStr">
        <is>
          <t>VN</t>
        </is>
      </c>
      <c r="I245" s="47" t="n">
        <v>67170</v>
      </c>
      <c r="J245" s="44" t="inlineStr">
        <is>
          <t>EA</t>
        </is>
      </c>
      <c r="K245" s="48" t="n">
        <v>23.51</v>
      </c>
      <c r="L245" s="48" t="n">
        <v>115944.79</v>
      </c>
      <c r="M245" s="44" t="inlineStr">
        <is>
          <t>USD</t>
        </is>
      </c>
      <c r="N245" s="44" t="inlineStr">
        <is>
          <t>FOB</t>
        </is>
      </c>
      <c r="O245" s="44" t="inlineStr">
        <is>
          <t>N</t>
        </is>
      </c>
      <c r="P245" s="48" t="n">
        <v>1452.1919</v>
      </c>
      <c r="Q245" s="47">
        <f>IF(OR(L245="",M245="",P245=""),"",L245*P245)</f>
        <v/>
      </c>
    </row>
    <row r="246" ht="15" customHeight="1" s="28">
      <c r="A246" s="44" t="inlineStr">
        <is>
          <t>R-SB-0244</t>
        </is>
      </c>
      <c r="B246" s="45" t="n">
        <v>45664</v>
      </c>
      <c r="C246" s="44" t="inlineStr">
        <is>
          <t>2025-01</t>
        </is>
      </c>
      <c r="D246" s="44" t="n">
        <v>2025</v>
      </c>
      <c r="E246" s="44" t="inlineStr">
        <is>
          <t>P-SB-002</t>
        </is>
      </c>
      <c r="F246" s="44" t="inlineStr">
        <is>
          <t>C-SB-03</t>
        </is>
      </c>
      <c r="G246" s="46" t="inlineStr">
        <is>
          <t>베트남</t>
        </is>
      </c>
      <c r="H246" s="44" t="inlineStr">
        <is>
          <t>VN</t>
        </is>
      </c>
      <c r="I246" s="47" t="n">
        <v>19837</v>
      </c>
      <c r="J246" s="44" t="inlineStr">
        <is>
          <t>EA</t>
        </is>
      </c>
      <c r="K246" s="48" t="n">
        <v>17.85</v>
      </c>
      <c r="L246" s="48" t="n">
        <v>78018.44</v>
      </c>
      <c r="M246" s="44" t="inlineStr">
        <is>
          <t>USD</t>
        </is>
      </c>
      <c r="N246" s="44" t="inlineStr">
        <is>
          <t>FOB</t>
        </is>
      </c>
      <c r="O246" s="44" t="inlineStr">
        <is>
          <t>N</t>
        </is>
      </c>
      <c r="P246" s="48" t="n">
        <v>1452.1919</v>
      </c>
      <c r="Q246" s="47">
        <f>IF(OR(L246="",M246="",P246=""),"",L246*P246)</f>
        <v/>
      </c>
    </row>
    <row r="247" ht="15" customHeight="1" s="28">
      <c r="A247" s="44" t="inlineStr">
        <is>
          <t>R-SB-0245</t>
        </is>
      </c>
      <c r="B247" s="45" t="n">
        <v>45665</v>
      </c>
      <c r="C247" s="44" t="inlineStr">
        <is>
          <t>2025-01</t>
        </is>
      </c>
      <c r="D247" s="44" t="n">
        <v>2025</v>
      </c>
      <c r="E247" s="44" t="inlineStr">
        <is>
          <t>P-SB-002</t>
        </is>
      </c>
      <c r="F247" s="44" t="inlineStr">
        <is>
          <t>C-SB-04</t>
        </is>
      </c>
      <c r="G247" s="46" t="inlineStr">
        <is>
          <t>인도</t>
        </is>
      </c>
      <c r="H247" s="44" t="inlineStr">
        <is>
          <t>IN</t>
        </is>
      </c>
      <c r="I247" s="47" t="n">
        <v>7979</v>
      </c>
      <c r="J247" s="44" t="inlineStr">
        <is>
          <t>EA</t>
        </is>
      </c>
      <c r="K247" s="48" t="n">
        <v>7.18</v>
      </c>
      <c r="L247" s="48" t="n">
        <v>32743.91</v>
      </c>
      <c r="M247" s="44" t="inlineStr">
        <is>
          <t>USD</t>
        </is>
      </c>
      <c r="N247" s="44" t="inlineStr">
        <is>
          <t>FOB</t>
        </is>
      </c>
      <c r="O247" s="44" t="inlineStr">
        <is>
          <t>N</t>
        </is>
      </c>
      <c r="P247" s="48" t="n">
        <v>1452.1919</v>
      </c>
      <c r="Q247" s="47">
        <f>IF(OR(L247="",M247="",P247=""),"",L247*P247)</f>
        <v/>
      </c>
    </row>
    <row r="248" ht="15" customHeight="1" s="28">
      <c r="A248" s="44" t="inlineStr">
        <is>
          <t>R-SB-0246</t>
        </is>
      </c>
      <c r="B248" s="45" t="n">
        <v>45668</v>
      </c>
      <c r="C248" s="44" t="inlineStr">
        <is>
          <t>2025-01</t>
        </is>
      </c>
      <c r="D248" s="44" t="n">
        <v>2025</v>
      </c>
      <c r="E248" s="44" t="inlineStr">
        <is>
          <t>P-SB-003</t>
        </is>
      </c>
      <c r="F248" s="44" t="inlineStr">
        <is>
          <t>C-SB-01</t>
        </is>
      </c>
      <c r="G248" s="46" t="inlineStr">
        <is>
          <t>미국</t>
        </is>
      </c>
      <c r="H248" s="44" t="inlineStr">
        <is>
          <t>US</t>
        </is>
      </c>
      <c r="I248" s="47" t="n">
        <v>68763</v>
      </c>
      <c r="J248" s="44" t="inlineStr">
        <is>
          <t>EA</t>
        </is>
      </c>
      <c r="K248" s="48" t="n">
        <v>17.19</v>
      </c>
      <c r="L248" s="48" t="n">
        <v>63882.44</v>
      </c>
      <c r="M248" s="44" t="inlineStr">
        <is>
          <t>USD</t>
        </is>
      </c>
      <c r="N248" s="44" t="inlineStr">
        <is>
          <t>FOB</t>
        </is>
      </c>
      <c r="O248" s="44" t="inlineStr">
        <is>
          <t>N</t>
        </is>
      </c>
      <c r="P248" s="48" t="n">
        <v>1452.1919</v>
      </c>
      <c r="Q248" s="47">
        <f>IF(OR(L248="",M248="",P248=""),"",L248*P248)</f>
        <v/>
      </c>
    </row>
    <row r="249" ht="15" customHeight="1" s="28">
      <c r="A249" s="44" t="inlineStr">
        <is>
          <t>R-SB-0247</t>
        </is>
      </c>
      <c r="B249" s="45" t="n">
        <v>45673</v>
      </c>
      <c r="C249" s="44" t="inlineStr">
        <is>
          <t>2025-01</t>
        </is>
      </c>
      <c r="D249" s="44" t="n">
        <v>2025</v>
      </c>
      <c r="E249" s="44" t="inlineStr">
        <is>
          <t>P-SB-001</t>
        </is>
      </c>
      <c r="F249" s="44" t="inlineStr">
        <is>
          <t>C-SB-02</t>
        </is>
      </c>
      <c r="G249" s="46" t="inlineStr">
        <is>
          <t>멕시코</t>
        </is>
      </c>
      <c r="H249" s="44" t="inlineStr">
        <is>
          <t>MX</t>
        </is>
      </c>
      <c r="I249" s="47" t="n">
        <v>82656</v>
      </c>
      <c r="J249" s="44" t="inlineStr">
        <is>
          <t>EA</t>
        </is>
      </c>
      <c r="K249" s="48" t="n">
        <v>28.93</v>
      </c>
      <c r="L249" s="48" t="n">
        <v>143684.9</v>
      </c>
      <c r="M249" s="44" t="inlineStr">
        <is>
          <t>USD</t>
        </is>
      </c>
      <c r="N249" s="44" t="inlineStr">
        <is>
          <t>FOB</t>
        </is>
      </c>
      <c r="O249" s="44" t="inlineStr">
        <is>
          <t>N</t>
        </is>
      </c>
      <c r="P249" s="48" t="n">
        <v>1452.1919</v>
      </c>
      <c r="Q249" s="47">
        <f>IF(OR(L249="",M249="",P249=""),"",L249*P249)</f>
        <v/>
      </c>
    </row>
    <row r="250" ht="15" customHeight="1" s="28">
      <c r="A250" s="44" t="inlineStr">
        <is>
          <t>R-SB-0248</t>
        </is>
      </c>
      <c r="B250" s="45" t="n">
        <v>45678</v>
      </c>
      <c r="C250" s="44" t="inlineStr">
        <is>
          <t>2025-01</t>
        </is>
      </c>
      <c r="D250" s="44" t="n">
        <v>2025</v>
      </c>
      <c r="E250" s="44" t="inlineStr">
        <is>
          <t>P-SB-002</t>
        </is>
      </c>
      <c r="F250" s="44" t="inlineStr">
        <is>
          <t>C-SB-02</t>
        </is>
      </c>
      <c r="G250" s="46" t="inlineStr">
        <is>
          <t>멕시코</t>
        </is>
      </c>
      <c r="H250" s="44" t="inlineStr">
        <is>
          <t>MX</t>
        </is>
      </c>
      <c r="I250" s="47" t="n">
        <v>21506</v>
      </c>
      <c r="J250" s="44" t="inlineStr">
        <is>
          <t>EA</t>
        </is>
      </c>
      <c r="K250" s="48" t="n">
        <v>19.36</v>
      </c>
      <c r="L250" s="48" t="n">
        <v>85619.34</v>
      </c>
      <c r="M250" s="44" t="inlineStr">
        <is>
          <t>USD</t>
        </is>
      </c>
      <c r="N250" s="44" t="inlineStr">
        <is>
          <t>FOB</t>
        </is>
      </c>
      <c r="O250" s="44" t="inlineStr">
        <is>
          <t>N</t>
        </is>
      </c>
      <c r="P250" s="48" t="n">
        <v>1452.1919</v>
      </c>
      <c r="Q250" s="47">
        <f>IF(OR(L250="",M250="",P250=""),"",L250*P250)</f>
        <v/>
      </c>
    </row>
    <row r="251" ht="15" customHeight="1" s="28">
      <c r="A251" s="44" t="inlineStr">
        <is>
          <t>R-SB-0249</t>
        </is>
      </c>
      <c r="B251" s="45" t="n">
        <v>45680</v>
      </c>
      <c r="C251" s="44" t="inlineStr">
        <is>
          <t>2025-01</t>
        </is>
      </c>
      <c r="D251" s="44" t="n">
        <v>2025</v>
      </c>
      <c r="E251" s="44" t="inlineStr">
        <is>
          <t>P-SB-001</t>
        </is>
      </c>
      <c r="F251" s="44" t="inlineStr">
        <is>
          <t>C-SB-04</t>
        </is>
      </c>
      <c r="G251" s="46" t="inlineStr">
        <is>
          <t>인도</t>
        </is>
      </c>
      <c r="H251" s="44" t="inlineStr">
        <is>
          <t>IN</t>
        </is>
      </c>
      <c r="I251" s="47" t="n">
        <v>29258</v>
      </c>
      <c r="J251" s="44" t="inlineStr">
        <is>
          <t>EA</t>
        </is>
      </c>
      <c r="K251" s="48" t="n">
        <v>10.24</v>
      </c>
      <c r="L251" s="48" t="n">
        <v>54504.15</v>
      </c>
      <c r="M251" s="44" t="inlineStr">
        <is>
          <t>USD</t>
        </is>
      </c>
      <c r="N251" s="44" t="inlineStr">
        <is>
          <t>FOB</t>
        </is>
      </c>
      <c r="O251" s="44" t="inlineStr">
        <is>
          <t>N</t>
        </is>
      </c>
      <c r="P251" s="48" t="n">
        <v>1452.1919</v>
      </c>
      <c r="Q251" s="47">
        <f>IF(OR(L251="",M251="",P251=""),"",L251*P251)</f>
        <v/>
      </c>
    </row>
    <row r="252" ht="15" customHeight="1" s="28">
      <c r="A252" s="44" t="inlineStr">
        <is>
          <t>R-SB-0250</t>
        </is>
      </c>
      <c r="B252" s="45" t="n">
        <v>45681</v>
      </c>
      <c r="C252" s="44" t="inlineStr">
        <is>
          <t>2025-01</t>
        </is>
      </c>
      <c r="D252" s="44" t="n">
        <v>2025</v>
      </c>
      <c r="E252" s="44" t="inlineStr">
        <is>
          <t>P-SB-001</t>
        </is>
      </c>
      <c r="F252" s="44" t="inlineStr">
        <is>
          <t>C-SB-01</t>
        </is>
      </c>
      <c r="G252" s="46" t="inlineStr">
        <is>
          <t>미국</t>
        </is>
      </c>
      <c r="H252" s="44" t="inlineStr">
        <is>
          <t>US</t>
        </is>
      </c>
      <c r="I252" s="47" t="n">
        <v>137039</v>
      </c>
      <c r="J252" s="44" t="inlineStr">
        <is>
          <t>EA</t>
        </is>
      </c>
      <c r="K252" s="48" t="n">
        <v>47.96</v>
      </c>
      <c r="L252" s="48" t="n">
        <v>250388.83</v>
      </c>
      <c r="M252" s="44" t="inlineStr">
        <is>
          <t>USD</t>
        </is>
      </c>
      <c r="N252" s="44" t="inlineStr">
        <is>
          <t>FOB</t>
        </is>
      </c>
      <c r="O252" s="44" t="inlineStr">
        <is>
          <t>N</t>
        </is>
      </c>
      <c r="P252" s="48" t="n">
        <v>1452.1919</v>
      </c>
      <c r="Q252" s="47">
        <f>IF(OR(L252="",M252="",P252=""),"",L252*P252)</f>
        <v/>
      </c>
    </row>
    <row r="253" ht="15" customHeight="1" s="28">
      <c r="A253" s="44" t="inlineStr">
        <is>
          <t>R-SB-0251</t>
        </is>
      </c>
      <c r="B253" s="45" t="n">
        <v>45681</v>
      </c>
      <c r="C253" s="44" t="inlineStr">
        <is>
          <t>2025-01</t>
        </is>
      </c>
      <c r="D253" s="44" t="n">
        <v>2025</v>
      </c>
      <c r="E253" s="44" t="inlineStr">
        <is>
          <t>P-SB-002</t>
        </is>
      </c>
      <c r="F253" s="44" t="inlineStr">
        <is>
          <t>C-SB-01</t>
        </is>
      </c>
      <c r="G253" s="46" t="inlineStr">
        <is>
          <t>미국</t>
        </is>
      </c>
      <c r="H253" s="44" t="inlineStr">
        <is>
          <t>US</t>
        </is>
      </c>
      <c r="I253" s="47" t="n">
        <v>36134</v>
      </c>
      <c r="J253" s="44" t="inlineStr">
        <is>
          <t>EA</t>
        </is>
      </c>
      <c r="K253" s="48" t="n">
        <v>32.52</v>
      </c>
      <c r="L253" s="48" t="n">
        <v>144016.3</v>
      </c>
      <c r="M253" s="44" t="inlineStr">
        <is>
          <t>USD</t>
        </is>
      </c>
      <c r="N253" s="44" t="inlineStr">
        <is>
          <t>FOB</t>
        </is>
      </c>
      <c r="O253" s="44" t="inlineStr">
        <is>
          <t>N</t>
        </is>
      </c>
      <c r="P253" s="48" t="n">
        <v>1452.1919</v>
      </c>
      <c r="Q253" s="47">
        <f>IF(OR(L253="",M253="",P253=""),"",L253*P253)</f>
        <v/>
      </c>
    </row>
    <row r="254" ht="15" customHeight="1" s="28">
      <c r="A254" s="44" t="inlineStr">
        <is>
          <t>R-SB-0252</t>
        </is>
      </c>
      <c r="B254" s="45" t="n">
        <v>45681</v>
      </c>
      <c r="C254" s="44" t="inlineStr">
        <is>
          <t>2025-01</t>
        </is>
      </c>
      <c r="D254" s="44" t="n">
        <v>2025</v>
      </c>
      <c r="E254" s="44" t="inlineStr">
        <is>
          <t>P-SB-003</t>
        </is>
      </c>
      <c r="F254" s="44" t="inlineStr">
        <is>
          <t>C-SB-02</t>
        </is>
      </c>
      <c r="G254" s="46" t="inlineStr">
        <is>
          <t>멕시코</t>
        </is>
      </c>
      <c r="H254" s="44" t="inlineStr">
        <is>
          <t>MX</t>
        </is>
      </c>
      <c r="I254" s="47" t="n">
        <v>59797</v>
      </c>
      <c r="J254" s="44" t="inlineStr">
        <is>
          <t>EA</t>
        </is>
      </c>
      <c r="K254" s="48" t="n">
        <v>14.95</v>
      </c>
      <c r="L254" s="48" t="n">
        <v>55364.98</v>
      </c>
      <c r="M254" s="44" t="inlineStr">
        <is>
          <t>USD</t>
        </is>
      </c>
      <c r="N254" s="44" t="inlineStr">
        <is>
          <t>FOB</t>
        </is>
      </c>
      <c r="O254" s="44" t="inlineStr">
        <is>
          <t>N</t>
        </is>
      </c>
      <c r="P254" s="48" t="n">
        <v>1452.1919</v>
      </c>
      <c r="Q254" s="47">
        <f>IF(OR(L254="",M254="",P254=""),"",L254*P254)</f>
        <v/>
      </c>
    </row>
    <row r="255" ht="15" customHeight="1" s="28">
      <c r="A255" s="44" t="inlineStr">
        <is>
          <t>R-SB-0253</t>
        </is>
      </c>
      <c r="B255" s="45" t="n">
        <v>45681</v>
      </c>
      <c r="C255" s="44" t="inlineStr">
        <is>
          <t>2025-01</t>
        </is>
      </c>
      <c r="D255" s="44" t="n">
        <v>2025</v>
      </c>
      <c r="E255" s="44" t="inlineStr">
        <is>
          <t>P-SB-003</t>
        </is>
      </c>
      <c r="F255" s="44" t="inlineStr">
        <is>
          <t>C-SB-04</t>
        </is>
      </c>
      <c r="G255" s="46" t="inlineStr">
        <is>
          <t>인도</t>
        </is>
      </c>
      <c r="H255" s="44" t="inlineStr">
        <is>
          <t>IN</t>
        </is>
      </c>
      <c r="I255" s="47" t="n">
        <v>16865</v>
      </c>
      <c r="J255" s="44" t="inlineStr">
        <is>
          <t>EA</t>
        </is>
      </c>
      <c r="K255" s="48" t="n">
        <v>4.22</v>
      </c>
      <c r="L255" s="48" t="n">
        <v>15661.71</v>
      </c>
      <c r="M255" s="44" t="inlineStr">
        <is>
          <t>USD</t>
        </is>
      </c>
      <c r="N255" s="44" t="inlineStr">
        <is>
          <t>FOB</t>
        </is>
      </c>
      <c r="O255" s="44" t="inlineStr">
        <is>
          <t>N</t>
        </is>
      </c>
      <c r="P255" s="48" t="n">
        <v>1452.1919</v>
      </c>
      <c r="Q255" s="47">
        <f>IF(OR(L255="",M255="",P255=""),"",L255*P255)</f>
        <v/>
      </c>
    </row>
    <row r="256" ht="15" customHeight="1" s="28">
      <c r="A256" s="44" t="inlineStr">
        <is>
          <t>R-SB-0254</t>
        </is>
      </c>
      <c r="B256" s="45" t="n">
        <v>45683</v>
      </c>
      <c r="C256" s="44" t="inlineStr">
        <is>
          <t>2025-01</t>
        </is>
      </c>
      <c r="D256" s="44" t="n">
        <v>2025</v>
      </c>
      <c r="E256" s="44" t="inlineStr">
        <is>
          <t>P-SB-003</t>
        </is>
      </c>
      <c r="F256" s="44" t="inlineStr">
        <is>
          <t>C-SB-03</t>
        </is>
      </c>
      <c r="G256" s="46" t="inlineStr">
        <is>
          <t>베트남</t>
        </is>
      </c>
      <c r="H256" s="44" t="inlineStr">
        <is>
          <t>VN</t>
        </is>
      </c>
      <c r="I256" s="47" t="n">
        <v>40646</v>
      </c>
      <c r="J256" s="44" t="inlineStr">
        <is>
          <t>EA</t>
        </is>
      </c>
      <c r="K256" s="48" t="n">
        <v>10.16</v>
      </c>
      <c r="L256" s="48" t="n">
        <v>35830.75</v>
      </c>
      <c r="M256" s="44" t="inlineStr">
        <is>
          <t>USD</t>
        </is>
      </c>
      <c r="N256" s="44" t="inlineStr">
        <is>
          <t>FOB</t>
        </is>
      </c>
      <c r="O256" s="44" t="inlineStr">
        <is>
          <t>N</t>
        </is>
      </c>
      <c r="P256" s="48" t="n">
        <v>1452.1919</v>
      </c>
      <c r="Q256" s="47">
        <f>IF(OR(L256="",M256="",P256=""),"",L256*P256)</f>
        <v/>
      </c>
    </row>
    <row r="257" ht="15" customHeight="1" s="28">
      <c r="A257" s="44" t="inlineStr">
        <is>
          <t>R-SB-0255</t>
        </is>
      </c>
      <c r="B257" s="45" t="n">
        <v>45722</v>
      </c>
      <c r="C257" s="44" t="inlineStr">
        <is>
          <t>2025-03</t>
        </is>
      </c>
      <c r="D257" s="44" t="n">
        <v>2025</v>
      </c>
      <c r="E257" s="44" t="inlineStr">
        <is>
          <t>P-SB-001</t>
        </is>
      </c>
      <c r="F257" s="44" t="inlineStr">
        <is>
          <t>C-SB-02</t>
        </is>
      </c>
      <c r="G257" s="46" t="inlineStr">
        <is>
          <t>멕시코</t>
        </is>
      </c>
      <c r="H257" s="44" t="inlineStr">
        <is>
          <t>MX</t>
        </is>
      </c>
      <c r="I257" s="47" t="n">
        <v>75242</v>
      </c>
      <c r="J257" s="44" t="inlineStr">
        <is>
          <t>EA</t>
        </is>
      </c>
      <c r="K257" s="48" t="n">
        <v>26.33</v>
      </c>
      <c r="L257" s="48" t="n">
        <v>140852.21</v>
      </c>
      <c r="M257" s="44" t="inlineStr">
        <is>
          <t>USD</t>
        </is>
      </c>
      <c r="N257" s="44" t="inlineStr">
        <is>
          <t>FOB</t>
        </is>
      </c>
      <c r="O257" s="44" t="inlineStr">
        <is>
          <t>N</t>
        </is>
      </c>
      <c r="P257" s="48" t="n">
        <v>1458.3452</v>
      </c>
      <c r="Q257" s="47">
        <f>IF(OR(L257="",M257="",P257=""),"",L257*P257)</f>
        <v/>
      </c>
    </row>
    <row r="258" ht="15" customHeight="1" s="28">
      <c r="A258" s="44" t="inlineStr">
        <is>
          <t>R-SB-0256</t>
        </is>
      </c>
      <c r="B258" s="45" t="n">
        <v>45722</v>
      </c>
      <c r="C258" s="44" t="inlineStr">
        <is>
          <t>2025-03</t>
        </is>
      </c>
      <c r="D258" s="44" t="n">
        <v>2025</v>
      </c>
      <c r="E258" s="44" t="inlineStr">
        <is>
          <t>P-SB-003</t>
        </is>
      </c>
      <c r="F258" s="44" t="inlineStr">
        <is>
          <t>C-SB-03</t>
        </is>
      </c>
      <c r="G258" s="46" t="inlineStr">
        <is>
          <t>베트남</t>
        </is>
      </c>
      <c r="H258" s="44" t="inlineStr">
        <is>
          <t>VN</t>
        </is>
      </c>
      <c r="I258" s="47" t="n">
        <v>30375</v>
      </c>
      <c r="J258" s="44" t="inlineStr">
        <is>
          <t>EA</t>
        </is>
      </c>
      <c r="K258" s="48" t="n">
        <v>7.59</v>
      </c>
      <c r="L258" s="48" t="n">
        <v>27487.74</v>
      </c>
      <c r="M258" s="44" t="inlineStr">
        <is>
          <t>USD</t>
        </is>
      </c>
      <c r="N258" s="44" t="inlineStr">
        <is>
          <t>FOB</t>
        </is>
      </c>
      <c r="O258" s="44" t="inlineStr">
        <is>
          <t>N</t>
        </is>
      </c>
      <c r="P258" s="48" t="n">
        <v>1458.3452</v>
      </c>
      <c r="Q258" s="47">
        <f>IF(OR(L258="",M258="",P258=""),"",L258*P258)</f>
        <v/>
      </c>
    </row>
    <row r="259" ht="15" customHeight="1" s="28">
      <c r="A259" s="44" t="inlineStr">
        <is>
          <t>R-SB-0257</t>
        </is>
      </c>
      <c r="B259" s="45" t="n">
        <v>45722</v>
      </c>
      <c r="C259" s="44" t="inlineStr">
        <is>
          <t>2025-03</t>
        </is>
      </c>
      <c r="D259" s="44" t="n">
        <v>2025</v>
      </c>
      <c r="E259" s="44" t="inlineStr">
        <is>
          <t>P-SB-001</t>
        </is>
      </c>
      <c r="F259" s="44" t="inlineStr">
        <is>
          <t>C-SB-04</t>
        </is>
      </c>
      <c r="G259" s="46" t="inlineStr">
        <is>
          <t>인도</t>
        </is>
      </c>
      <c r="H259" s="44" t="inlineStr">
        <is>
          <t>IN</t>
        </is>
      </c>
      <c r="I259" s="47" t="n">
        <v>40418</v>
      </c>
      <c r="J259" s="44" t="inlineStr">
        <is>
          <t>EA</t>
        </is>
      </c>
      <c r="K259" s="48" t="n">
        <v>14.15</v>
      </c>
      <c r="L259" s="48" t="n">
        <v>69936.35000000001</v>
      </c>
      <c r="M259" s="44" t="inlineStr">
        <is>
          <t>USD</t>
        </is>
      </c>
      <c r="N259" s="44" t="inlineStr">
        <is>
          <t>FOB</t>
        </is>
      </c>
      <c r="O259" s="44" t="inlineStr">
        <is>
          <t>N</t>
        </is>
      </c>
      <c r="P259" s="48" t="n">
        <v>1458.3452</v>
      </c>
      <c r="Q259" s="47">
        <f>IF(OR(L259="",M259="",P259=""),"",L259*P259)</f>
        <v/>
      </c>
    </row>
    <row r="260" ht="15" customHeight="1" s="28">
      <c r="A260" s="44" t="inlineStr">
        <is>
          <t>R-SB-0258</t>
        </is>
      </c>
      <c r="B260" s="45" t="n">
        <v>45724</v>
      </c>
      <c r="C260" s="44" t="inlineStr">
        <is>
          <t>2025-03</t>
        </is>
      </c>
      <c r="D260" s="44" t="n">
        <v>2025</v>
      </c>
      <c r="E260" s="44" t="inlineStr">
        <is>
          <t>P-SB-001</t>
        </is>
      </c>
      <c r="F260" s="44" t="inlineStr">
        <is>
          <t>C-SB-03</t>
        </is>
      </c>
      <c r="G260" s="46" t="inlineStr">
        <is>
          <t>베트남</t>
        </is>
      </c>
      <c r="H260" s="44" t="inlineStr">
        <is>
          <t>VN</t>
        </is>
      </c>
      <c r="I260" s="47" t="n">
        <v>80358</v>
      </c>
      <c r="J260" s="44" t="inlineStr">
        <is>
          <t>EA</t>
        </is>
      </c>
      <c r="K260" s="48" t="n">
        <v>28.13</v>
      </c>
      <c r="L260" s="48" t="n">
        <v>138199.99</v>
      </c>
      <c r="M260" s="44" t="inlineStr">
        <is>
          <t>USD</t>
        </is>
      </c>
      <c r="N260" s="44" t="inlineStr">
        <is>
          <t>FOB</t>
        </is>
      </c>
      <c r="O260" s="44" t="inlineStr">
        <is>
          <t>N</t>
        </is>
      </c>
      <c r="P260" s="48" t="n">
        <v>1458.3452</v>
      </c>
      <c r="Q260" s="47">
        <f>IF(OR(L260="",M260="",P260=""),"",L260*P260)</f>
        <v/>
      </c>
    </row>
    <row r="261" ht="15" customHeight="1" s="28">
      <c r="A261" s="44" t="inlineStr">
        <is>
          <t>R-SB-0259</t>
        </is>
      </c>
      <c r="B261" s="45" t="n">
        <v>45727</v>
      </c>
      <c r="C261" s="44" t="inlineStr">
        <is>
          <t>2025-03</t>
        </is>
      </c>
      <c r="D261" s="44" t="n">
        <v>2025</v>
      </c>
      <c r="E261" s="44" t="inlineStr">
        <is>
          <t>P-SB-002</t>
        </is>
      </c>
      <c r="F261" s="44" t="inlineStr">
        <is>
          <t>C-SB-03</t>
        </is>
      </c>
      <c r="G261" s="46" t="inlineStr">
        <is>
          <t>베트남</t>
        </is>
      </c>
      <c r="H261" s="44" t="inlineStr">
        <is>
          <t>VN</t>
        </is>
      </c>
      <c r="I261" s="47" t="n">
        <v>16741</v>
      </c>
      <c r="J261" s="44" t="inlineStr">
        <is>
          <t>EA</t>
        </is>
      </c>
      <c r="K261" s="48" t="n">
        <v>15.07</v>
      </c>
      <c r="L261" s="48" t="n">
        <v>64778.75</v>
      </c>
      <c r="M261" s="44" t="inlineStr">
        <is>
          <t>USD</t>
        </is>
      </c>
      <c r="N261" s="44" t="inlineStr">
        <is>
          <t>FOB</t>
        </is>
      </c>
      <c r="O261" s="44" t="inlineStr">
        <is>
          <t>N</t>
        </is>
      </c>
      <c r="P261" s="48" t="n">
        <v>1458.3452</v>
      </c>
      <c r="Q261" s="47">
        <f>IF(OR(L261="",M261="",P261=""),"",L261*P261)</f>
        <v/>
      </c>
    </row>
    <row r="262" ht="15" customHeight="1" s="28">
      <c r="A262" s="44" t="inlineStr">
        <is>
          <t>R-SB-0260</t>
        </is>
      </c>
      <c r="B262" s="45" t="n">
        <v>45730</v>
      </c>
      <c r="C262" s="44" t="inlineStr">
        <is>
          <t>2025-03</t>
        </is>
      </c>
      <c r="D262" s="44" t="n">
        <v>2025</v>
      </c>
      <c r="E262" s="49" t="n"/>
      <c r="F262" s="44" t="inlineStr">
        <is>
          <t>C-SB-04</t>
        </is>
      </c>
      <c r="G262" s="46" t="inlineStr">
        <is>
          <t>인도</t>
        </is>
      </c>
      <c r="H262" s="44" t="inlineStr">
        <is>
          <t>IN</t>
        </is>
      </c>
      <c r="I262" s="47" t="n">
        <v>8599</v>
      </c>
      <c r="J262" s="44" t="inlineStr">
        <is>
          <t>EA</t>
        </is>
      </c>
      <c r="K262" s="48" t="n">
        <v>7.74</v>
      </c>
      <c r="L262" s="48" t="n">
        <v>33423.69</v>
      </c>
      <c r="M262" s="44" t="inlineStr">
        <is>
          <t>USD</t>
        </is>
      </c>
      <c r="N262" s="44" t="inlineStr">
        <is>
          <t>FOB</t>
        </is>
      </c>
      <c r="O262" s="44" t="inlineStr">
        <is>
          <t>N</t>
        </is>
      </c>
      <c r="P262" s="48" t="n">
        <v>1458.3452</v>
      </c>
      <c r="Q262" s="47">
        <f>IF(OR(L262="",M262="",P262=""),"",L262*P262)</f>
        <v/>
      </c>
    </row>
    <row r="263" ht="15" customHeight="1" s="28">
      <c r="A263" s="44" t="inlineStr">
        <is>
          <t>R-SB-0261</t>
        </is>
      </c>
      <c r="B263" s="45" t="n">
        <v>45737</v>
      </c>
      <c r="C263" s="44" t="inlineStr">
        <is>
          <t>2025-03</t>
        </is>
      </c>
      <c r="D263" s="44" t="n">
        <v>2025</v>
      </c>
      <c r="E263" s="44" t="inlineStr">
        <is>
          <t>P-SB-002</t>
        </is>
      </c>
      <c r="F263" s="44" t="inlineStr">
        <is>
          <t>C-SB-02</t>
        </is>
      </c>
      <c r="G263" s="46" t="inlineStr">
        <is>
          <t>멕시코</t>
        </is>
      </c>
      <c r="H263" s="44" t="inlineStr">
        <is>
          <t>MX</t>
        </is>
      </c>
      <c r="I263" s="47" t="n">
        <v>19651</v>
      </c>
      <c r="J263" s="44" t="inlineStr">
        <is>
          <t>EA</t>
        </is>
      </c>
      <c r="K263" s="48" t="n">
        <v>17.69</v>
      </c>
      <c r="L263" s="48" t="n">
        <v>77788.48</v>
      </c>
      <c r="M263" s="44" t="inlineStr">
        <is>
          <t>USD</t>
        </is>
      </c>
      <c r="N263" s="44" t="inlineStr">
        <is>
          <t>FOB</t>
        </is>
      </c>
      <c r="O263" s="44" t="inlineStr">
        <is>
          <t>N</t>
        </is>
      </c>
      <c r="P263" s="48" t="n">
        <v>1458.3452</v>
      </c>
      <c r="Q263" s="47">
        <f>IF(OR(L263="",M263="",P263=""),"",L263*P263)</f>
        <v/>
      </c>
    </row>
    <row r="264" ht="15" customHeight="1" s="28">
      <c r="A264" s="44" t="inlineStr">
        <is>
          <t>R-SB-0262</t>
        </is>
      </c>
      <c r="B264" s="45" t="n">
        <v>45737</v>
      </c>
      <c r="C264" s="44" t="inlineStr">
        <is>
          <t>2025-03</t>
        </is>
      </c>
      <c r="D264" s="44" t="n">
        <v>2025</v>
      </c>
      <c r="E264" s="44" t="inlineStr">
        <is>
          <t>P-SB-003</t>
        </is>
      </c>
      <c r="F264" s="44" t="inlineStr">
        <is>
          <t>C-SB-02</t>
        </is>
      </c>
      <c r="G264" s="46" t="inlineStr">
        <is>
          <t>멕시코</t>
        </is>
      </c>
      <c r="H264" s="44" t="inlineStr">
        <is>
          <t>MX</t>
        </is>
      </c>
      <c r="I264" s="47" t="n">
        <v>44971</v>
      </c>
      <c r="J264" s="44" t="inlineStr">
        <is>
          <t>EA</t>
        </is>
      </c>
      <c r="K264" s="48" t="n">
        <v>11.24</v>
      </c>
      <c r="L264" s="48" t="n">
        <v>39078.05</v>
      </c>
      <c r="M264" s="44" t="inlineStr">
        <is>
          <t>USD</t>
        </is>
      </c>
      <c r="N264" s="44" t="inlineStr">
        <is>
          <t>FOB</t>
        </is>
      </c>
      <c r="O264" s="44" t="inlineStr">
        <is>
          <t>N</t>
        </is>
      </c>
      <c r="P264" s="48" t="n">
        <v>1458.3452</v>
      </c>
      <c r="Q264" s="47">
        <f>IF(OR(L264="",M264="",P264=""),"",L264*P264)</f>
        <v/>
      </c>
    </row>
    <row r="265" ht="15" customHeight="1" s="28">
      <c r="A265" s="44" t="inlineStr">
        <is>
          <t>R-SB-0263</t>
        </is>
      </c>
      <c r="B265" s="45" t="n">
        <v>45738</v>
      </c>
      <c r="C265" s="44" t="inlineStr">
        <is>
          <t>2025-03</t>
        </is>
      </c>
      <c r="D265" s="44" t="n">
        <v>2025</v>
      </c>
      <c r="E265" s="44" t="inlineStr">
        <is>
          <t>P-SB-002</t>
        </is>
      </c>
      <c r="F265" s="44" t="inlineStr">
        <is>
          <t>C-SB-01</t>
        </is>
      </c>
      <c r="G265" s="46" t="inlineStr">
        <is>
          <t>미국</t>
        </is>
      </c>
      <c r="H265" s="44" t="inlineStr">
        <is>
          <t>US</t>
        </is>
      </c>
      <c r="I265" s="47" t="n">
        <v>39453</v>
      </c>
      <c r="J265" s="44" t="inlineStr">
        <is>
          <t>EA</t>
        </is>
      </c>
      <c r="K265" s="48" t="n">
        <v>35.51</v>
      </c>
      <c r="L265" s="48" t="n">
        <v>154083.86</v>
      </c>
      <c r="M265" s="44" t="inlineStr">
        <is>
          <t>USD</t>
        </is>
      </c>
      <c r="N265" s="44" t="inlineStr">
        <is>
          <t>FOB</t>
        </is>
      </c>
      <c r="O265" s="44" t="inlineStr">
        <is>
          <t>N</t>
        </is>
      </c>
      <c r="P265" s="48" t="n">
        <v>1458.3452</v>
      </c>
      <c r="Q265" s="47">
        <f>IF(OR(L265="",M265="",P265=""),"",L265*P265)</f>
        <v/>
      </c>
    </row>
    <row r="266" ht="15" customHeight="1" s="28">
      <c r="A266" s="44" t="inlineStr">
        <is>
          <t>R-SB-0264</t>
        </is>
      </c>
      <c r="B266" s="45" t="n">
        <v>45739</v>
      </c>
      <c r="C266" s="44" t="inlineStr">
        <is>
          <t>2025-03</t>
        </is>
      </c>
      <c r="D266" s="44" t="n">
        <v>2025</v>
      </c>
      <c r="E266" s="44" t="inlineStr">
        <is>
          <t>P-SB-003</t>
        </is>
      </c>
      <c r="F266" s="44" t="inlineStr">
        <is>
          <t>C-SB-01</t>
        </is>
      </c>
      <c r="G266" s="46" t="inlineStr">
        <is>
          <t>미국</t>
        </is>
      </c>
      <c r="H266" s="44" t="inlineStr">
        <is>
          <t>US</t>
        </is>
      </c>
      <c r="I266" s="47" t="n">
        <v>106633</v>
      </c>
      <c r="J266" s="44" t="inlineStr">
        <is>
          <t>EA</t>
        </is>
      </c>
      <c r="K266" s="48" t="n">
        <v>26.66</v>
      </c>
      <c r="L266" s="48" t="n">
        <v>97562.87</v>
      </c>
      <c r="M266" s="44" t="inlineStr">
        <is>
          <t>USD</t>
        </is>
      </c>
      <c r="N266" s="44" t="inlineStr">
        <is>
          <t>FOB</t>
        </is>
      </c>
      <c r="O266" s="44" t="inlineStr">
        <is>
          <t>N</t>
        </is>
      </c>
      <c r="P266" s="48" t="n">
        <v>1458.3452</v>
      </c>
      <c r="Q266" s="47">
        <f>IF(OR(L266="",M266="",P266=""),"",L266*P266)</f>
        <v/>
      </c>
    </row>
    <row r="267" ht="15" customHeight="1" s="28">
      <c r="A267" s="44" t="inlineStr">
        <is>
          <t>R-SB-0265</t>
        </is>
      </c>
      <c r="B267" s="45" t="n">
        <v>45740</v>
      </c>
      <c r="C267" s="44" t="inlineStr">
        <is>
          <t>2025-03</t>
        </is>
      </c>
      <c r="D267" s="44" t="n">
        <v>2025</v>
      </c>
      <c r="E267" s="44" t="inlineStr">
        <is>
          <t>P-SB-003</t>
        </is>
      </c>
      <c r="F267" s="44" t="inlineStr">
        <is>
          <t>C-SB-04</t>
        </is>
      </c>
      <c r="G267" s="46" t="inlineStr">
        <is>
          <t>인도</t>
        </is>
      </c>
      <c r="H267" s="44" t="inlineStr">
        <is>
          <t>IN</t>
        </is>
      </c>
      <c r="I267" s="47" t="n">
        <v>20920</v>
      </c>
      <c r="J267" s="44" t="inlineStr">
        <is>
          <t>EA</t>
        </is>
      </c>
      <c r="K267" s="48" t="n">
        <v>5.23</v>
      </c>
      <c r="L267" s="48" t="n">
        <v>18181.33</v>
      </c>
      <c r="M267" s="44" t="inlineStr">
        <is>
          <t>USD</t>
        </is>
      </c>
      <c r="N267" s="44" t="inlineStr">
        <is>
          <t>FOB</t>
        </is>
      </c>
      <c r="O267" s="44" t="inlineStr">
        <is>
          <t>N</t>
        </is>
      </c>
      <c r="P267" s="48" t="n">
        <v>1458.3452</v>
      </c>
      <c r="Q267" s="47">
        <f>IF(OR(L267="",M267="",P267=""),"",L267*P267)</f>
        <v/>
      </c>
    </row>
    <row r="268" ht="15" customHeight="1" s="28">
      <c r="A268" s="44" t="inlineStr">
        <is>
          <t>R-SB-0266</t>
        </is>
      </c>
      <c r="B268" s="45" t="n">
        <v>45750</v>
      </c>
      <c r="C268" s="44" t="inlineStr">
        <is>
          <t>2025-04</t>
        </is>
      </c>
      <c r="D268" s="44" t="n">
        <v>2025</v>
      </c>
      <c r="E268" s="44" t="inlineStr">
        <is>
          <t>P-SB-001</t>
        </is>
      </c>
      <c r="F268" s="44" t="inlineStr">
        <is>
          <t>C-SB-02</t>
        </is>
      </c>
      <c r="G268" s="46" t="inlineStr">
        <is>
          <t>멕시코</t>
        </is>
      </c>
      <c r="H268" s="44" t="inlineStr">
        <is>
          <t>MX</t>
        </is>
      </c>
      <c r="I268" s="47" t="n">
        <v>73345</v>
      </c>
      <c r="J268" s="44" t="inlineStr">
        <is>
          <t>EA</t>
        </is>
      </c>
      <c r="K268" s="48" t="n">
        <v>25.67</v>
      </c>
      <c r="L268" s="48" t="n">
        <v>128858.24</v>
      </c>
      <c r="M268" s="44" t="inlineStr">
        <is>
          <t>USD</t>
        </is>
      </c>
      <c r="N268" s="44" t="inlineStr">
        <is>
          <t>FOB</t>
        </is>
      </c>
      <c r="O268" s="44" t="inlineStr">
        <is>
          <t>N</t>
        </is>
      </c>
      <c r="P268" s="48" t="n">
        <v>1439.7777</v>
      </c>
      <c r="Q268" s="47">
        <f>IF(OR(L268="",M268="",P268=""),"",L268*P268)</f>
        <v/>
      </c>
    </row>
    <row r="269" ht="15" customHeight="1" s="28">
      <c r="A269" s="44" t="inlineStr">
        <is>
          <t>R-SB-0267</t>
        </is>
      </c>
      <c r="B269" s="45" t="n">
        <v>45754</v>
      </c>
      <c r="C269" s="44" t="inlineStr">
        <is>
          <t>2025-04</t>
        </is>
      </c>
      <c r="D269" s="44" t="n">
        <v>2025</v>
      </c>
      <c r="E269" s="44" t="inlineStr">
        <is>
          <t>P-SB-001</t>
        </is>
      </c>
      <c r="F269" s="44" t="inlineStr">
        <is>
          <t>C-SB-01</t>
        </is>
      </c>
      <c r="G269" s="46" t="inlineStr">
        <is>
          <t>미국</t>
        </is>
      </c>
      <c r="H269" s="44" t="inlineStr">
        <is>
          <t>US</t>
        </is>
      </c>
      <c r="I269" s="47" t="n">
        <v>139572</v>
      </c>
      <c r="J269" s="44" t="inlineStr">
        <is>
          <t>EA</t>
        </is>
      </c>
      <c r="K269" s="48" t="n">
        <v>48.85</v>
      </c>
      <c r="L269" s="48" t="n">
        <v>253734.13</v>
      </c>
      <c r="M269" s="44" t="inlineStr">
        <is>
          <t>USD</t>
        </is>
      </c>
      <c r="N269" s="44" t="inlineStr">
        <is>
          <t>FOB</t>
        </is>
      </c>
      <c r="O269" s="44" t="inlineStr">
        <is>
          <t>N</t>
        </is>
      </c>
      <c r="P269" s="48" t="n">
        <v>1439.7777</v>
      </c>
      <c r="Q269" s="47">
        <f>IF(OR(L269="",M269="",P269=""),"",L269*P269)</f>
        <v/>
      </c>
    </row>
    <row r="270" ht="15" customHeight="1" s="28">
      <c r="A270" s="44" t="inlineStr">
        <is>
          <t>R-SB-0268</t>
        </is>
      </c>
      <c r="B270" s="45" t="n">
        <v>45757</v>
      </c>
      <c r="C270" s="44" t="inlineStr">
        <is>
          <t>2025-04</t>
        </is>
      </c>
      <c r="D270" s="44" t="n">
        <v>2025</v>
      </c>
      <c r="E270" s="44" t="inlineStr">
        <is>
          <t>P-SB-003</t>
        </is>
      </c>
      <c r="F270" s="44" t="inlineStr">
        <is>
          <t>C-SB-01</t>
        </is>
      </c>
      <c r="G270" s="46" t="inlineStr">
        <is>
          <t>미국</t>
        </is>
      </c>
      <c r="H270" s="44" t="inlineStr">
        <is>
          <t>US</t>
        </is>
      </c>
      <c r="I270" s="47" t="n">
        <v>73906</v>
      </c>
      <c r="J270" s="44" t="inlineStr">
        <is>
          <t>EA</t>
        </is>
      </c>
      <c r="K270" s="48" t="n">
        <v>18.48</v>
      </c>
      <c r="L270" s="48" t="n">
        <v>65244.96</v>
      </c>
      <c r="M270" s="44" t="inlineStr">
        <is>
          <t>USD</t>
        </is>
      </c>
      <c r="N270" s="44" t="inlineStr">
        <is>
          <t>FOB</t>
        </is>
      </c>
      <c r="O270" s="44" t="inlineStr">
        <is>
          <t>N</t>
        </is>
      </c>
      <c r="P270" s="48" t="n">
        <v>1439.7777</v>
      </c>
      <c r="Q270" s="47">
        <f>IF(OR(L270="",M270="",P270=""),"",L270*P270)</f>
        <v/>
      </c>
    </row>
    <row r="271" ht="15" customHeight="1" s="28">
      <c r="A271" s="44" t="inlineStr">
        <is>
          <t>R-SB-0269</t>
        </is>
      </c>
      <c r="B271" s="45" t="n">
        <v>45760</v>
      </c>
      <c r="C271" s="44" t="inlineStr">
        <is>
          <t>2025-04</t>
        </is>
      </c>
      <c r="D271" s="44" t="n">
        <v>2025</v>
      </c>
      <c r="E271" s="44" t="inlineStr">
        <is>
          <t>P-SB-002</t>
        </is>
      </c>
      <c r="F271" s="44" t="inlineStr">
        <is>
          <t>C-SB-02</t>
        </is>
      </c>
      <c r="G271" s="46" t="inlineStr">
        <is>
          <t>멕시코</t>
        </is>
      </c>
      <c r="H271" s="44" t="inlineStr">
        <is>
          <t>MX</t>
        </is>
      </c>
      <c r="I271" s="47" t="n">
        <v>21012</v>
      </c>
      <c r="J271" s="44" t="inlineStr">
        <is>
          <t>EA</t>
        </is>
      </c>
      <c r="K271" s="48" t="n">
        <v>18.91</v>
      </c>
      <c r="L271" s="48" t="n">
        <v>87830.64999999999</v>
      </c>
      <c r="M271" s="44" t="inlineStr">
        <is>
          <t>USD</t>
        </is>
      </c>
      <c r="N271" s="44" t="inlineStr">
        <is>
          <t>FOB</t>
        </is>
      </c>
      <c r="O271" s="44" t="inlineStr">
        <is>
          <t>N</t>
        </is>
      </c>
      <c r="P271" s="48" t="n">
        <v>1439.7777</v>
      </c>
      <c r="Q271" s="47">
        <f>IF(OR(L271="",M271="",P271=""),"",L271*P271)</f>
        <v/>
      </c>
    </row>
    <row r="272" ht="15" customHeight="1" s="28">
      <c r="A272" s="44" t="inlineStr">
        <is>
          <t>R-SB-0270</t>
        </is>
      </c>
      <c r="B272" s="45" t="n">
        <v>45760</v>
      </c>
      <c r="C272" s="44" t="inlineStr">
        <is>
          <t>2025-04</t>
        </is>
      </c>
      <c r="D272" s="44" t="n">
        <v>2025</v>
      </c>
      <c r="E272" s="44" t="inlineStr">
        <is>
          <t>P-SB-001</t>
        </is>
      </c>
      <c r="F272" s="44" t="inlineStr">
        <is>
          <t>C-SB-03</t>
        </is>
      </c>
      <c r="G272" s="46" t="inlineStr">
        <is>
          <t>베트남</t>
        </is>
      </c>
      <c r="H272" s="44" t="inlineStr">
        <is>
          <t>VN</t>
        </is>
      </c>
      <c r="I272" s="47" t="n">
        <v>59476</v>
      </c>
      <c r="J272" s="44" t="inlineStr">
        <is>
          <t>EA</t>
        </is>
      </c>
      <c r="K272" s="48" t="n">
        <v>20.82</v>
      </c>
      <c r="L272" s="48" t="n">
        <v>109913.05</v>
      </c>
      <c r="M272" s="44" t="inlineStr">
        <is>
          <t>USD</t>
        </is>
      </c>
      <c r="N272" s="44" t="inlineStr">
        <is>
          <t>FOB</t>
        </is>
      </c>
      <c r="O272" s="44" t="inlineStr">
        <is>
          <t>N</t>
        </is>
      </c>
      <c r="P272" s="48" t="n">
        <v>1439.7777</v>
      </c>
      <c r="Q272" s="47">
        <f>IF(OR(L272="",M272="",P272=""),"",L272*P272)</f>
        <v/>
      </c>
    </row>
    <row r="273" ht="15" customHeight="1" s="28">
      <c r="A273" s="44" t="inlineStr">
        <is>
          <t>R-SB-0271</t>
        </is>
      </c>
      <c r="B273" s="45" t="n">
        <v>45763</v>
      </c>
      <c r="C273" s="44" t="inlineStr">
        <is>
          <t>2025-04</t>
        </is>
      </c>
      <c r="D273" s="44" t="n">
        <v>2025</v>
      </c>
      <c r="E273" s="44" t="inlineStr">
        <is>
          <t>P-SB-003</t>
        </is>
      </c>
      <c r="F273" s="44" t="inlineStr">
        <is>
          <t>C-SB-04</t>
        </is>
      </c>
      <c r="G273" s="46" t="inlineStr">
        <is>
          <t>인도</t>
        </is>
      </c>
      <c r="H273" s="44" t="inlineStr">
        <is>
          <t>IN</t>
        </is>
      </c>
      <c r="I273" s="47" t="n">
        <v>20313</v>
      </c>
      <c r="J273" s="44" t="inlineStr">
        <is>
          <t>EA</t>
        </is>
      </c>
      <c r="K273" s="48" t="n">
        <v>5.08</v>
      </c>
      <c r="L273" s="48" t="n">
        <v>18968.02</v>
      </c>
      <c r="M273" s="44" t="inlineStr">
        <is>
          <t>USD</t>
        </is>
      </c>
      <c r="N273" s="44" t="inlineStr">
        <is>
          <t>FOB</t>
        </is>
      </c>
      <c r="O273" s="44" t="inlineStr">
        <is>
          <t>N</t>
        </is>
      </c>
      <c r="P273" s="48" t="n">
        <v>1439.7777</v>
      </c>
      <c r="Q273" s="47">
        <f>IF(OR(L273="",M273="",P273=""),"",L273*P273)</f>
        <v/>
      </c>
    </row>
    <row r="274" ht="15" customHeight="1" s="28">
      <c r="A274" s="44" t="inlineStr">
        <is>
          <t>R-SB-0272</t>
        </is>
      </c>
      <c r="B274" s="45" t="n">
        <v>45766</v>
      </c>
      <c r="C274" s="44" t="inlineStr">
        <is>
          <t>2025-04</t>
        </is>
      </c>
      <c r="D274" s="44" t="n">
        <v>2025</v>
      </c>
      <c r="E274" s="44" t="inlineStr">
        <is>
          <t>P-SB-003</t>
        </is>
      </c>
      <c r="F274" s="44" t="inlineStr">
        <is>
          <t>C-SB-03</t>
        </is>
      </c>
      <c r="G274" s="46" t="inlineStr">
        <is>
          <t>베트남</t>
        </is>
      </c>
      <c r="H274" s="44" t="inlineStr">
        <is>
          <t>VN</t>
        </is>
      </c>
      <c r="I274" s="47" t="n">
        <v>33837</v>
      </c>
      <c r="J274" s="44" t="inlineStr">
        <is>
          <t>EA</t>
        </is>
      </c>
      <c r="K274" s="48" t="n">
        <v>8.460000000000001</v>
      </c>
      <c r="L274" s="48" t="n">
        <v>29257.59</v>
      </c>
      <c r="M274" s="44" t="inlineStr">
        <is>
          <t>USD</t>
        </is>
      </c>
      <c r="N274" s="44" t="inlineStr">
        <is>
          <t>FOB</t>
        </is>
      </c>
      <c r="O274" s="44" t="inlineStr">
        <is>
          <t>N</t>
        </is>
      </c>
      <c r="P274" s="48" t="n">
        <v>1439.7777</v>
      </c>
      <c r="Q274" s="47">
        <f>IF(OR(L274="",M274="",P274=""),"",L274*P274)</f>
        <v/>
      </c>
    </row>
    <row r="275" ht="15" customHeight="1" s="28">
      <c r="A275" s="44" t="inlineStr">
        <is>
          <t>R-SB-0273</t>
        </is>
      </c>
      <c r="B275" s="45" t="n">
        <v>45772</v>
      </c>
      <c r="C275" s="44" t="inlineStr">
        <is>
          <t>2025-04</t>
        </is>
      </c>
      <c r="D275" s="44" t="n">
        <v>2025</v>
      </c>
      <c r="E275" s="44" t="inlineStr">
        <is>
          <t>P-SB-002</t>
        </is>
      </c>
      <c r="F275" s="44" t="inlineStr">
        <is>
          <t>C-SB-04</t>
        </is>
      </c>
      <c r="G275" s="46" t="inlineStr">
        <is>
          <t>인도</t>
        </is>
      </c>
      <c r="H275" s="44" t="inlineStr">
        <is>
          <t>IN</t>
        </is>
      </c>
      <c r="I275" s="47" t="n">
        <v>7631</v>
      </c>
      <c r="J275" s="44" t="inlineStr">
        <is>
          <t>EA</t>
        </is>
      </c>
      <c r="K275" s="48" t="n">
        <v>6.87</v>
      </c>
      <c r="L275" s="48" t="n">
        <v>30208.55</v>
      </c>
      <c r="M275" s="44" t="inlineStr">
        <is>
          <t>USD</t>
        </is>
      </c>
      <c r="N275" s="44" t="inlineStr">
        <is>
          <t>FOB</t>
        </is>
      </c>
      <c r="O275" s="44" t="inlineStr">
        <is>
          <t>N</t>
        </is>
      </c>
      <c r="P275" s="48" t="n">
        <v>1439.7777</v>
      </c>
      <c r="Q275" s="47">
        <f>IF(OR(L275="",M275="",P275=""),"",L275*P275)</f>
        <v/>
      </c>
    </row>
    <row r="276" ht="15" customHeight="1" s="28">
      <c r="A276" s="44" t="inlineStr">
        <is>
          <t>R-SB-0274</t>
        </is>
      </c>
      <c r="B276" s="45" t="n">
        <v>45774</v>
      </c>
      <c r="C276" s="44" t="inlineStr">
        <is>
          <t>2025-04</t>
        </is>
      </c>
      <c r="D276" s="44" t="n">
        <v>2025</v>
      </c>
      <c r="E276" s="44" t="inlineStr">
        <is>
          <t>P-SB-003</t>
        </is>
      </c>
      <c r="F276" s="44" t="inlineStr">
        <is>
          <t>C-SB-02</t>
        </is>
      </c>
      <c r="G276" s="46" t="inlineStr">
        <is>
          <t>멕시코</t>
        </is>
      </c>
      <c r="H276" s="44" t="inlineStr">
        <is>
          <t>MX</t>
        </is>
      </c>
      <c r="I276" s="47" t="n">
        <v>46769</v>
      </c>
      <c r="J276" s="44" t="inlineStr">
        <is>
          <t>EA</t>
        </is>
      </c>
      <c r="K276" s="48" t="n">
        <v>11.69</v>
      </c>
      <c r="L276" s="48" t="n">
        <v>40516.68</v>
      </c>
      <c r="M276" s="44" t="inlineStr">
        <is>
          <t>USD</t>
        </is>
      </c>
      <c r="N276" s="44" t="inlineStr">
        <is>
          <t>FOB</t>
        </is>
      </c>
      <c r="O276" s="44" t="inlineStr">
        <is>
          <t>N</t>
        </is>
      </c>
      <c r="P276" s="48" t="n">
        <v>1439.7777</v>
      </c>
      <c r="Q276" s="47">
        <f>IF(OR(L276="",M276="",P276=""),"",L276*P276)</f>
        <v/>
      </c>
    </row>
    <row r="277" ht="15" customHeight="1" s="28">
      <c r="A277" s="44" t="inlineStr">
        <is>
          <t>R-SB-0275</t>
        </is>
      </c>
      <c r="B277" s="45" t="n">
        <v>45781</v>
      </c>
      <c r="C277" s="44" t="inlineStr">
        <is>
          <t>2025-05</t>
        </is>
      </c>
      <c r="D277" s="44" t="n">
        <v>2025</v>
      </c>
      <c r="E277" s="44" t="inlineStr">
        <is>
          <t>P-SB-001</t>
        </is>
      </c>
      <c r="F277" s="44" t="inlineStr">
        <is>
          <t>C-SB-04</t>
        </is>
      </c>
      <c r="G277" s="46" t="inlineStr">
        <is>
          <t>인도</t>
        </is>
      </c>
      <c r="H277" s="44" t="inlineStr">
        <is>
          <t>IN</t>
        </is>
      </c>
      <c r="I277" s="47" t="n">
        <v>36025</v>
      </c>
      <c r="J277" s="44" t="inlineStr">
        <is>
          <t>EA</t>
        </is>
      </c>
      <c r="K277" s="48" t="n">
        <v>12.61</v>
      </c>
      <c r="L277" s="48" t="n">
        <v>65346.81</v>
      </c>
      <c r="M277" s="44" t="inlineStr">
        <is>
          <t>USD</t>
        </is>
      </c>
      <c r="N277" s="44" t="inlineStr">
        <is>
          <t>FOB</t>
        </is>
      </c>
      <c r="O277" s="44" t="inlineStr">
        <is>
          <t>N</t>
        </is>
      </c>
      <c r="P277" s="48" t="n">
        <v>1391.4376</v>
      </c>
      <c r="Q277" s="47">
        <f>IF(OR(L277="",M277="",P277=""),"",L277*P277)</f>
        <v/>
      </c>
    </row>
    <row r="278" ht="15" customHeight="1" s="28">
      <c r="A278" s="44" t="inlineStr">
        <is>
          <t>R-SB-0276</t>
        </is>
      </c>
      <c r="B278" s="45" t="n">
        <v>45786</v>
      </c>
      <c r="C278" s="44" t="inlineStr">
        <is>
          <t>2025-05</t>
        </is>
      </c>
      <c r="D278" s="44" t="n">
        <v>2025</v>
      </c>
      <c r="E278" s="44" t="inlineStr">
        <is>
          <t>P-SB-001</t>
        </is>
      </c>
      <c r="F278" s="44" t="inlineStr">
        <is>
          <t>C-SB-01</t>
        </is>
      </c>
      <c r="G278" s="46" t="inlineStr">
        <is>
          <t>미국</t>
        </is>
      </c>
      <c r="H278" s="44" t="inlineStr">
        <is>
          <t>US</t>
        </is>
      </c>
      <c r="I278" s="47" t="n">
        <v>207938</v>
      </c>
      <c r="J278" s="44" t="inlineStr">
        <is>
          <t>EA</t>
        </is>
      </c>
      <c r="K278" s="48" t="n">
        <v>72.78</v>
      </c>
      <c r="L278" s="48" t="n">
        <v>356995.05</v>
      </c>
      <c r="M278" s="44" t="inlineStr">
        <is>
          <t>USD</t>
        </is>
      </c>
      <c r="N278" s="44" t="inlineStr">
        <is>
          <t>FOB</t>
        </is>
      </c>
      <c r="O278" s="44" t="inlineStr">
        <is>
          <t>N</t>
        </is>
      </c>
      <c r="P278" s="48" t="n">
        <v>1391.4376</v>
      </c>
      <c r="Q278" s="47">
        <f>IF(OR(L278="",M278="",P278=""),"",L278*P278)</f>
        <v/>
      </c>
    </row>
    <row r="279" ht="15" customHeight="1" s="28">
      <c r="A279" s="44" t="inlineStr">
        <is>
          <t>R-SB-0277</t>
        </is>
      </c>
      <c r="B279" s="45" t="n">
        <v>45789</v>
      </c>
      <c r="C279" s="44" t="inlineStr">
        <is>
          <t>2025-05</t>
        </is>
      </c>
      <c r="D279" s="44" t="n">
        <v>2025</v>
      </c>
      <c r="E279" s="44" t="inlineStr">
        <is>
          <t>P-SB-001</t>
        </is>
      </c>
      <c r="F279" s="44" t="inlineStr">
        <is>
          <t>C-SB-02</t>
        </is>
      </c>
      <c r="G279" s="46" t="inlineStr">
        <is>
          <t>멕시코</t>
        </is>
      </c>
      <c r="H279" s="44" t="inlineStr">
        <is>
          <t>MX</t>
        </is>
      </c>
      <c r="I279" s="47" t="n">
        <v>84562</v>
      </c>
      <c r="J279" s="44" t="inlineStr">
        <is>
          <t>EA</t>
        </is>
      </c>
      <c r="K279" s="48" t="n">
        <v>29.6</v>
      </c>
      <c r="L279" s="48" t="n">
        <v>148647.53</v>
      </c>
      <c r="M279" s="44" t="inlineStr">
        <is>
          <t>USD</t>
        </is>
      </c>
      <c r="N279" s="44" t="inlineStr">
        <is>
          <t>FOB</t>
        </is>
      </c>
      <c r="O279" s="44" t="inlineStr">
        <is>
          <t>N</t>
        </is>
      </c>
      <c r="P279" s="48" t="n">
        <v>1391.4376</v>
      </c>
      <c r="Q279" s="47">
        <f>IF(OR(L279="",M279="",P279=""),"",L279*P279)</f>
        <v/>
      </c>
    </row>
    <row r="280" ht="15" customHeight="1" s="28">
      <c r="A280" s="44" t="inlineStr">
        <is>
          <t>R-SB-0278</t>
        </is>
      </c>
      <c r="B280" s="45" t="n">
        <v>45791</v>
      </c>
      <c r="C280" s="44" t="inlineStr">
        <is>
          <t>2025-05</t>
        </is>
      </c>
      <c r="D280" s="44" t="n">
        <v>2025</v>
      </c>
      <c r="E280" s="44" t="inlineStr">
        <is>
          <t>P-SB-003</t>
        </is>
      </c>
      <c r="F280" s="44" t="inlineStr">
        <is>
          <t>C-SB-01</t>
        </is>
      </c>
      <c r="G280" s="46" t="inlineStr">
        <is>
          <t>미국</t>
        </is>
      </c>
      <c r="H280" s="44" t="inlineStr">
        <is>
          <t>US</t>
        </is>
      </c>
      <c r="I280" s="47" t="n">
        <v>81502</v>
      </c>
      <c r="J280" s="44" t="inlineStr">
        <is>
          <t>EA</t>
        </is>
      </c>
      <c r="K280" s="48" t="n">
        <v>20.38</v>
      </c>
      <c r="L280" s="48" t="n">
        <v>76850.35000000001</v>
      </c>
      <c r="M280" s="44" t="inlineStr">
        <is>
          <t>USD</t>
        </is>
      </c>
      <c r="N280" s="44" t="inlineStr">
        <is>
          <t>FOB</t>
        </is>
      </c>
      <c r="O280" s="44" t="inlineStr">
        <is>
          <t>N</t>
        </is>
      </c>
      <c r="P280" s="48" t="n">
        <v>1391.4376</v>
      </c>
      <c r="Q280" s="47">
        <f>IF(OR(L280="",M280="",P280=""),"",L280*P280)</f>
        <v/>
      </c>
    </row>
    <row r="281" ht="15" customHeight="1" s="28">
      <c r="A281" s="44" t="inlineStr">
        <is>
          <t>R-SB-0279</t>
        </is>
      </c>
      <c r="B281" s="45" t="n">
        <v>45792</v>
      </c>
      <c r="C281" s="44" t="inlineStr">
        <is>
          <t>2025-05</t>
        </is>
      </c>
      <c r="D281" s="44" t="n">
        <v>2025</v>
      </c>
      <c r="E281" s="44" t="inlineStr">
        <is>
          <t>P-SB-002</t>
        </is>
      </c>
      <c r="F281" s="44" t="inlineStr">
        <is>
          <t>C-SB-04</t>
        </is>
      </c>
      <c r="G281" s="46" t="inlineStr">
        <is>
          <t>인도</t>
        </is>
      </c>
      <c r="H281" s="44" t="inlineStr">
        <is>
          <t>IN</t>
        </is>
      </c>
      <c r="I281" s="47" t="n">
        <v>9537</v>
      </c>
      <c r="J281" s="44" t="inlineStr">
        <is>
          <t>EA</t>
        </is>
      </c>
      <c r="K281" s="48" t="n">
        <v>8.58</v>
      </c>
      <c r="L281" s="48" t="n">
        <v>36874.43</v>
      </c>
      <c r="M281" s="44" t="inlineStr">
        <is>
          <t>USD</t>
        </is>
      </c>
      <c r="N281" s="44" t="inlineStr">
        <is>
          <t>FOB</t>
        </is>
      </c>
      <c r="O281" s="44" t="inlineStr">
        <is>
          <t>N</t>
        </is>
      </c>
      <c r="P281" s="48" t="n">
        <v>1391.4376</v>
      </c>
      <c r="Q281" s="47">
        <f>IF(OR(L281="",M281="",P281=""),"",L281*P281)</f>
        <v/>
      </c>
    </row>
    <row r="282" ht="15" customHeight="1" s="28">
      <c r="A282" s="44" t="inlineStr">
        <is>
          <t>R-SB-0280</t>
        </is>
      </c>
      <c r="B282" s="45" t="n">
        <v>45793</v>
      </c>
      <c r="C282" s="44" t="inlineStr">
        <is>
          <t>2025-05</t>
        </is>
      </c>
      <c r="D282" s="44" t="n">
        <v>2025</v>
      </c>
      <c r="E282" s="44" t="inlineStr">
        <is>
          <t>P-SB-002</t>
        </is>
      </c>
      <c r="F282" s="44" t="inlineStr">
        <is>
          <t>C-SB-02</t>
        </is>
      </c>
      <c r="G282" s="46" t="inlineStr">
        <is>
          <t>멕시코</t>
        </is>
      </c>
      <c r="H282" s="44" t="inlineStr">
        <is>
          <t>MX</t>
        </is>
      </c>
      <c r="I282" s="47" t="n">
        <v>24758</v>
      </c>
      <c r="J282" s="44" t="inlineStr">
        <is>
          <t>EA</t>
        </is>
      </c>
      <c r="K282" s="48" t="n">
        <v>22.28</v>
      </c>
      <c r="L282" s="48" t="n">
        <v>97705.05</v>
      </c>
      <c r="M282" s="44" t="inlineStr">
        <is>
          <t>USD</t>
        </is>
      </c>
      <c r="N282" s="44" t="inlineStr">
        <is>
          <t>FOB</t>
        </is>
      </c>
      <c r="O282" s="44" t="inlineStr">
        <is>
          <t>N</t>
        </is>
      </c>
      <c r="P282" s="48" t="n">
        <v>1391.4376</v>
      </c>
      <c r="Q282" s="47">
        <f>IF(OR(L282="",M282="",P282=""),"",L282*P282)</f>
        <v/>
      </c>
    </row>
    <row r="283" ht="15" customHeight="1" s="28">
      <c r="A283" s="44" t="inlineStr">
        <is>
          <t>R-SB-0281</t>
        </is>
      </c>
      <c r="B283" s="45" t="n">
        <v>45794</v>
      </c>
      <c r="C283" s="44" t="inlineStr">
        <is>
          <t>2025-05</t>
        </is>
      </c>
      <c r="D283" s="44" t="n">
        <v>2025</v>
      </c>
      <c r="E283" s="44" t="inlineStr">
        <is>
          <t>P-SB-002</t>
        </is>
      </c>
      <c r="F283" s="44" t="inlineStr">
        <is>
          <t>C-SB-03</t>
        </is>
      </c>
      <c r="G283" s="46" t="inlineStr">
        <is>
          <t>베트남</t>
        </is>
      </c>
      <c r="H283" s="44" t="inlineStr">
        <is>
          <t>VN</t>
        </is>
      </c>
      <c r="I283" s="47" t="n">
        <v>15081</v>
      </c>
      <c r="J283" s="44" t="inlineStr">
        <is>
          <t>EA</t>
        </is>
      </c>
      <c r="K283" s="48" t="n">
        <v>13.57</v>
      </c>
      <c r="L283" s="48" t="n">
        <v>62541.96</v>
      </c>
      <c r="M283" s="44" t="inlineStr">
        <is>
          <t>USD</t>
        </is>
      </c>
      <c r="N283" s="44" t="inlineStr">
        <is>
          <t>FOB</t>
        </is>
      </c>
      <c r="O283" s="44" t="inlineStr">
        <is>
          <t>N</t>
        </is>
      </c>
      <c r="P283" s="48" t="n">
        <v>1391.4376</v>
      </c>
      <c r="Q283" s="47">
        <f>IF(OR(L283="",M283="",P283=""),"",L283*P283)</f>
        <v/>
      </c>
    </row>
    <row r="284" ht="15" customHeight="1" s="28">
      <c r="A284" s="44" t="inlineStr">
        <is>
          <t>R-SB-0282</t>
        </is>
      </c>
      <c r="B284" s="45" t="n">
        <v>45796</v>
      </c>
      <c r="C284" s="44" t="inlineStr">
        <is>
          <t>2025-05</t>
        </is>
      </c>
      <c r="D284" s="44" t="n">
        <v>2025</v>
      </c>
      <c r="E284" s="44" t="inlineStr">
        <is>
          <t>P-SB-001</t>
        </is>
      </c>
      <c r="F284" s="44" t="inlineStr">
        <is>
          <t>C-SB-03</t>
        </is>
      </c>
      <c r="G284" s="46" t="inlineStr">
        <is>
          <t>베트남</t>
        </is>
      </c>
      <c r="H284" s="44" t="inlineStr">
        <is>
          <t>VN</t>
        </is>
      </c>
      <c r="I284" s="47" t="n">
        <v>86459</v>
      </c>
      <c r="J284" s="44" t="inlineStr">
        <is>
          <t>EA</t>
        </is>
      </c>
      <c r="K284" s="48" t="n">
        <v>30.26</v>
      </c>
      <c r="L284" s="48" t="n">
        <v>160279.54</v>
      </c>
      <c r="M284" s="44" t="inlineStr">
        <is>
          <t>USD</t>
        </is>
      </c>
      <c r="N284" s="44" t="inlineStr">
        <is>
          <t>FOB</t>
        </is>
      </c>
      <c r="O284" s="44" t="inlineStr">
        <is>
          <t>N</t>
        </is>
      </c>
      <c r="P284" s="48" t="n">
        <v>1391.4376</v>
      </c>
      <c r="Q284" s="47">
        <f>IF(OR(L284="",M284="",P284=""),"",L284*P284)</f>
        <v/>
      </c>
    </row>
    <row r="285" ht="15" customHeight="1" s="28">
      <c r="A285" s="44" t="inlineStr">
        <is>
          <t>R-SB-0283</t>
        </is>
      </c>
      <c r="B285" s="45" t="n">
        <v>45797</v>
      </c>
      <c r="C285" s="44" t="inlineStr">
        <is>
          <t>2025-05</t>
        </is>
      </c>
      <c r="D285" s="44" t="n">
        <v>2025</v>
      </c>
      <c r="E285" s="44" t="inlineStr">
        <is>
          <t>P-SB-003</t>
        </is>
      </c>
      <c r="F285" s="44" t="inlineStr">
        <is>
          <t>C-SB-02</t>
        </is>
      </c>
      <c r="G285" s="46" t="inlineStr">
        <is>
          <t>멕시코</t>
        </is>
      </c>
      <c r="H285" s="44" t="inlineStr">
        <is>
          <t>MX</t>
        </is>
      </c>
      <c r="I285" s="47" t="n">
        <v>39436</v>
      </c>
      <c r="J285" s="44" t="inlineStr">
        <is>
          <t>EA</t>
        </is>
      </c>
      <c r="K285" s="48" t="n">
        <v>9.859999999999999</v>
      </c>
      <c r="L285" s="48" t="n">
        <v>36783.21</v>
      </c>
      <c r="M285" s="44" t="inlineStr">
        <is>
          <t>USD</t>
        </is>
      </c>
      <c r="N285" s="44" t="inlineStr">
        <is>
          <t>FOB</t>
        </is>
      </c>
      <c r="O285" s="44" t="inlineStr">
        <is>
          <t>N</t>
        </is>
      </c>
      <c r="P285" s="48" t="n">
        <v>1391.4376</v>
      </c>
      <c r="Q285" s="47">
        <f>IF(OR(L285="",M285="",P285=""),"",L285*P285)</f>
        <v/>
      </c>
    </row>
    <row r="286" ht="15" customHeight="1" s="28">
      <c r="A286" s="44" t="inlineStr">
        <is>
          <t>R-SB-0284</t>
        </is>
      </c>
      <c r="B286" s="45" t="n">
        <v>45802</v>
      </c>
      <c r="C286" s="44" t="inlineStr">
        <is>
          <t>2025-05</t>
        </is>
      </c>
      <c r="D286" s="44" t="n">
        <v>2025</v>
      </c>
      <c r="E286" s="44" t="inlineStr">
        <is>
          <t>P-SB-003</t>
        </is>
      </c>
      <c r="F286" s="44" t="inlineStr">
        <is>
          <t>C-SB-04</t>
        </is>
      </c>
      <c r="G286" s="46" t="inlineStr">
        <is>
          <t>인도</t>
        </is>
      </c>
      <c r="H286" s="44" t="inlineStr">
        <is>
          <t>IN</t>
        </is>
      </c>
      <c r="I286" s="47" t="n">
        <v>24862</v>
      </c>
      <c r="J286" s="44" t="inlineStr">
        <is>
          <t>EA</t>
        </is>
      </c>
      <c r="K286" s="48" t="n">
        <v>6.22</v>
      </c>
      <c r="L286" s="48" t="n">
        <v>22505.94</v>
      </c>
      <c r="M286" s="44" t="inlineStr">
        <is>
          <t>USD</t>
        </is>
      </c>
      <c r="N286" s="44" t="inlineStr">
        <is>
          <t>FOB</t>
        </is>
      </c>
      <c r="O286" s="44" t="inlineStr">
        <is>
          <t>N</t>
        </is>
      </c>
      <c r="P286" s="48" t="n">
        <v>1391.4376</v>
      </c>
      <c r="Q286" s="47">
        <f>IF(OR(L286="",M286="",P286=""),"",L286*P286)</f>
        <v/>
      </c>
    </row>
    <row r="287" ht="15" customHeight="1" s="28">
      <c r="A287" s="44" t="inlineStr">
        <is>
          <t>R-SB-0285</t>
        </is>
      </c>
      <c r="B287" s="45" t="n">
        <v>45803</v>
      </c>
      <c r="C287" s="44" t="inlineStr">
        <is>
          <t>2025-05</t>
        </is>
      </c>
      <c r="D287" s="44" t="n">
        <v>2025</v>
      </c>
      <c r="E287" s="44" t="inlineStr">
        <is>
          <t>P-SB-002</t>
        </is>
      </c>
      <c r="F287" s="44" t="inlineStr">
        <is>
          <t>C-SB-01</t>
        </is>
      </c>
      <c r="G287" s="46" t="inlineStr">
        <is>
          <t>미국</t>
        </is>
      </c>
      <c r="H287" s="44" t="inlineStr">
        <is>
          <t>US</t>
        </is>
      </c>
      <c r="I287" s="47" t="n">
        <v>39036</v>
      </c>
      <c r="J287" s="44" t="inlineStr">
        <is>
          <t>EA</t>
        </is>
      </c>
      <c r="K287" s="48" t="n">
        <v>35.13</v>
      </c>
      <c r="L287" s="48" t="n">
        <v>152814.44</v>
      </c>
      <c r="M287" s="44" t="inlineStr">
        <is>
          <t>USD</t>
        </is>
      </c>
      <c r="N287" s="44" t="inlineStr">
        <is>
          <t>FOB</t>
        </is>
      </c>
      <c r="O287" s="44" t="inlineStr">
        <is>
          <t>N</t>
        </is>
      </c>
      <c r="P287" s="48" t="n">
        <v>1391.4376</v>
      </c>
      <c r="Q287" s="47">
        <f>IF(OR(L287="",M287="",P287=""),"",L287*P287)</f>
        <v/>
      </c>
    </row>
    <row r="288" ht="15" customHeight="1" s="28">
      <c r="A288" s="44" t="inlineStr">
        <is>
          <t>R-SB-0286</t>
        </is>
      </c>
      <c r="B288" s="45" t="n">
        <v>45812</v>
      </c>
      <c r="C288" s="44" t="inlineStr">
        <is>
          <t>2025-06</t>
        </is>
      </c>
      <c r="D288" s="44" t="n">
        <v>2025</v>
      </c>
      <c r="E288" s="44" t="inlineStr">
        <is>
          <t>P-SB-003</t>
        </is>
      </c>
      <c r="F288" s="44" t="inlineStr">
        <is>
          <t>C-SB-01</t>
        </is>
      </c>
      <c r="G288" s="46" t="inlineStr">
        <is>
          <t>미국</t>
        </is>
      </c>
      <c r="H288" s="44" t="inlineStr">
        <is>
          <t>US</t>
        </is>
      </c>
      <c r="I288" s="47" t="n">
        <v>93945</v>
      </c>
      <c r="J288" s="44" t="inlineStr">
        <is>
          <t>EA</t>
        </is>
      </c>
      <c r="K288" s="48" t="n">
        <v>23.49</v>
      </c>
      <c r="L288" s="48" t="n">
        <v>84814.21000000001</v>
      </c>
      <c r="M288" s="44" t="inlineStr">
        <is>
          <t>USD</t>
        </is>
      </c>
      <c r="N288" s="44" t="inlineStr">
        <is>
          <t>FOB</t>
        </is>
      </c>
      <c r="O288" s="44" t="inlineStr">
        <is>
          <t>N</t>
        </is>
      </c>
      <c r="P288" s="48" t="n">
        <v>1364.6775</v>
      </c>
      <c r="Q288" s="47">
        <f>IF(OR(L288="",M288="",P288=""),"",L288*P288)</f>
        <v/>
      </c>
    </row>
    <row r="289" ht="15" customHeight="1" s="28">
      <c r="A289" s="44" t="inlineStr">
        <is>
          <t>R-SB-0287</t>
        </is>
      </c>
      <c r="B289" s="45" t="n">
        <v>45821</v>
      </c>
      <c r="C289" s="44" t="inlineStr">
        <is>
          <t>2025-06</t>
        </is>
      </c>
      <c r="D289" s="44" t="n">
        <v>2025</v>
      </c>
      <c r="E289" s="44" t="inlineStr">
        <is>
          <t>P-SB-002</t>
        </is>
      </c>
      <c r="F289" s="44" t="inlineStr">
        <is>
          <t>C-SB-04</t>
        </is>
      </c>
      <c r="G289" s="46" t="inlineStr">
        <is>
          <t>인도</t>
        </is>
      </c>
      <c r="H289" s="44" t="inlineStr">
        <is>
          <t>IN</t>
        </is>
      </c>
      <c r="I289" s="47" t="n">
        <v>9589</v>
      </c>
      <c r="J289" s="44" t="inlineStr">
        <is>
          <t>EA</t>
        </is>
      </c>
      <c r="K289" s="48" t="n">
        <v>8.630000000000001</v>
      </c>
      <c r="L289" s="48" t="n">
        <v>39734.55</v>
      </c>
      <c r="M289" s="44" t="inlineStr">
        <is>
          <t>USD</t>
        </is>
      </c>
      <c r="N289" s="44" t="inlineStr">
        <is>
          <t>FOB</t>
        </is>
      </c>
      <c r="O289" s="44" t="inlineStr">
        <is>
          <t>N</t>
        </is>
      </c>
      <c r="P289" s="48" t="n">
        <v>1364.6775</v>
      </c>
      <c r="Q289" s="47">
        <f>IF(OR(L289="",M289="",P289=""),"",L289*P289)</f>
        <v/>
      </c>
    </row>
    <row r="290" ht="15" customHeight="1" s="28">
      <c r="A290" s="44" t="inlineStr">
        <is>
          <t>R-SB-0288</t>
        </is>
      </c>
      <c r="B290" s="45" t="n">
        <v>45825</v>
      </c>
      <c r="C290" s="44" t="inlineStr">
        <is>
          <t>2025-06</t>
        </is>
      </c>
      <c r="D290" s="44" t="n">
        <v>2025</v>
      </c>
      <c r="E290" s="44" t="inlineStr">
        <is>
          <t>P-SB-001</t>
        </is>
      </c>
      <c r="F290" s="44" t="inlineStr">
        <is>
          <t>C-SB-02</t>
        </is>
      </c>
      <c r="G290" s="46" t="inlineStr">
        <is>
          <t>멕시코</t>
        </is>
      </c>
      <c r="H290" s="44" t="inlineStr">
        <is>
          <t>MX</t>
        </is>
      </c>
      <c r="I290" s="47" t="n">
        <v>82413</v>
      </c>
      <c r="J290" s="44" t="inlineStr">
        <is>
          <t>EA</t>
        </is>
      </c>
      <c r="K290" s="48" t="n">
        <v>28.84</v>
      </c>
      <c r="L290" s="48" t="n">
        <v>141909.48</v>
      </c>
      <c r="M290" s="44" t="inlineStr">
        <is>
          <t>USD</t>
        </is>
      </c>
      <c r="N290" s="44" t="inlineStr">
        <is>
          <t>FOB</t>
        </is>
      </c>
      <c r="O290" s="44" t="inlineStr">
        <is>
          <t>N</t>
        </is>
      </c>
      <c r="P290" s="48" t="n">
        <v>1364.6775</v>
      </c>
      <c r="Q290" s="47">
        <f>IF(OR(L290="",M290="",P290=""),"",L290*P290)</f>
        <v/>
      </c>
    </row>
    <row r="291" ht="15" customHeight="1" s="28">
      <c r="A291" s="44" t="inlineStr">
        <is>
          <t>R-SB-0289</t>
        </is>
      </c>
      <c r="B291" s="45" t="n">
        <v>45826</v>
      </c>
      <c r="C291" s="44" t="inlineStr">
        <is>
          <t>2025-06</t>
        </is>
      </c>
      <c r="D291" s="44" t="n">
        <v>2025</v>
      </c>
      <c r="E291" s="44" t="inlineStr">
        <is>
          <t>P-SB-003</t>
        </is>
      </c>
      <c r="F291" s="44" t="inlineStr">
        <is>
          <t>C-SB-02</t>
        </is>
      </c>
      <c r="G291" s="46" t="inlineStr">
        <is>
          <t>멕시코</t>
        </is>
      </c>
      <c r="H291" s="44" t="inlineStr">
        <is>
          <t>MX</t>
        </is>
      </c>
      <c r="I291" s="47" t="n">
        <v>58397</v>
      </c>
      <c r="J291" s="44" t="inlineStr">
        <is>
          <t>EA</t>
        </is>
      </c>
      <c r="K291" s="48" t="n">
        <v>14.6</v>
      </c>
      <c r="L291" s="48" t="n">
        <v>54201.66</v>
      </c>
      <c r="M291" s="44" t="inlineStr">
        <is>
          <t>USD</t>
        </is>
      </c>
      <c r="N291" s="44" t="inlineStr">
        <is>
          <t>FOB</t>
        </is>
      </c>
      <c r="O291" s="44" t="inlineStr">
        <is>
          <t>N</t>
        </is>
      </c>
      <c r="P291" s="48" t="n">
        <v>1364.6775</v>
      </c>
      <c r="Q291" s="47">
        <f>IF(OR(L291="",M291="",P291=""),"",L291*P291)</f>
        <v/>
      </c>
    </row>
    <row r="292" ht="15" customHeight="1" s="28">
      <c r="A292" s="44" t="inlineStr">
        <is>
          <t>R-SB-0290</t>
        </is>
      </c>
      <c r="B292" s="45" t="n">
        <v>45829</v>
      </c>
      <c r="C292" s="44" t="inlineStr">
        <is>
          <t>2025-06</t>
        </is>
      </c>
      <c r="D292" s="44" t="n">
        <v>2025</v>
      </c>
      <c r="E292" s="44" t="inlineStr">
        <is>
          <t>P-SB-001</t>
        </is>
      </c>
      <c r="F292" s="44" t="inlineStr">
        <is>
          <t>C-SB-03</t>
        </is>
      </c>
      <c r="G292" s="46" t="inlineStr">
        <is>
          <t>베트남</t>
        </is>
      </c>
      <c r="H292" s="44" t="inlineStr">
        <is>
          <t>VN</t>
        </is>
      </c>
      <c r="I292" s="47" t="n">
        <v>81531</v>
      </c>
      <c r="J292" s="44" t="inlineStr">
        <is>
          <t>EA</t>
        </is>
      </c>
      <c r="K292" s="48" t="n">
        <v>28.54</v>
      </c>
      <c r="L292" s="48" t="n">
        <v>143707.04</v>
      </c>
      <c r="M292" s="44" t="inlineStr">
        <is>
          <t>USD</t>
        </is>
      </c>
      <c r="N292" s="44" t="inlineStr">
        <is>
          <t>FOB</t>
        </is>
      </c>
      <c r="O292" s="44" t="inlineStr">
        <is>
          <t>N</t>
        </is>
      </c>
      <c r="P292" s="48" t="n">
        <v>1364.6775</v>
      </c>
      <c r="Q292" s="47">
        <f>IF(OR(L292="",M292="",P292=""),"",L292*P292)</f>
        <v/>
      </c>
    </row>
    <row r="293" ht="15" customHeight="1" s="28">
      <c r="A293" s="44" t="inlineStr">
        <is>
          <t>R-SB-0291</t>
        </is>
      </c>
      <c r="B293" s="45" t="n">
        <v>45830</v>
      </c>
      <c r="C293" s="44" t="inlineStr">
        <is>
          <t>2025-06</t>
        </is>
      </c>
      <c r="D293" s="44" t="n">
        <v>2025</v>
      </c>
      <c r="E293" s="44" t="inlineStr">
        <is>
          <t>P-SB-003</t>
        </is>
      </c>
      <c r="F293" s="44" t="inlineStr">
        <is>
          <t>C-SB-04</t>
        </is>
      </c>
      <c r="G293" s="46" t="inlineStr">
        <is>
          <t>인도</t>
        </is>
      </c>
      <c r="H293" s="44" t="inlineStr">
        <is>
          <t>IN</t>
        </is>
      </c>
      <c r="I293" s="47" t="n">
        <v>18951</v>
      </c>
      <c r="J293" s="44" t="inlineStr">
        <is>
          <t>EA</t>
        </is>
      </c>
      <c r="K293" s="48" t="n">
        <v>4.74</v>
      </c>
      <c r="L293" s="48" t="n">
        <v>16968.5</v>
      </c>
      <c r="M293" s="44" t="inlineStr">
        <is>
          <t>USD</t>
        </is>
      </c>
      <c r="N293" s="44" t="inlineStr">
        <is>
          <t>FOB</t>
        </is>
      </c>
      <c r="O293" s="44" t="inlineStr">
        <is>
          <t>N</t>
        </is>
      </c>
      <c r="P293" s="48" t="n">
        <v>1364.6775</v>
      </c>
      <c r="Q293" s="47">
        <f>IF(OR(L293="",M293="",P293=""),"",L293*P293)</f>
        <v/>
      </c>
    </row>
    <row r="294" ht="15" customHeight="1" s="28">
      <c r="A294" s="44" t="inlineStr">
        <is>
          <t>R-SB-0292</t>
        </is>
      </c>
      <c r="B294" s="45" t="n">
        <v>45832</v>
      </c>
      <c r="C294" s="44" t="inlineStr">
        <is>
          <t>2025-06</t>
        </is>
      </c>
      <c r="D294" s="44" t="n">
        <v>2025</v>
      </c>
      <c r="E294" s="44" t="inlineStr">
        <is>
          <t>P-SB-001</t>
        </is>
      </c>
      <c r="F294" s="44" t="inlineStr">
        <is>
          <t>C-SB-01</t>
        </is>
      </c>
      <c r="G294" s="46" t="inlineStr">
        <is>
          <t>미국</t>
        </is>
      </c>
      <c r="H294" s="44" t="inlineStr">
        <is>
          <t>US</t>
        </is>
      </c>
      <c r="I294" s="47" t="n">
        <v>182683</v>
      </c>
      <c r="J294" s="44" t="inlineStr">
        <is>
          <t>EA</t>
        </is>
      </c>
      <c r="K294" s="48" t="n">
        <v>63.94</v>
      </c>
      <c r="L294" s="48" t="n">
        <v>336376.97</v>
      </c>
      <c r="M294" s="44" t="inlineStr">
        <is>
          <t>USD</t>
        </is>
      </c>
      <c r="N294" s="44" t="inlineStr">
        <is>
          <t>FOB</t>
        </is>
      </c>
      <c r="O294" s="44" t="inlineStr">
        <is>
          <t>N</t>
        </is>
      </c>
      <c r="P294" s="48" t="n">
        <v>1364.6775</v>
      </c>
      <c r="Q294" s="47">
        <f>IF(OR(L294="",M294="",P294=""),"",L294*P294)</f>
        <v/>
      </c>
    </row>
    <row r="295" ht="15" customHeight="1" s="28">
      <c r="A295" s="44" t="inlineStr">
        <is>
          <t>R-SB-0293</t>
        </is>
      </c>
      <c r="B295" s="45" t="n">
        <v>45833</v>
      </c>
      <c r="C295" s="44" t="inlineStr">
        <is>
          <t>2025-06</t>
        </is>
      </c>
      <c r="D295" s="44" t="n">
        <v>2025</v>
      </c>
      <c r="E295" s="44" t="inlineStr">
        <is>
          <t>P-SB-003</t>
        </is>
      </c>
      <c r="F295" s="44" t="inlineStr">
        <is>
          <t>C-SB-03</t>
        </is>
      </c>
      <c r="G295" s="46" t="inlineStr">
        <is>
          <t>베트남</t>
        </is>
      </c>
      <c r="H295" s="44" t="inlineStr">
        <is>
          <t>VN</t>
        </is>
      </c>
      <c r="I295" s="47" t="n">
        <v>48605</v>
      </c>
      <c r="J295" s="44" t="inlineStr">
        <is>
          <t>EA</t>
        </is>
      </c>
      <c r="K295" s="48" t="n">
        <v>12.15</v>
      </c>
      <c r="L295" s="48" t="n">
        <v>45467.76</v>
      </c>
      <c r="M295" s="44" t="inlineStr">
        <is>
          <t>USD</t>
        </is>
      </c>
      <c r="N295" s="44" t="inlineStr">
        <is>
          <t>FOB</t>
        </is>
      </c>
      <c r="O295" s="44" t="inlineStr">
        <is>
          <t>N</t>
        </is>
      </c>
      <c r="P295" s="48" t="n">
        <v>1364.6775</v>
      </c>
      <c r="Q295" s="47">
        <f>IF(OR(L295="",M295="",P295=""),"",L295*P295)</f>
        <v/>
      </c>
    </row>
    <row r="296" ht="15" customHeight="1" s="28">
      <c r="A296" s="44" t="inlineStr">
        <is>
          <t>R-SB-0294</t>
        </is>
      </c>
      <c r="B296" s="45" t="n">
        <v>45847</v>
      </c>
      <c r="C296" s="44" t="inlineStr">
        <is>
          <t>2025-07</t>
        </is>
      </c>
      <c r="D296" s="44" t="n">
        <v>2025</v>
      </c>
      <c r="E296" s="44" t="inlineStr">
        <is>
          <t>P-SB-001</t>
        </is>
      </c>
      <c r="F296" s="44" t="inlineStr">
        <is>
          <t>C-SB-01</t>
        </is>
      </c>
      <c r="G296" s="46" t="inlineStr">
        <is>
          <t>미국</t>
        </is>
      </c>
      <c r="H296" s="44" t="inlineStr">
        <is>
          <t>US</t>
        </is>
      </c>
      <c r="I296" s="47" t="n">
        <v>176970</v>
      </c>
      <c r="J296" s="44" t="inlineStr">
        <is>
          <t>EA</t>
        </is>
      </c>
      <c r="K296" s="48" t="n">
        <v>61.94</v>
      </c>
      <c r="L296" s="48" t="n">
        <v>331050.74</v>
      </c>
      <c r="M296" s="44" t="inlineStr">
        <is>
          <t>USD</t>
        </is>
      </c>
      <c r="N296" s="44" t="inlineStr">
        <is>
          <t>FOB</t>
        </is>
      </c>
      <c r="O296" s="44" t="inlineStr">
        <is>
          <t>N</t>
        </is>
      </c>
      <c r="P296" s="48" t="n">
        <v>1379.2959</v>
      </c>
      <c r="Q296" s="47">
        <f>IF(OR(L296="",M296="",P296=""),"",L296*P296)</f>
        <v/>
      </c>
    </row>
    <row r="297" ht="15" customHeight="1" s="28">
      <c r="A297" s="44" t="inlineStr">
        <is>
          <t>R-SB-0295</t>
        </is>
      </c>
      <c r="B297" s="45" t="n">
        <v>45850</v>
      </c>
      <c r="C297" s="44" t="inlineStr">
        <is>
          <t>2025-07</t>
        </is>
      </c>
      <c r="D297" s="44" t="n">
        <v>2025</v>
      </c>
      <c r="E297" s="44" t="inlineStr">
        <is>
          <t>P-SB-003</t>
        </is>
      </c>
      <c r="F297" s="44" t="inlineStr">
        <is>
          <t>C-SB-01</t>
        </is>
      </c>
      <c r="G297" s="46" t="inlineStr">
        <is>
          <t>미국</t>
        </is>
      </c>
      <c r="H297" s="44" t="inlineStr">
        <is>
          <t>US</t>
        </is>
      </c>
      <c r="I297" s="47" t="n">
        <v>89585</v>
      </c>
      <c r="J297" s="44" t="inlineStr">
        <is>
          <t>EA</t>
        </is>
      </c>
      <c r="K297" s="48" t="n">
        <v>22.4</v>
      </c>
      <c r="L297" s="48" t="n">
        <v>81923.42999999999</v>
      </c>
      <c r="M297" s="44" t="inlineStr">
        <is>
          <t>USD</t>
        </is>
      </c>
      <c r="N297" s="44" t="inlineStr">
        <is>
          <t>FOB</t>
        </is>
      </c>
      <c r="O297" s="44" t="inlineStr">
        <is>
          <t>N</t>
        </is>
      </c>
      <c r="P297" s="48" t="n">
        <v>1379.2959</v>
      </c>
      <c r="Q297" s="47">
        <f>IF(OR(L297="",M297="",P297=""),"",L297*P297)</f>
        <v/>
      </c>
    </row>
    <row r="298" ht="15" customHeight="1" s="28">
      <c r="A298" s="44" t="inlineStr">
        <is>
          <t>R-SB-0296</t>
        </is>
      </c>
      <c r="B298" s="45" t="n">
        <v>45850</v>
      </c>
      <c r="C298" s="44" t="inlineStr">
        <is>
          <t>2025-07</t>
        </is>
      </c>
      <c r="D298" s="44" t="n">
        <v>2025</v>
      </c>
      <c r="E298" s="44" t="inlineStr">
        <is>
          <t>P-SB-002</t>
        </is>
      </c>
      <c r="F298" s="44" t="inlineStr">
        <is>
          <t>C-SB-02</t>
        </is>
      </c>
      <c r="G298" s="46" t="inlineStr">
        <is>
          <t>멕시코</t>
        </is>
      </c>
      <c r="H298" s="44" t="inlineStr">
        <is>
          <t>MX</t>
        </is>
      </c>
      <c r="I298" s="47" t="n">
        <v>21862</v>
      </c>
      <c r="J298" s="44" t="inlineStr">
        <is>
          <t>EA</t>
        </is>
      </c>
      <c r="K298" s="48" t="n">
        <v>19.68</v>
      </c>
      <c r="L298" s="48" t="n">
        <v>87690.23</v>
      </c>
      <c r="M298" s="44" t="inlineStr">
        <is>
          <t>USD</t>
        </is>
      </c>
      <c r="N298" s="44" t="inlineStr">
        <is>
          <t>FOB</t>
        </is>
      </c>
      <c r="O298" s="44" t="inlineStr">
        <is>
          <t>N</t>
        </is>
      </c>
      <c r="P298" s="48" t="n">
        <v>1379.2959</v>
      </c>
      <c r="Q298" s="47">
        <f>IF(OR(L298="",M298="",P298=""),"",L298*P298)</f>
        <v/>
      </c>
    </row>
    <row r="299" ht="15" customHeight="1" s="28">
      <c r="A299" s="44" t="inlineStr">
        <is>
          <t>R-SB-0297</t>
        </is>
      </c>
      <c r="B299" s="45" t="n">
        <v>45850</v>
      </c>
      <c r="C299" s="44" t="inlineStr">
        <is>
          <t>2025-07</t>
        </is>
      </c>
      <c r="D299" s="44" t="n">
        <v>2025</v>
      </c>
      <c r="E299" s="44" t="inlineStr">
        <is>
          <t>P-SB-003</t>
        </is>
      </c>
      <c r="F299" s="44" t="inlineStr">
        <is>
          <t>C-SB-02</t>
        </is>
      </c>
      <c r="G299" s="46" t="inlineStr">
        <is>
          <t>멕시코</t>
        </is>
      </c>
      <c r="H299" s="44" t="inlineStr">
        <is>
          <t>MX</t>
        </is>
      </c>
      <c r="I299" s="47" t="n">
        <v>60826</v>
      </c>
      <c r="J299" s="44" t="inlineStr">
        <is>
          <t>EA</t>
        </is>
      </c>
      <c r="K299" s="48" t="n">
        <v>15.21</v>
      </c>
      <c r="L299" s="48" t="n">
        <v>53648.15</v>
      </c>
      <c r="M299" s="44" t="inlineStr">
        <is>
          <t>USD</t>
        </is>
      </c>
      <c r="N299" s="44" t="inlineStr">
        <is>
          <t>FOB</t>
        </is>
      </c>
      <c r="O299" s="44" t="inlineStr">
        <is>
          <t>N</t>
        </is>
      </c>
      <c r="P299" s="48" t="n">
        <v>1379.2959</v>
      </c>
      <c r="Q299" s="47">
        <f>IF(OR(L299="",M299="",P299=""),"",L299*P299)</f>
        <v/>
      </c>
    </row>
    <row r="300" ht="15" customHeight="1" s="28">
      <c r="A300" s="44" t="inlineStr">
        <is>
          <t>R-SB-0298</t>
        </is>
      </c>
      <c r="B300" s="45" t="n">
        <v>45851</v>
      </c>
      <c r="C300" s="44" t="inlineStr">
        <is>
          <t>2025-07</t>
        </is>
      </c>
      <c r="D300" s="44" t="n">
        <v>2025</v>
      </c>
      <c r="E300" s="44" t="inlineStr">
        <is>
          <t>P-SB-001</t>
        </is>
      </c>
      <c r="F300" s="44" t="inlineStr">
        <is>
          <t>C-SB-03</t>
        </is>
      </c>
      <c r="G300" s="46" t="inlineStr">
        <is>
          <t>베트남</t>
        </is>
      </c>
      <c r="H300" s="44" t="inlineStr">
        <is>
          <t>VN</t>
        </is>
      </c>
      <c r="I300" s="47" t="n">
        <v>80770</v>
      </c>
      <c r="J300" s="44" t="inlineStr">
        <is>
          <t>EA</t>
        </is>
      </c>
      <c r="K300" s="48" t="n">
        <v>28.27</v>
      </c>
      <c r="L300" s="48" t="n">
        <v>148447.9</v>
      </c>
      <c r="M300" s="44" t="inlineStr">
        <is>
          <t>USD</t>
        </is>
      </c>
      <c r="N300" s="44" t="inlineStr">
        <is>
          <t>FOB</t>
        </is>
      </c>
      <c r="O300" s="44" t="inlineStr">
        <is>
          <t>N</t>
        </is>
      </c>
      <c r="P300" s="48" t="n">
        <v>1379.2959</v>
      </c>
      <c r="Q300" s="47">
        <f>IF(OR(L300="",M300="",P300=""),"",L300*P300)</f>
        <v/>
      </c>
    </row>
    <row r="301" ht="15" customHeight="1" s="28">
      <c r="A301" s="44" t="inlineStr">
        <is>
          <t>R-SB-0299</t>
        </is>
      </c>
      <c r="B301" s="45" t="n">
        <v>45852</v>
      </c>
      <c r="C301" s="44" t="inlineStr">
        <is>
          <t>2025-07</t>
        </is>
      </c>
      <c r="D301" s="44" t="n">
        <v>2025</v>
      </c>
      <c r="E301" s="44" t="inlineStr">
        <is>
          <t>P-SB-003</t>
        </is>
      </c>
      <c r="F301" s="44" t="inlineStr">
        <is>
          <t>C-SB-04</t>
        </is>
      </c>
      <c r="G301" s="46" t="inlineStr">
        <is>
          <t>인도</t>
        </is>
      </c>
      <c r="H301" s="44" t="inlineStr">
        <is>
          <t>IN</t>
        </is>
      </c>
      <c r="I301" s="47" t="n">
        <v>24308</v>
      </c>
      <c r="J301" s="44" t="inlineStr">
        <is>
          <t>EA</t>
        </is>
      </c>
      <c r="K301" s="48" t="n">
        <v>6.08</v>
      </c>
      <c r="L301" s="48" t="n">
        <v>21242.03</v>
      </c>
      <c r="M301" s="49" t="n"/>
      <c r="N301" s="44" t="inlineStr">
        <is>
          <t>FOB</t>
        </is>
      </c>
      <c r="O301" s="44" t="inlineStr">
        <is>
          <t>N</t>
        </is>
      </c>
      <c r="P301" s="48" t="n">
        <v>1379.2959</v>
      </c>
      <c r="Q301" s="47">
        <f>IF(OR(L301="",M301="",P301=""),"",L301*P301)</f>
        <v/>
      </c>
    </row>
    <row r="302" ht="15" customHeight="1" s="28">
      <c r="A302" s="44" t="inlineStr">
        <is>
          <t>R-SB-0300</t>
        </is>
      </c>
      <c r="B302" s="45" t="n">
        <v>45854</v>
      </c>
      <c r="C302" s="44" t="inlineStr">
        <is>
          <t>2025-07</t>
        </is>
      </c>
      <c r="D302" s="44" t="n">
        <v>2025</v>
      </c>
      <c r="E302" s="44" t="inlineStr">
        <is>
          <t>P-SB-003</t>
        </is>
      </c>
      <c r="F302" s="44" t="inlineStr">
        <is>
          <t>C-SB-03</t>
        </is>
      </c>
      <c r="G302" s="46" t="inlineStr">
        <is>
          <t>베트남</t>
        </is>
      </c>
      <c r="H302" s="44" t="inlineStr">
        <is>
          <t>VN</t>
        </is>
      </c>
      <c r="I302" s="47" t="n">
        <v>41609</v>
      </c>
      <c r="J302" s="44" t="inlineStr">
        <is>
          <t>EA</t>
        </is>
      </c>
      <c r="K302" s="48" t="n">
        <v>10.4</v>
      </c>
      <c r="L302" s="48" t="n">
        <v>38043.45</v>
      </c>
      <c r="M302" s="44" t="inlineStr">
        <is>
          <t>USD</t>
        </is>
      </c>
      <c r="N302" s="44" t="inlineStr">
        <is>
          <t>FOB</t>
        </is>
      </c>
      <c r="O302" s="44" t="inlineStr">
        <is>
          <t>N</t>
        </is>
      </c>
      <c r="P302" s="48" t="n">
        <v>1379.2959</v>
      </c>
      <c r="Q302" s="47">
        <f>IF(OR(L302="",M302="",P302=""),"",L302*P302)</f>
        <v/>
      </c>
    </row>
    <row r="303" ht="15" customHeight="1" s="28">
      <c r="A303" s="44" t="inlineStr">
        <is>
          <t>R-SB-0301</t>
        </is>
      </c>
      <c r="B303" s="45" t="n">
        <v>45860</v>
      </c>
      <c r="C303" s="44" t="inlineStr">
        <is>
          <t>2025-07</t>
        </is>
      </c>
      <c r="D303" s="44" t="n">
        <v>2025</v>
      </c>
      <c r="E303" s="44" t="inlineStr">
        <is>
          <t>P-SB-001</t>
        </is>
      </c>
      <c r="F303" s="44" t="inlineStr">
        <is>
          <t>C-SB-02</t>
        </is>
      </c>
      <c r="G303" s="46" t="inlineStr">
        <is>
          <t>멕시코</t>
        </is>
      </c>
      <c r="H303" s="44" t="inlineStr">
        <is>
          <t>MX</t>
        </is>
      </c>
      <c r="I303" s="47" t="n">
        <v>117312</v>
      </c>
      <c r="J303" s="44" t="inlineStr">
        <is>
          <t>EA</t>
        </is>
      </c>
      <c r="K303" s="50" t="n"/>
      <c r="L303" s="48" t="n">
        <v>210202.64</v>
      </c>
      <c r="M303" s="44" t="inlineStr">
        <is>
          <t>USD</t>
        </is>
      </c>
      <c r="N303" s="44" t="inlineStr">
        <is>
          <t>FOB</t>
        </is>
      </c>
      <c r="O303" s="44" t="inlineStr">
        <is>
          <t>N</t>
        </is>
      </c>
      <c r="P303" s="48" t="n">
        <v>1379.2959</v>
      </c>
      <c r="Q303" s="47">
        <f>IF(OR(L303="",M303="",P303=""),"",L303*P303)</f>
        <v/>
      </c>
    </row>
    <row r="304" ht="15" customHeight="1" s="28">
      <c r="A304" s="44" t="inlineStr">
        <is>
          <t>R-SB-0302</t>
        </is>
      </c>
      <c r="B304" s="45" t="n">
        <v>45861</v>
      </c>
      <c r="C304" s="44" t="inlineStr">
        <is>
          <t>2025-07</t>
        </is>
      </c>
      <c r="D304" s="44" t="n">
        <v>2025</v>
      </c>
      <c r="E304" s="44" t="inlineStr">
        <is>
          <t>P-SB-002</t>
        </is>
      </c>
      <c r="F304" s="44" t="inlineStr">
        <is>
          <t>C-SB-04</t>
        </is>
      </c>
      <c r="G304" s="46" t="inlineStr">
        <is>
          <t>인도</t>
        </is>
      </c>
      <c r="H304" s="44" t="inlineStr">
        <is>
          <t>IN</t>
        </is>
      </c>
      <c r="I304" s="47" t="n">
        <v>10916</v>
      </c>
      <c r="J304" s="44" t="inlineStr">
        <is>
          <t>EA</t>
        </is>
      </c>
      <c r="K304" s="48" t="n">
        <v>9.82</v>
      </c>
      <c r="L304" s="48" t="n">
        <v>42746.86</v>
      </c>
      <c r="M304" s="44" t="inlineStr">
        <is>
          <t>USD</t>
        </is>
      </c>
      <c r="N304" s="44" t="inlineStr">
        <is>
          <t>FOB</t>
        </is>
      </c>
      <c r="O304" s="44" t="inlineStr">
        <is>
          <t>N</t>
        </is>
      </c>
      <c r="P304" s="48" t="n">
        <v>1379.2959</v>
      </c>
      <c r="Q304" s="47">
        <f>IF(OR(L304="",M304="",P304=""),"",L304*P304)</f>
        <v/>
      </c>
    </row>
    <row r="305" ht="15" customHeight="1" s="28">
      <c r="A305" s="44" t="inlineStr">
        <is>
          <t>R-SB-0303</t>
        </is>
      </c>
      <c r="B305" s="45" t="n">
        <v>45863</v>
      </c>
      <c r="C305" s="44" t="inlineStr">
        <is>
          <t>2025-07</t>
        </is>
      </c>
      <c r="D305" s="44" t="n">
        <v>2025</v>
      </c>
      <c r="E305" s="44" t="inlineStr">
        <is>
          <t>P-SB-002</t>
        </is>
      </c>
      <c r="F305" s="44" t="inlineStr">
        <is>
          <t>C-SB-01</t>
        </is>
      </c>
      <c r="G305" s="46" t="inlineStr">
        <is>
          <t>미국</t>
        </is>
      </c>
      <c r="H305" s="44" t="inlineStr">
        <is>
          <t>US</t>
        </is>
      </c>
      <c r="I305" s="47" t="n">
        <v>45688</v>
      </c>
      <c r="J305" s="44" t="inlineStr">
        <is>
          <t>EA</t>
        </is>
      </c>
      <c r="K305" s="48" t="n">
        <v>41.12</v>
      </c>
      <c r="L305" s="48" t="n">
        <v>190962.92</v>
      </c>
      <c r="M305" s="44" t="inlineStr">
        <is>
          <t>USD</t>
        </is>
      </c>
      <c r="N305" s="44" t="inlineStr">
        <is>
          <t>FOB</t>
        </is>
      </c>
      <c r="O305" s="44" t="inlineStr">
        <is>
          <t>N</t>
        </is>
      </c>
      <c r="P305" s="48" t="n">
        <v>1379.2959</v>
      </c>
      <c r="Q305" s="47">
        <f>IF(OR(L305="",M305="",P305=""),"",L305*P305)</f>
        <v/>
      </c>
    </row>
    <row r="306" ht="15" customHeight="1" s="28">
      <c r="A306" s="44" t="inlineStr">
        <is>
          <t>R-SB-0304</t>
        </is>
      </c>
      <c r="B306" s="45" t="n">
        <v>45873</v>
      </c>
      <c r="C306" s="44" t="inlineStr">
        <is>
          <t>2025-08</t>
        </is>
      </c>
      <c r="D306" s="44" t="n">
        <v>2025</v>
      </c>
      <c r="E306" s="44" t="inlineStr">
        <is>
          <t>P-SB-001</t>
        </is>
      </c>
      <c r="F306" s="44" t="inlineStr">
        <is>
          <t>C-SB-04</t>
        </is>
      </c>
      <c r="G306" s="46" t="inlineStr">
        <is>
          <t>인도</t>
        </is>
      </c>
      <c r="H306" s="44" t="inlineStr">
        <is>
          <t>IN</t>
        </is>
      </c>
      <c r="I306" s="47" t="n">
        <v>40607</v>
      </c>
      <c r="J306" s="44" t="inlineStr">
        <is>
          <t>EA</t>
        </is>
      </c>
      <c r="K306" s="48" t="n">
        <v>14.21</v>
      </c>
      <c r="L306" s="48" t="n">
        <v>74104.52</v>
      </c>
      <c r="M306" s="44" t="inlineStr">
        <is>
          <t>USD</t>
        </is>
      </c>
      <c r="N306" s="44" t="inlineStr">
        <is>
          <t>FOB</t>
        </is>
      </c>
      <c r="O306" s="44" t="inlineStr">
        <is>
          <t>N</t>
        </is>
      </c>
      <c r="P306" s="48" t="n">
        <v>1388.999</v>
      </c>
      <c r="Q306" s="47">
        <f>IF(OR(L306="",M306="",P306=""),"",L306*P306)</f>
        <v/>
      </c>
    </row>
    <row r="307" ht="15" customHeight="1" s="28">
      <c r="A307" s="44" t="inlineStr">
        <is>
          <t>R-SB-0305</t>
        </is>
      </c>
      <c r="B307" s="45" t="n">
        <v>45874</v>
      </c>
      <c r="C307" s="44" t="inlineStr">
        <is>
          <t>2025-08</t>
        </is>
      </c>
      <c r="D307" s="44" t="n">
        <v>2025</v>
      </c>
      <c r="E307" s="44" t="inlineStr">
        <is>
          <t>P-SB-002</t>
        </is>
      </c>
      <c r="F307" s="44" t="inlineStr">
        <is>
          <t>C-SB-03</t>
        </is>
      </c>
      <c r="G307" s="46" t="inlineStr">
        <is>
          <t>베트남</t>
        </is>
      </c>
      <c r="H307" s="44" t="inlineStr">
        <is>
          <t>VN</t>
        </is>
      </c>
      <c r="I307" s="47" t="n">
        <v>20482</v>
      </c>
      <c r="J307" s="44" t="inlineStr">
        <is>
          <t>EA</t>
        </is>
      </c>
      <c r="K307" s="48" t="n">
        <v>18.43</v>
      </c>
      <c r="L307" s="48" t="n">
        <v>85283.64</v>
      </c>
      <c r="M307" s="44" t="inlineStr">
        <is>
          <t>USD</t>
        </is>
      </c>
      <c r="N307" s="44" t="inlineStr">
        <is>
          <t>FOB</t>
        </is>
      </c>
      <c r="O307" s="44" t="inlineStr">
        <is>
          <t>N</t>
        </is>
      </c>
      <c r="P307" s="48" t="n">
        <v>1388.999</v>
      </c>
      <c r="Q307" s="47">
        <f>IF(OR(L307="",M307="",P307=""),"",L307*P307)</f>
        <v/>
      </c>
    </row>
    <row r="308" ht="15" customHeight="1" s="28">
      <c r="A308" s="44" t="inlineStr">
        <is>
          <t>R-SB-0306</t>
        </is>
      </c>
      <c r="B308" s="45" t="n">
        <v>45876</v>
      </c>
      <c r="C308" s="44" t="inlineStr">
        <is>
          <t>2025-08</t>
        </is>
      </c>
      <c r="D308" s="44" t="n">
        <v>2025</v>
      </c>
      <c r="E308" s="44" t="inlineStr">
        <is>
          <t>P-SB-001</t>
        </is>
      </c>
      <c r="F308" s="44" t="inlineStr">
        <is>
          <t>C-SB-02</t>
        </is>
      </c>
      <c r="G308" s="46" t="inlineStr">
        <is>
          <t>멕시코</t>
        </is>
      </c>
      <c r="H308" s="44" t="inlineStr">
        <is>
          <t>MX</t>
        </is>
      </c>
      <c r="I308" s="47" t="n">
        <v>80842</v>
      </c>
      <c r="J308" s="44" t="inlineStr">
        <is>
          <t>EA</t>
        </is>
      </c>
      <c r="K308" s="48" t="n">
        <v>28.29</v>
      </c>
      <c r="L308" s="48" t="n">
        <v>146696.51</v>
      </c>
      <c r="M308" s="44" t="inlineStr">
        <is>
          <t>USD</t>
        </is>
      </c>
      <c r="N308" s="44" t="inlineStr">
        <is>
          <t>FOB</t>
        </is>
      </c>
      <c r="O308" s="44" t="inlineStr">
        <is>
          <t>N</t>
        </is>
      </c>
      <c r="P308" s="48" t="n">
        <v>1388.999</v>
      </c>
      <c r="Q308" s="47">
        <f>IF(OR(L308="",M308="",P308=""),"",L308*P308)</f>
        <v/>
      </c>
    </row>
    <row r="309" ht="15" customHeight="1" s="28">
      <c r="A309" s="44" t="inlineStr">
        <is>
          <t>R-SB-0307</t>
        </is>
      </c>
      <c r="B309" s="45" t="n">
        <v>45880</v>
      </c>
      <c r="C309" s="44" t="inlineStr">
        <is>
          <t>2025-08</t>
        </is>
      </c>
      <c r="D309" s="44" t="n">
        <v>2025</v>
      </c>
      <c r="E309" s="44" t="inlineStr">
        <is>
          <t>P-SB-003</t>
        </is>
      </c>
      <c r="F309" s="44" t="inlineStr">
        <is>
          <t>C-SB-04</t>
        </is>
      </c>
      <c r="G309" s="46" t="inlineStr">
        <is>
          <t>인도</t>
        </is>
      </c>
      <c r="H309" s="44" t="inlineStr">
        <is>
          <t>IN</t>
        </is>
      </c>
      <c r="I309" s="47" t="n">
        <v>15936</v>
      </c>
      <c r="J309" s="44" t="inlineStr">
        <is>
          <t>EA</t>
        </is>
      </c>
      <c r="K309" s="48" t="n">
        <v>3.98</v>
      </c>
      <c r="L309" s="48" t="n">
        <v>14686.15</v>
      </c>
      <c r="M309" s="44" t="inlineStr">
        <is>
          <t>USD</t>
        </is>
      </c>
      <c r="N309" s="44" t="inlineStr">
        <is>
          <t>FOB</t>
        </is>
      </c>
      <c r="O309" s="44" t="inlineStr">
        <is>
          <t>N</t>
        </is>
      </c>
      <c r="P309" s="48" t="n">
        <v>1388.999</v>
      </c>
      <c r="Q309" s="47">
        <f>IF(OR(L309="",M309="",P309=""),"",L309*P309)</f>
        <v/>
      </c>
    </row>
    <row r="310" ht="15" customHeight="1" s="28">
      <c r="A310" s="44" t="inlineStr">
        <is>
          <t>R-SB-0308</t>
        </is>
      </c>
      <c r="B310" s="45" t="n">
        <v>45881</v>
      </c>
      <c r="C310" s="44" t="inlineStr">
        <is>
          <t>2025-08</t>
        </is>
      </c>
      <c r="D310" s="44" t="n">
        <v>2025</v>
      </c>
      <c r="E310" s="44" t="inlineStr">
        <is>
          <t>P-SB-001</t>
        </is>
      </c>
      <c r="F310" s="44" t="inlineStr">
        <is>
          <t>C-SB-03</t>
        </is>
      </c>
      <c r="G310" s="46" t="inlineStr">
        <is>
          <t>베트남</t>
        </is>
      </c>
      <c r="H310" s="44" t="inlineStr">
        <is>
          <t>VN</t>
        </is>
      </c>
      <c r="I310" s="47" t="n">
        <v>84580</v>
      </c>
      <c r="J310" s="44" t="inlineStr">
        <is>
          <t>EA</t>
        </is>
      </c>
      <c r="K310" s="48" t="n">
        <v>29.6</v>
      </c>
      <c r="L310" s="48" t="n">
        <v>151290.42</v>
      </c>
      <c r="M310" s="44" t="inlineStr">
        <is>
          <t>USD</t>
        </is>
      </c>
      <c r="N310" s="44" t="inlineStr">
        <is>
          <t>FOB</t>
        </is>
      </c>
      <c r="O310" s="44" t="inlineStr">
        <is>
          <t>N</t>
        </is>
      </c>
      <c r="P310" s="48" t="n">
        <v>1388.999</v>
      </c>
      <c r="Q310" s="47">
        <f>IF(OR(L310="",M310="",P310=""),"",L310*P310)</f>
        <v/>
      </c>
    </row>
    <row r="311" ht="15" customHeight="1" s="28">
      <c r="A311" s="44" t="inlineStr">
        <is>
          <t>R-SB-0309</t>
        </is>
      </c>
      <c r="B311" s="45" t="n">
        <v>45884</v>
      </c>
      <c r="C311" s="44" t="inlineStr">
        <is>
          <t>2025-08</t>
        </is>
      </c>
      <c r="D311" s="44" t="n">
        <v>2025</v>
      </c>
      <c r="E311" s="44" t="inlineStr">
        <is>
          <t>P-SB-001</t>
        </is>
      </c>
      <c r="F311" s="44" t="inlineStr">
        <is>
          <t>C-SB-01</t>
        </is>
      </c>
      <c r="G311" s="46" t="inlineStr">
        <is>
          <t>미국</t>
        </is>
      </c>
      <c r="H311" s="44" t="inlineStr">
        <is>
          <t>US</t>
        </is>
      </c>
      <c r="I311" s="47" t="n">
        <v>199954</v>
      </c>
      <c r="J311" s="44" t="inlineStr">
        <is>
          <t>EA</t>
        </is>
      </c>
      <c r="K311" s="48" t="n">
        <v>69.98</v>
      </c>
      <c r="L311" s="48" t="n">
        <v>369672.25</v>
      </c>
      <c r="M311" s="44" t="inlineStr">
        <is>
          <t>USD</t>
        </is>
      </c>
      <c r="N311" s="44" t="inlineStr">
        <is>
          <t>FOB</t>
        </is>
      </c>
      <c r="O311" s="44" t="inlineStr">
        <is>
          <t>N</t>
        </is>
      </c>
      <c r="P311" s="48" t="n">
        <v>1388.999</v>
      </c>
      <c r="Q311" s="47">
        <f>IF(OR(L311="",M311="",P311=""),"",L311*P311)</f>
        <v/>
      </c>
    </row>
    <row r="312" ht="15" customHeight="1" s="28">
      <c r="A312" s="44" t="inlineStr">
        <is>
          <t>R-SB-0310</t>
        </is>
      </c>
      <c r="B312" s="45" t="n">
        <v>45884</v>
      </c>
      <c r="C312" s="44" t="inlineStr">
        <is>
          <t>2025-08</t>
        </is>
      </c>
      <c r="D312" s="44" t="n">
        <v>2025</v>
      </c>
      <c r="E312" s="44" t="inlineStr">
        <is>
          <t>P-SB-002</t>
        </is>
      </c>
      <c r="F312" s="44" t="inlineStr">
        <is>
          <t>C-SB-02</t>
        </is>
      </c>
      <c r="G312" s="46" t="inlineStr">
        <is>
          <t>멕시코</t>
        </is>
      </c>
      <c r="H312" s="44" t="inlineStr">
        <is>
          <t>MX</t>
        </is>
      </c>
      <c r="I312" s="47" t="n">
        <v>25049</v>
      </c>
      <c r="J312" s="44" t="inlineStr">
        <is>
          <t>EA</t>
        </is>
      </c>
      <c r="K312" s="48" t="n">
        <v>22.54</v>
      </c>
      <c r="L312" s="48" t="n">
        <v>96109.09</v>
      </c>
      <c r="M312" s="44" t="inlineStr">
        <is>
          <t>USD</t>
        </is>
      </c>
      <c r="N312" s="44" t="inlineStr">
        <is>
          <t>FOB</t>
        </is>
      </c>
      <c r="O312" s="44" t="inlineStr">
        <is>
          <t>N</t>
        </is>
      </c>
      <c r="P312" s="48" t="n">
        <v>1388.999</v>
      </c>
      <c r="Q312" s="47">
        <f>IF(OR(L312="",M312="",P312=""),"",L312*P312)</f>
        <v/>
      </c>
    </row>
    <row r="313" ht="15" customHeight="1" s="28">
      <c r="A313" s="44" t="inlineStr">
        <is>
          <t>R-SB-0311</t>
        </is>
      </c>
      <c r="B313" s="45" t="n">
        <v>45889</v>
      </c>
      <c r="C313" s="44" t="inlineStr">
        <is>
          <t>2025-08</t>
        </is>
      </c>
      <c r="D313" s="44" t="n">
        <v>2025</v>
      </c>
      <c r="E313" s="44" t="inlineStr">
        <is>
          <t>P-SB-002</t>
        </is>
      </c>
      <c r="F313" s="44" t="inlineStr">
        <is>
          <t>C-SB-01</t>
        </is>
      </c>
      <c r="G313" s="46" t="inlineStr">
        <is>
          <t>미국</t>
        </is>
      </c>
      <c r="H313" s="44" t="inlineStr">
        <is>
          <t>US</t>
        </is>
      </c>
      <c r="I313" s="47" t="n">
        <v>45313</v>
      </c>
      <c r="J313" s="44" t="inlineStr">
        <is>
          <t>EA</t>
        </is>
      </c>
      <c r="K313" s="48" t="n">
        <v>40.78</v>
      </c>
      <c r="L313" s="48" t="n">
        <v>175905.64</v>
      </c>
      <c r="M313" s="44" t="inlineStr">
        <is>
          <t>USD</t>
        </is>
      </c>
      <c r="N313" s="44" t="inlineStr">
        <is>
          <t>FOB</t>
        </is>
      </c>
      <c r="O313" s="44" t="inlineStr">
        <is>
          <t>N</t>
        </is>
      </c>
      <c r="P313" s="48" t="n">
        <v>1388.999</v>
      </c>
      <c r="Q313" s="47">
        <f>IF(OR(L313="",M313="",P313=""),"",L313*P313)</f>
        <v/>
      </c>
    </row>
    <row r="314" ht="15" customHeight="1" s="28">
      <c r="A314" s="44" t="inlineStr">
        <is>
          <t>R-SB-0312</t>
        </is>
      </c>
      <c r="B314" s="45" t="n">
        <v>45890</v>
      </c>
      <c r="C314" s="44" t="inlineStr">
        <is>
          <t>2025-08</t>
        </is>
      </c>
      <c r="D314" s="44" t="n">
        <v>2025</v>
      </c>
      <c r="E314" s="44" t="inlineStr">
        <is>
          <t>P-SB-002</t>
        </is>
      </c>
      <c r="F314" s="44" t="inlineStr">
        <is>
          <t>C-SB-04</t>
        </is>
      </c>
      <c r="G314" s="46" t="inlineStr">
        <is>
          <t>인도</t>
        </is>
      </c>
      <c r="H314" s="44" t="inlineStr">
        <is>
          <t>IN</t>
        </is>
      </c>
      <c r="I314" s="47" t="n">
        <v>7580</v>
      </c>
      <c r="J314" s="44" t="inlineStr">
        <is>
          <t>EA</t>
        </is>
      </c>
      <c r="K314" s="48" t="n">
        <v>6.82</v>
      </c>
      <c r="L314" s="48" t="n">
        <v>29674.23</v>
      </c>
      <c r="M314" s="44" t="inlineStr">
        <is>
          <t>USD</t>
        </is>
      </c>
      <c r="N314" s="44" t="inlineStr">
        <is>
          <t>FOB</t>
        </is>
      </c>
      <c r="O314" s="44" t="inlineStr">
        <is>
          <t>N</t>
        </is>
      </c>
      <c r="P314" s="48" t="n">
        <v>1388.999</v>
      </c>
      <c r="Q314" s="47">
        <f>IF(OR(L314="",M314="",P314=""),"",L314*P314)</f>
        <v/>
      </c>
    </row>
    <row r="315" ht="15" customHeight="1" s="28">
      <c r="A315" s="44" t="inlineStr">
        <is>
          <t>R-SB-0313</t>
        </is>
      </c>
      <c r="B315" s="45" t="n">
        <v>45893</v>
      </c>
      <c r="C315" s="44" t="inlineStr">
        <is>
          <t>2025-08</t>
        </is>
      </c>
      <c r="D315" s="44" t="n">
        <v>2025</v>
      </c>
      <c r="E315" s="44" t="inlineStr">
        <is>
          <t>P-SB-003</t>
        </is>
      </c>
      <c r="F315" s="44" t="inlineStr">
        <is>
          <t>C-SB-01</t>
        </is>
      </c>
      <c r="G315" s="46" t="inlineStr">
        <is>
          <t>미국</t>
        </is>
      </c>
      <c r="H315" s="44" t="inlineStr">
        <is>
          <t>US</t>
        </is>
      </c>
      <c r="I315" s="47" t="n">
        <v>90056</v>
      </c>
      <c r="J315" s="44" t="inlineStr">
        <is>
          <t>EA</t>
        </is>
      </c>
      <c r="K315" s="48" t="n">
        <v>22.51</v>
      </c>
      <c r="L315" s="48" t="n">
        <v>82085.86</v>
      </c>
      <c r="M315" s="44" t="inlineStr">
        <is>
          <t>USD</t>
        </is>
      </c>
      <c r="N315" s="44" t="inlineStr">
        <is>
          <t>FOB</t>
        </is>
      </c>
      <c r="O315" s="44" t="inlineStr">
        <is>
          <t>N</t>
        </is>
      </c>
      <c r="P315" s="48" t="n">
        <v>1388.999</v>
      </c>
      <c r="Q315" s="47">
        <f>IF(OR(L315="",M315="",P315=""),"",L315*P315)</f>
        <v/>
      </c>
    </row>
    <row r="316" ht="15" customHeight="1" s="28">
      <c r="A316" s="44" t="inlineStr">
        <is>
          <t>R-SB-0314</t>
        </is>
      </c>
      <c r="B316" s="45" t="n">
        <v>45895</v>
      </c>
      <c r="C316" s="44" t="inlineStr">
        <is>
          <t>2025-08</t>
        </is>
      </c>
      <c r="D316" s="44" t="n">
        <v>2025</v>
      </c>
      <c r="E316" s="44" t="inlineStr">
        <is>
          <t>P-SB-003</t>
        </is>
      </c>
      <c r="F316" s="44" t="inlineStr">
        <is>
          <t>C-SB-02</t>
        </is>
      </c>
      <c r="G316" s="46" t="inlineStr">
        <is>
          <t>멕시코</t>
        </is>
      </c>
      <c r="H316" s="44" t="inlineStr">
        <is>
          <t>MX</t>
        </is>
      </c>
      <c r="I316" s="47" t="n">
        <v>52851</v>
      </c>
      <c r="J316" s="44" t="inlineStr">
        <is>
          <t>EA</t>
        </is>
      </c>
      <c r="K316" s="48" t="n">
        <v>13.21</v>
      </c>
      <c r="L316" s="48" t="n">
        <v>48318.67</v>
      </c>
      <c r="M316" s="44" t="inlineStr">
        <is>
          <t>USD</t>
        </is>
      </c>
      <c r="N316" s="44" t="inlineStr">
        <is>
          <t>FOB</t>
        </is>
      </c>
      <c r="O316" s="44" t="inlineStr">
        <is>
          <t>N</t>
        </is>
      </c>
      <c r="P316" s="48" t="n">
        <v>1388.999</v>
      </c>
      <c r="Q316" s="47">
        <f>IF(OR(L316="",M316="",P316=""),"",L316*P316)</f>
        <v/>
      </c>
    </row>
    <row r="317" ht="15" customHeight="1" s="28">
      <c r="A317" s="44" t="inlineStr">
        <is>
          <t>R-SB-0315</t>
        </is>
      </c>
      <c r="B317" s="45" t="n">
        <v>45908</v>
      </c>
      <c r="C317" s="44" t="inlineStr">
        <is>
          <t>2025-09</t>
        </is>
      </c>
      <c r="D317" s="44" t="n">
        <v>2025</v>
      </c>
      <c r="E317" s="44" t="inlineStr">
        <is>
          <t>P-SB-003</t>
        </is>
      </c>
      <c r="F317" s="44" t="inlineStr">
        <is>
          <t>C-SB-01</t>
        </is>
      </c>
      <c r="G317" s="46" t="inlineStr">
        <is>
          <t>미국</t>
        </is>
      </c>
      <c r="H317" s="44" t="inlineStr">
        <is>
          <t>US</t>
        </is>
      </c>
      <c r="I317" s="47" t="n">
        <v>95799</v>
      </c>
      <c r="J317" s="44" t="inlineStr">
        <is>
          <t>EA</t>
        </is>
      </c>
      <c r="K317" s="48" t="n">
        <v>23.95</v>
      </c>
      <c r="L317" s="48" t="n">
        <v>84875.27</v>
      </c>
      <c r="M317" s="44" t="inlineStr">
        <is>
          <t>USD</t>
        </is>
      </c>
      <c r="N317" s="44" t="inlineStr">
        <is>
          <t>FOB</t>
        </is>
      </c>
      <c r="O317" s="44" t="inlineStr">
        <is>
          <t>N</t>
        </is>
      </c>
      <c r="P317" s="48" t="n">
        <v>1392.9052</v>
      </c>
      <c r="Q317" s="47">
        <f>IF(OR(L317="",M317="",P317=""),"",L317*P317)</f>
        <v/>
      </c>
    </row>
    <row r="318" ht="15" customHeight="1" s="28">
      <c r="A318" s="44" t="inlineStr">
        <is>
          <t>R-SB-0316</t>
        </is>
      </c>
      <c r="B318" s="45" t="n">
        <v>45909</v>
      </c>
      <c r="C318" s="44" t="inlineStr">
        <is>
          <t>2025-09</t>
        </is>
      </c>
      <c r="D318" s="44" t="n">
        <v>2025</v>
      </c>
      <c r="E318" s="44" t="inlineStr">
        <is>
          <t>P-SB-002</t>
        </is>
      </c>
      <c r="F318" s="44" t="inlineStr">
        <is>
          <t>C-SB-04</t>
        </is>
      </c>
      <c r="G318" s="46" t="inlineStr">
        <is>
          <t>인도</t>
        </is>
      </c>
      <c r="H318" s="44" t="inlineStr">
        <is>
          <t>IN</t>
        </is>
      </c>
      <c r="I318" s="47" t="n">
        <v>11006</v>
      </c>
      <c r="J318" s="44" t="inlineStr">
        <is>
          <t>EA</t>
        </is>
      </c>
      <c r="K318" s="48" t="n">
        <v>9.91</v>
      </c>
      <c r="L318" s="48" t="n">
        <v>42115.27</v>
      </c>
      <c r="M318" s="44" t="inlineStr">
        <is>
          <t>USD</t>
        </is>
      </c>
      <c r="N318" s="44" t="inlineStr">
        <is>
          <t>FOB</t>
        </is>
      </c>
      <c r="O318" s="44" t="inlineStr">
        <is>
          <t>N</t>
        </is>
      </c>
      <c r="P318" s="48" t="n">
        <v>1392.9052</v>
      </c>
      <c r="Q318" s="47">
        <f>IF(OR(L318="",M318="",P318=""),"",L318*P318)</f>
        <v/>
      </c>
    </row>
    <row r="319" ht="15" customHeight="1" s="28">
      <c r="A319" s="44" t="inlineStr">
        <is>
          <t>R-SB-0317</t>
        </is>
      </c>
      <c r="B319" s="45" t="n">
        <v>45916</v>
      </c>
      <c r="C319" s="44" t="inlineStr">
        <is>
          <t>2025-09</t>
        </is>
      </c>
      <c r="D319" s="44" t="n">
        <v>2025</v>
      </c>
      <c r="E319" s="44" t="inlineStr">
        <is>
          <t>P-SB-002</t>
        </is>
      </c>
      <c r="F319" s="44" t="inlineStr">
        <is>
          <t>C-SB-02</t>
        </is>
      </c>
      <c r="G319" s="46" t="inlineStr">
        <is>
          <t>멕시코</t>
        </is>
      </c>
      <c r="H319" s="44" t="inlineStr">
        <is>
          <t>MX</t>
        </is>
      </c>
      <c r="I319" s="47" t="n">
        <v>28624</v>
      </c>
      <c r="J319" s="44" t="inlineStr">
        <is>
          <t>EA</t>
        </is>
      </c>
      <c r="K319" s="48" t="n">
        <v>25.76</v>
      </c>
      <c r="L319" s="48" t="n">
        <v>118922.3</v>
      </c>
      <c r="M319" s="44" t="inlineStr">
        <is>
          <t>USD</t>
        </is>
      </c>
      <c r="N319" s="44" t="inlineStr">
        <is>
          <t>FOB</t>
        </is>
      </c>
      <c r="O319" s="44" t="inlineStr">
        <is>
          <t>N</t>
        </is>
      </c>
      <c r="P319" s="48" t="n">
        <v>1392.9052</v>
      </c>
      <c r="Q319" s="47">
        <f>IF(OR(L319="",M319="",P319=""),"",L319*P319)</f>
        <v/>
      </c>
    </row>
    <row r="320" ht="15" customHeight="1" s="28">
      <c r="A320" s="44" t="inlineStr">
        <is>
          <t>R-SB-0318</t>
        </is>
      </c>
      <c r="B320" s="45" t="n">
        <v>45917</v>
      </c>
      <c r="C320" s="44" t="inlineStr">
        <is>
          <t>2025-09</t>
        </is>
      </c>
      <c r="D320" s="44" t="n">
        <v>2025</v>
      </c>
      <c r="E320" s="44" t="inlineStr">
        <is>
          <t>P-SB-003</t>
        </is>
      </c>
      <c r="F320" s="44" t="inlineStr">
        <is>
          <t>C-SB-04</t>
        </is>
      </c>
      <c r="G320" s="46" t="inlineStr">
        <is>
          <t>인도</t>
        </is>
      </c>
      <c r="H320" s="44" t="inlineStr">
        <is>
          <t>IN</t>
        </is>
      </c>
      <c r="I320" s="47" t="n">
        <v>17628</v>
      </c>
      <c r="J320" s="44" t="inlineStr">
        <is>
          <t>EA</t>
        </is>
      </c>
      <c r="K320" s="48" t="n">
        <v>4.41</v>
      </c>
      <c r="L320" s="48" t="n">
        <v>15803.96</v>
      </c>
      <c r="M320" s="44" t="inlineStr">
        <is>
          <t>USD</t>
        </is>
      </c>
      <c r="N320" s="44" t="inlineStr">
        <is>
          <t>FOB</t>
        </is>
      </c>
      <c r="O320" s="44" t="inlineStr">
        <is>
          <t>N</t>
        </is>
      </c>
      <c r="P320" s="48" t="n">
        <v>1392.9052</v>
      </c>
      <c r="Q320" s="47">
        <f>IF(OR(L320="",M320="",P320=""),"",L320*P320)</f>
        <v/>
      </c>
    </row>
    <row r="321" ht="15" customHeight="1" s="28">
      <c r="A321" s="44" t="inlineStr">
        <is>
          <t>R-SB-0319</t>
        </is>
      </c>
      <c r="B321" s="45" t="n">
        <v>45918</v>
      </c>
      <c r="C321" s="44" t="inlineStr">
        <is>
          <t>2025-09</t>
        </is>
      </c>
      <c r="D321" s="44" t="n">
        <v>2025</v>
      </c>
      <c r="E321" s="44" t="inlineStr">
        <is>
          <t>P-SB-001</t>
        </is>
      </c>
      <c r="F321" s="44" t="inlineStr">
        <is>
          <t>C-SB-01</t>
        </is>
      </c>
      <c r="G321" s="46" t="inlineStr">
        <is>
          <t>미국</t>
        </is>
      </c>
      <c r="H321" s="44" t="inlineStr">
        <is>
          <t>US</t>
        </is>
      </c>
      <c r="I321" s="47" t="n">
        <v>142380</v>
      </c>
      <c r="J321" s="44" t="inlineStr">
        <is>
          <t>EA</t>
        </is>
      </c>
      <c r="K321" s="48" t="n">
        <v>49.83</v>
      </c>
      <c r="L321" s="48" t="n">
        <v>260751.4</v>
      </c>
      <c r="M321" s="44" t="inlineStr">
        <is>
          <t>USD</t>
        </is>
      </c>
      <c r="N321" s="44" t="inlineStr">
        <is>
          <t>FOB</t>
        </is>
      </c>
      <c r="O321" s="44" t="inlineStr">
        <is>
          <t>N</t>
        </is>
      </c>
      <c r="P321" s="48" t="n">
        <v>1392.9052</v>
      </c>
      <c r="Q321" s="47">
        <f>IF(OR(L321="",M321="",P321=""),"",L321*P321)</f>
        <v/>
      </c>
    </row>
    <row r="322" ht="15" customHeight="1" s="28">
      <c r="A322" s="44" t="inlineStr">
        <is>
          <t>R-SB-0320</t>
        </is>
      </c>
      <c r="B322" s="45" t="n">
        <v>45921</v>
      </c>
      <c r="C322" s="44" t="inlineStr">
        <is>
          <t>2025-09</t>
        </is>
      </c>
      <c r="D322" s="44" t="n">
        <v>2025</v>
      </c>
      <c r="E322" s="49" t="n"/>
      <c r="F322" s="44" t="inlineStr">
        <is>
          <t>C-SB-03</t>
        </is>
      </c>
      <c r="G322" s="46" t="inlineStr">
        <is>
          <t>베트남</t>
        </is>
      </c>
      <c r="H322" s="44" t="inlineStr">
        <is>
          <t>VN</t>
        </is>
      </c>
      <c r="I322" s="47" t="n">
        <v>69574</v>
      </c>
      <c r="J322" s="44" t="inlineStr">
        <is>
          <t>EA</t>
        </is>
      </c>
      <c r="K322" s="48" t="n">
        <v>24.35</v>
      </c>
      <c r="L322" s="48" t="n">
        <v>121717.95</v>
      </c>
      <c r="M322" s="44" t="inlineStr">
        <is>
          <t>USD</t>
        </is>
      </c>
      <c r="N322" s="44" t="inlineStr">
        <is>
          <t>FOB</t>
        </is>
      </c>
      <c r="O322" s="44" t="inlineStr">
        <is>
          <t>N</t>
        </is>
      </c>
      <c r="P322" s="48" t="n">
        <v>1392.9052</v>
      </c>
      <c r="Q322" s="47">
        <f>IF(OR(L322="",M322="",P322=""),"",L322*P322)</f>
        <v/>
      </c>
    </row>
    <row r="323" ht="15" customHeight="1" s="28">
      <c r="A323" s="44" t="inlineStr">
        <is>
          <t>R-SB-0321</t>
        </is>
      </c>
      <c r="B323" s="45" t="n">
        <v>45921</v>
      </c>
      <c r="C323" s="44" t="inlineStr">
        <is>
          <t>2025-09</t>
        </is>
      </c>
      <c r="D323" s="44" t="n">
        <v>2025</v>
      </c>
      <c r="E323" s="44" t="inlineStr">
        <is>
          <t>P-SB-002</t>
        </is>
      </c>
      <c r="F323" s="44" t="inlineStr">
        <is>
          <t>C-SB-03</t>
        </is>
      </c>
      <c r="G323" s="46" t="inlineStr">
        <is>
          <t>베트남</t>
        </is>
      </c>
      <c r="H323" s="44" t="inlineStr">
        <is>
          <t>VN</t>
        </is>
      </c>
      <c r="I323" s="47" t="n">
        <v>19642</v>
      </c>
      <c r="J323" s="44" t="inlineStr">
        <is>
          <t>EA</t>
        </is>
      </c>
      <c r="K323" s="48" t="n">
        <v>17.68</v>
      </c>
      <c r="L323" s="48" t="n">
        <v>78333.25</v>
      </c>
      <c r="M323" s="44" t="inlineStr">
        <is>
          <t>USD</t>
        </is>
      </c>
      <c r="N323" s="44" t="inlineStr">
        <is>
          <t>FOB</t>
        </is>
      </c>
      <c r="O323" s="44" t="inlineStr">
        <is>
          <t>N</t>
        </is>
      </c>
      <c r="P323" s="48" t="n">
        <v>1392.9052</v>
      </c>
      <c r="Q323" s="47">
        <f>IF(OR(L323="",M323="",P323=""),"",L323*P323)</f>
        <v/>
      </c>
    </row>
    <row r="324" ht="15" customHeight="1" s="28">
      <c r="A324" s="44" t="inlineStr">
        <is>
          <t>R-SB-0322</t>
        </is>
      </c>
      <c r="B324" s="45" t="n">
        <v>45923</v>
      </c>
      <c r="C324" s="44" t="inlineStr">
        <is>
          <t>2025-09</t>
        </is>
      </c>
      <c r="D324" s="44" t="n">
        <v>2025</v>
      </c>
      <c r="E324" s="44" t="inlineStr">
        <is>
          <t>P-SB-003</t>
        </is>
      </c>
      <c r="F324" s="44" t="inlineStr">
        <is>
          <t>C-SB-03</t>
        </is>
      </c>
      <c r="G324" s="46" t="inlineStr">
        <is>
          <t>베트남</t>
        </is>
      </c>
      <c r="H324" s="44" t="inlineStr">
        <is>
          <t>VN</t>
        </is>
      </c>
      <c r="I324" s="47" t="n">
        <v>44494</v>
      </c>
      <c r="J324" s="44" t="inlineStr">
        <is>
          <t>EA</t>
        </is>
      </c>
      <c r="K324" s="48" t="n">
        <v>11.12</v>
      </c>
      <c r="L324" s="48" t="n">
        <v>39876.61</v>
      </c>
      <c r="M324" s="44" t="inlineStr">
        <is>
          <t>USD</t>
        </is>
      </c>
      <c r="N324" s="44" t="inlineStr">
        <is>
          <t>FOB</t>
        </is>
      </c>
      <c r="O324" s="44" t="inlineStr">
        <is>
          <t>N</t>
        </is>
      </c>
      <c r="P324" s="48" t="n">
        <v>1392.9052</v>
      </c>
      <c r="Q324" s="47">
        <f>IF(OR(L324="",M324="",P324=""),"",L324*P324)</f>
        <v/>
      </c>
    </row>
    <row r="325" ht="15" customHeight="1" s="28">
      <c r="A325" s="44" t="inlineStr">
        <is>
          <t>R-SB-0323</t>
        </is>
      </c>
      <c r="B325" s="45" t="n">
        <v>45923</v>
      </c>
      <c r="C325" s="44" t="inlineStr">
        <is>
          <t>2025-09</t>
        </is>
      </c>
      <c r="D325" s="44" t="n">
        <v>2025</v>
      </c>
      <c r="E325" s="44" t="inlineStr">
        <is>
          <t>P-SB-001</t>
        </is>
      </c>
      <c r="F325" s="44" t="inlineStr">
        <is>
          <t>C-SB-04</t>
        </is>
      </c>
      <c r="G325" s="46" t="inlineStr">
        <is>
          <t>인도</t>
        </is>
      </c>
      <c r="H325" s="44" t="inlineStr">
        <is>
          <t>IN</t>
        </is>
      </c>
      <c r="I325" s="47" t="n">
        <v>45396</v>
      </c>
      <c r="J325" s="44" t="inlineStr">
        <is>
          <t>EA</t>
        </is>
      </c>
      <c r="K325" s="48" t="n">
        <v>15.89</v>
      </c>
      <c r="L325" s="48" t="n">
        <v>85705.28</v>
      </c>
      <c r="M325" s="44" t="inlineStr">
        <is>
          <t>USD</t>
        </is>
      </c>
      <c r="N325" s="44" t="inlineStr">
        <is>
          <t>FOB</t>
        </is>
      </c>
      <c r="O325" s="44" t="inlineStr">
        <is>
          <t>N</t>
        </is>
      </c>
      <c r="P325" s="48" t="n">
        <v>1392.9052</v>
      </c>
      <c r="Q325" s="47">
        <f>IF(OR(L325="",M325="",P325=""),"",L325*P325)</f>
        <v/>
      </c>
    </row>
    <row r="326" ht="15" customHeight="1" s="28">
      <c r="A326" s="44" t="inlineStr">
        <is>
          <t>R-SB-0324</t>
        </is>
      </c>
      <c r="B326" s="45" t="n">
        <v>45925</v>
      </c>
      <c r="C326" s="44" t="inlineStr">
        <is>
          <t>2025-09</t>
        </is>
      </c>
      <c r="D326" s="44" t="n">
        <v>2025</v>
      </c>
      <c r="E326" s="44" t="inlineStr">
        <is>
          <t>P-SB-002</t>
        </is>
      </c>
      <c r="F326" s="44" t="inlineStr">
        <is>
          <t>C-SB-01</t>
        </is>
      </c>
      <c r="G326" s="46" t="inlineStr">
        <is>
          <t>미국</t>
        </is>
      </c>
      <c r="H326" s="44" t="inlineStr">
        <is>
          <t>US</t>
        </is>
      </c>
      <c r="I326" s="47" t="n">
        <v>40238</v>
      </c>
      <c r="J326" s="44" t="inlineStr">
        <is>
          <t>EA</t>
        </is>
      </c>
      <c r="K326" s="48" t="n">
        <v>36.21</v>
      </c>
      <c r="L326" s="48" t="n">
        <v>162758.8</v>
      </c>
      <c r="M326" s="44" t="inlineStr">
        <is>
          <t>USD</t>
        </is>
      </c>
      <c r="N326" s="44" t="inlineStr">
        <is>
          <t>FOB</t>
        </is>
      </c>
      <c r="O326" s="44" t="inlineStr">
        <is>
          <t>N</t>
        </is>
      </c>
      <c r="P326" s="48" t="n">
        <v>1392.9052</v>
      </c>
      <c r="Q326" s="47">
        <f>IF(OR(L326="",M326="",P326=""),"",L326*P326)</f>
        <v/>
      </c>
    </row>
    <row r="327" ht="15" customHeight="1" s="28">
      <c r="A327" s="44" t="inlineStr">
        <is>
          <t>R-SB-0325</t>
        </is>
      </c>
      <c r="B327" s="45" t="n">
        <v>45925</v>
      </c>
      <c r="C327" s="44" t="inlineStr">
        <is>
          <t>2025-09</t>
        </is>
      </c>
      <c r="D327" s="44" t="n">
        <v>2025</v>
      </c>
      <c r="E327" s="44" t="inlineStr">
        <is>
          <t>P-SB-001</t>
        </is>
      </c>
      <c r="F327" s="44" t="inlineStr">
        <is>
          <t>C-SB-02</t>
        </is>
      </c>
      <c r="G327" s="46" t="inlineStr">
        <is>
          <t>멕시코</t>
        </is>
      </c>
      <c r="H327" s="44" t="inlineStr">
        <is>
          <t>MX</t>
        </is>
      </c>
      <c r="I327" s="47" t="n">
        <v>79340</v>
      </c>
      <c r="J327" s="44" t="inlineStr">
        <is>
          <t>EA</t>
        </is>
      </c>
      <c r="K327" s="48" t="n">
        <v>27.77</v>
      </c>
      <c r="L327" s="48" t="n">
        <v>136830.54</v>
      </c>
      <c r="M327" s="44" t="inlineStr">
        <is>
          <t>USD</t>
        </is>
      </c>
      <c r="N327" s="44" t="inlineStr">
        <is>
          <t>FOB</t>
        </is>
      </c>
      <c r="O327" s="44" t="inlineStr">
        <is>
          <t>N</t>
        </is>
      </c>
      <c r="P327" s="48" t="n">
        <v>1392.9052</v>
      </c>
      <c r="Q327" s="47">
        <f>IF(OR(L327="",M327="",P327=""),"",L327*P327)</f>
        <v/>
      </c>
    </row>
    <row r="328" ht="15" customHeight="1" s="28">
      <c r="A328" s="44" t="inlineStr">
        <is>
          <t>R-SB-0326</t>
        </is>
      </c>
      <c r="B328" s="45" t="n">
        <v>45935</v>
      </c>
      <c r="C328" s="44" t="inlineStr">
        <is>
          <t>2025-10</t>
        </is>
      </c>
      <c r="D328" s="44" t="n">
        <v>2025</v>
      </c>
      <c r="E328" s="44" t="inlineStr">
        <is>
          <t>P-SB-001</t>
        </is>
      </c>
      <c r="F328" s="44" t="inlineStr">
        <is>
          <t>C-SB-02</t>
        </is>
      </c>
      <c r="G328" s="46" t="inlineStr">
        <is>
          <t>멕시코</t>
        </is>
      </c>
      <c r="H328" s="44" t="inlineStr">
        <is>
          <t>MX</t>
        </is>
      </c>
      <c r="I328" s="47" t="n">
        <v>84742</v>
      </c>
      <c r="J328" s="44" t="inlineStr">
        <is>
          <t>EA</t>
        </is>
      </c>
      <c r="K328" s="48" t="n">
        <v>29.66</v>
      </c>
      <c r="L328" s="48" t="n">
        <v>150623.58</v>
      </c>
      <c r="M328" s="44" t="inlineStr">
        <is>
          <t>USD</t>
        </is>
      </c>
      <c r="N328" s="44" t="inlineStr">
        <is>
          <t>FOB</t>
        </is>
      </c>
      <c r="O328" s="44" t="inlineStr">
        <is>
          <t>N</t>
        </is>
      </c>
      <c r="P328" s="48" t="n">
        <v>1423.0795</v>
      </c>
      <c r="Q328" s="47">
        <f>IF(OR(L328="",M328="",P328=""),"",L328*P328)</f>
        <v/>
      </c>
    </row>
    <row r="329" ht="15" customHeight="1" s="28">
      <c r="A329" s="44" t="inlineStr">
        <is>
          <t>R-SB-0327</t>
        </is>
      </c>
      <c r="B329" s="45" t="n">
        <v>45935</v>
      </c>
      <c r="C329" s="44" t="inlineStr">
        <is>
          <t>2025-10</t>
        </is>
      </c>
      <c r="D329" s="44" t="n">
        <v>2025</v>
      </c>
      <c r="E329" s="44" t="inlineStr">
        <is>
          <t>P-SB-002</t>
        </is>
      </c>
      <c r="F329" s="44" t="inlineStr">
        <is>
          <t>C-SB-03</t>
        </is>
      </c>
      <c r="G329" s="46" t="inlineStr">
        <is>
          <t>베트남</t>
        </is>
      </c>
      <c r="H329" s="44" t="inlineStr">
        <is>
          <t>VN</t>
        </is>
      </c>
      <c r="I329" s="47" t="n">
        <v>20808</v>
      </c>
      <c r="J329" s="44" t="inlineStr">
        <is>
          <t>EA</t>
        </is>
      </c>
      <c r="K329" s="48" t="n">
        <v>18.73</v>
      </c>
      <c r="L329" s="50" t="n"/>
      <c r="M329" s="44" t="inlineStr">
        <is>
          <t>USD</t>
        </is>
      </c>
      <c r="N329" s="44" t="inlineStr">
        <is>
          <t>FOB</t>
        </is>
      </c>
      <c r="O329" s="44" t="inlineStr">
        <is>
          <t>N</t>
        </is>
      </c>
      <c r="P329" s="48" t="n">
        <v>1423.0795</v>
      </c>
      <c r="Q329" s="47">
        <f>IF(OR(L329="",M329="",P329=""),"",L329*P329)</f>
        <v/>
      </c>
    </row>
    <row r="330" ht="15" customHeight="1" s="28">
      <c r="A330" s="44" t="inlineStr">
        <is>
          <t>R-SB-0328</t>
        </is>
      </c>
      <c r="B330" s="45" t="n">
        <v>45935</v>
      </c>
      <c r="C330" s="44" t="inlineStr">
        <is>
          <t>2025-10</t>
        </is>
      </c>
      <c r="D330" s="44" t="n">
        <v>2025</v>
      </c>
      <c r="E330" s="44" t="inlineStr">
        <is>
          <t>P-SB-003</t>
        </is>
      </c>
      <c r="F330" s="44" t="inlineStr">
        <is>
          <t>C-SB-03</t>
        </is>
      </c>
      <c r="G330" s="46" t="inlineStr">
        <is>
          <t>베트남</t>
        </is>
      </c>
      <c r="H330" s="44" t="inlineStr">
        <is>
          <t>VN</t>
        </is>
      </c>
      <c r="I330" s="47" t="n">
        <v>52845</v>
      </c>
      <c r="J330" s="44" t="inlineStr">
        <is>
          <t>EA</t>
        </is>
      </c>
      <c r="K330" s="48" t="n">
        <v>13.21</v>
      </c>
      <c r="L330" s="48" t="n">
        <v>45256.52</v>
      </c>
      <c r="M330" s="44" t="inlineStr">
        <is>
          <t>USD</t>
        </is>
      </c>
      <c r="N330" s="44" t="inlineStr">
        <is>
          <t>FOB</t>
        </is>
      </c>
      <c r="O330" s="44" t="inlineStr">
        <is>
          <t>N</t>
        </is>
      </c>
      <c r="P330" s="48" t="n">
        <v>1423.0795</v>
      </c>
      <c r="Q330" s="47">
        <f>IF(OR(L330="",M330="",P330=""),"",L330*P330)</f>
        <v/>
      </c>
    </row>
    <row r="331" ht="15" customHeight="1" s="28">
      <c r="A331" s="44" t="inlineStr">
        <is>
          <t>R-SB-0329</t>
        </is>
      </c>
      <c r="B331" s="45" t="n">
        <v>45937</v>
      </c>
      <c r="C331" s="44" t="inlineStr">
        <is>
          <t>2025-10</t>
        </is>
      </c>
      <c r="D331" s="44" t="n">
        <v>2025</v>
      </c>
      <c r="E331" s="44" t="inlineStr">
        <is>
          <t>P-SB-002</t>
        </is>
      </c>
      <c r="F331" s="44" t="inlineStr">
        <is>
          <t>C-SB-04</t>
        </is>
      </c>
      <c r="G331" s="46" t="inlineStr">
        <is>
          <t>인도</t>
        </is>
      </c>
      <c r="H331" s="44" t="inlineStr">
        <is>
          <t>IN</t>
        </is>
      </c>
      <c r="I331" s="47" t="n">
        <v>7882</v>
      </c>
      <c r="J331" s="44" t="inlineStr">
        <is>
          <t>EA</t>
        </is>
      </c>
      <c r="K331" s="48" t="n">
        <v>7.09</v>
      </c>
      <c r="L331" s="48" t="n">
        <v>32942.59</v>
      </c>
      <c r="M331" s="44" t="inlineStr">
        <is>
          <t>USD</t>
        </is>
      </c>
      <c r="N331" s="44" t="inlineStr">
        <is>
          <t>FOB</t>
        </is>
      </c>
      <c r="O331" s="44" t="inlineStr">
        <is>
          <t>N</t>
        </is>
      </c>
      <c r="P331" s="48" t="n">
        <v>1423.0795</v>
      </c>
      <c r="Q331" s="47">
        <f>IF(OR(L331="",M331="",P331=""),"",L331*P331)</f>
        <v/>
      </c>
    </row>
    <row r="332" ht="15" customHeight="1" s="28">
      <c r="A332" s="44" t="inlineStr">
        <is>
          <t>R-SB-0330</t>
        </is>
      </c>
      <c r="B332" s="45" t="n">
        <v>45940</v>
      </c>
      <c r="C332" s="44" t="inlineStr">
        <is>
          <t>2025-10</t>
        </is>
      </c>
      <c r="D332" s="44" t="n">
        <v>2025</v>
      </c>
      <c r="E332" s="44" t="inlineStr">
        <is>
          <t>P-SB-003</t>
        </is>
      </c>
      <c r="F332" s="44" t="inlineStr">
        <is>
          <t>C-SB-01</t>
        </is>
      </c>
      <c r="G332" s="46" t="inlineStr">
        <is>
          <t>미국</t>
        </is>
      </c>
      <c r="H332" s="44" t="inlineStr">
        <is>
          <t>US</t>
        </is>
      </c>
      <c r="I332" s="47" t="n">
        <v>102867</v>
      </c>
      <c r="J332" s="44" t="inlineStr">
        <is>
          <t>EA</t>
        </is>
      </c>
      <c r="K332" s="48" t="n">
        <v>25.72</v>
      </c>
      <c r="L332" s="48" t="n">
        <v>88403.38</v>
      </c>
      <c r="M332" s="44" t="inlineStr">
        <is>
          <t>USD</t>
        </is>
      </c>
      <c r="N332" s="44" t="inlineStr">
        <is>
          <t>FOB</t>
        </is>
      </c>
      <c r="O332" s="44" t="inlineStr">
        <is>
          <t>N</t>
        </is>
      </c>
      <c r="P332" s="48" t="n">
        <v>1423.0795</v>
      </c>
      <c r="Q332" s="47">
        <f>IF(OR(L332="",M332="",P332=""),"",L332*P332)</f>
        <v/>
      </c>
    </row>
    <row r="333" ht="15" customHeight="1" s="28">
      <c r="A333" s="44" t="inlineStr">
        <is>
          <t>R-SB-0331</t>
        </is>
      </c>
      <c r="B333" s="45" t="n">
        <v>45941</v>
      </c>
      <c r="C333" s="44" t="inlineStr">
        <is>
          <t>2025-10</t>
        </is>
      </c>
      <c r="D333" s="44" t="n">
        <v>2025</v>
      </c>
      <c r="E333" s="44" t="inlineStr">
        <is>
          <t>P-SB-002</t>
        </is>
      </c>
      <c r="F333" s="44" t="inlineStr">
        <is>
          <t>C-SB-02</t>
        </is>
      </c>
      <c r="G333" s="46" t="inlineStr">
        <is>
          <t>멕시코</t>
        </is>
      </c>
      <c r="H333" s="44" t="inlineStr">
        <is>
          <t>MX</t>
        </is>
      </c>
      <c r="I333" s="47" t="n">
        <v>25246</v>
      </c>
      <c r="J333" s="44" t="inlineStr">
        <is>
          <t>EA</t>
        </is>
      </c>
      <c r="K333" s="48" t="n">
        <v>22.72</v>
      </c>
      <c r="L333" s="48" t="n">
        <v>101253.25</v>
      </c>
      <c r="M333" s="44" t="inlineStr">
        <is>
          <t>USD</t>
        </is>
      </c>
      <c r="N333" s="44" t="inlineStr">
        <is>
          <t>FOB</t>
        </is>
      </c>
      <c r="O333" s="44" t="inlineStr">
        <is>
          <t>N</t>
        </is>
      </c>
      <c r="P333" s="48" t="n">
        <v>1423.0795</v>
      </c>
      <c r="Q333" s="47">
        <f>IF(OR(L333="",M333="",P333=""),"",L333*P333)</f>
        <v/>
      </c>
    </row>
    <row r="334" ht="15" customHeight="1" s="28">
      <c r="A334" s="44" t="inlineStr">
        <is>
          <t>R-SB-0332</t>
        </is>
      </c>
      <c r="B334" s="45" t="n">
        <v>45942</v>
      </c>
      <c r="C334" s="44" t="inlineStr">
        <is>
          <t>2025-10</t>
        </is>
      </c>
      <c r="D334" s="44" t="n">
        <v>2025</v>
      </c>
      <c r="E334" s="44" t="inlineStr">
        <is>
          <t>P-SB-002</t>
        </is>
      </c>
      <c r="F334" s="44" t="inlineStr">
        <is>
          <t>C-SB-01</t>
        </is>
      </c>
      <c r="G334" s="46" t="inlineStr">
        <is>
          <t>미국</t>
        </is>
      </c>
      <c r="H334" s="44" t="inlineStr">
        <is>
          <t>US</t>
        </is>
      </c>
      <c r="I334" s="47" t="n">
        <v>34536</v>
      </c>
      <c r="J334" s="44" t="inlineStr">
        <is>
          <t>EA</t>
        </is>
      </c>
      <c r="K334" s="48" t="n">
        <v>31.08</v>
      </c>
      <c r="L334" s="48" t="n">
        <v>144956.56</v>
      </c>
      <c r="M334" s="44" t="inlineStr">
        <is>
          <t>USD</t>
        </is>
      </c>
      <c r="N334" s="44" t="inlineStr">
        <is>
          <t>FOB</t>
        </is>
      </c>
      <c r="O334" s="44" t="inlineStr">
        <is>
          <t>N</t>
        </is>
      </c>
      <c r="P334" s="48" t="n">
        <v>1423.0795</v>
      </c>
      <c r="Q334" s="47">
        <f>IF(OR(L334="",M334="",P334=""),"",L334*P334)</f>
        <v/>
      </c>
    </row>
    <row r="335" ht="15" customHeight="1" s="28">
      <c r="A335" s="44" t="inlineStr">
        <is>
          <t>R-SB-0333</t>
        </is>
      </c>
      <c r="B335" s="45" t="n">
        <v>45946</v>
      </c>
      <c r="C335" s="44" t="inlineStr">
        <is>
          <t>2025-10</t>
        </is>
      </c>
      <c r="D335" s="44" t="n">
        <v>2025</v>
      </c>
      <c r="E335" s="44" t="inlineStr">
        <is>
          <t>P-SB-003</t>
        </is>
      </c>
      <c r="F335" s="44" t="inlineStr">
        <is>
          <t>C-SB-02</t>
        </is>
      </c>
      <c r="G335" s="46" t="inlineStr">
        <is>
          <t>멕시코</t>
        </is>
      </c>
      <c r="H335" s="44" t="inlineStr">
        <is>
          <t>MX</t>
        </is>
      </c>
      <c r="I335" s="47" t="n">
        <v>64242</v>
      </c>
      <c r="J335" s="44" t="inlineStr">
        <is>
          <t>EA</t>
        </is>
      </c>
      <c r="K335" s="48" t="n">
        <v>16.06</v>
      </c>
      <c r="L335" s="48" t="n">
        <v>56546.43</v>
      </c>
      <c r="M335" s="44" t="inlineStr">
        <is>
          <t>USD</t>
        </is>
      </c>
      <c r="N335" s="44" t="inlineStr">
        <is>
          <t>FOB</t>
        </is>
      </c>
      <c r="O335" s="44" t="inlineStr">
        <is>
          <t>N</t>
        </is>
      </c>
      <c r="P335" s="48" t="n">
        <v>1423.0795</v>
      </c>
      <c r="Q335" s="47">
        <f>IF(OR(L335="",M335="",P335=""),"",L335*P335)</f>
        <v/>
      </c>
    </row>
    <row r="336" ht="15" customHeight="1" s="28">
      <c r="A336" s="44" t="inlineStr">
        <is>
          <t>R-SB-0334</t>
        </is>
      </c>
      <c r="B336" s="45" t="n">
        <v>45946</v>
      </c>
      <c r="C336" s="44" t="inlineStr">
        <is>
          <t>2025-10</t>
        </is>
      </c>
      <c r="D336" s="44" t="n">
        <v>2025</v>
      </c>
      <c r="E336" s="44" t="inlineStr">
        <is>
          <t>P-SB-001</t>
        </is>
      </c>
      <c r="F336" s="44" t="inlineStr">
        <is>
          <t>C-SB-03</t>
        </is>
      </c>
      <c r="G336" s="46" t="inlineStr">
        <is>
          <t>베트남</t>
        </is>
      </c>
      <c r="H336" s="44" t="inlineStr">
        <is>
          <t>VN</t>
        </is>
      </c>
      <c r="I336" s="47" t="n">
        <v>79446</v>
      </c>
      <c r="J336" s="44" t="inlineStr">
        <is>
          <t>EA</t>
        </is>
      </c>
      <c r="K336" s="48" t="n">
        <v>27.81</v>
      </c>
      <c r="L336" s="48" t="n">
        <v>140364.08</v>
      </c>
      <c r="M336" s="44" t="inlineStr">
        <is>
          <t>USD</t>
        </is>
      </c>
      <c r="N336" s="44" t="inlineStr">
        <is>
          <t>FOB</t>
        </is>
      </c>
      <c r="O336" s="44" t="inlineStr">
        <is>
          <t>N</t>
        </is>
      </c>
      <c r="P336" s="48" t="n">
        <v>1423.0795</v>
      </c>
      <c r="Q336" s="47">
        <f>IF(OR(L336="",M336="",P336=""),"",L336*P336)</f>
        <v/>
      </c>
    </row>
    <row r="337" ht="15" customHeight="1" s="28">
      <c r="A337" s="44" t="inlineStr">
        <is>
          <t>R-SB-0335</t>
        </is>
      </c>
      <c r="B337" s="45" t="n">
        <v>45955</v>
      </c>
      <c r="C337" s="44" t="inlineStr">
        <is>
          <t>2025-10</t>
        </is>
      </c>
      <c r="D337" s="44" t="n">
        <v>2025</v>
      </c>
      <c r="E337" s="44" t="inlineStr">
        <is>
          <t>P-SB-001</t>
        </is>
      </c>
      <c r="F337" s="44" t="inlineStr">
        <is>
          <t>C-SB-04</t>
        </is>
      </c>
      <c r="G337" s="46" t="inlineStr">
        <is>
          <t>인도</t>
        </is>
      </c>
      <c r="H337" s="44" t="inlineStr">
        <is>
          <t>IN</t>
        </is>
      </c>
      <c r="I337" s="47" t="n">
        <v>38208</v>
      </c>
      <c r="J337" s="44" t="inlineStr">
        <is>
          <t>EA</t>
        </is>
      </c>
      <c r="K337" s="48" t="n">
        <v>13.37</v>
      </c>
      <c r="L337" s="48" t="n">
        <v>71156.48</v>
      </c>
      <c r="M337" s="44" t="inlineStr">
        <is>
          <t>USD</t>
        </is>
      </c>
      <c r="N337" s="44" t="inlineStr">
        <is>
          <t>FOB</t>
        </is>
      </c>
      <c r="O337" s="44" t="inlineStr">
        <is>
          <t>N</t>
        </is>
      </c>
      <c r="P337" s="48" t="n">
        <v>1423.0795</v>
      </c>
      <c r="Q337" s="47">
        <f>IF(OR(L337="",M337="",P337=""),"",L337*P337)</f>
        <v/>
      </c>
    </row>
    <row r="338" ht="15" customHeight="1" s="28">
      <c r="A338" s="44" t="inlineStr">
        <is>
          <t>R-SB-0336</t>
        </is>
      </c>
      <c r="B338" s="45" t="n">
        <v>45955</v>
      </c>
      <c r="C338" s="44" t="inlineStr">
        <is>
          <t>2025-10</t>
        </is>
      </c>
      <c r="D338" s="44" t="n">
        <v>2025</v>
      </c>
      <c r="E338" s="44" t="inlineStr">
        <is>
          <t>P-SB-003</t>
        </is>
      </c>
      <c r="F338" s="44" t="inlineStr">
        <is>
          <t>C-SB-04</t>
        </is>
      </c>
      <c r="G338" s="46" t="inlineStr">
        <is>
          <t>인도</t>
        </is>
      </c>
      <c r="H338" s="44" t="inlineStr">
        <is>
          <t>IN</t>
        </is>
      </c>
      <c r="I338" s="47" t="n">
        <v>20734</v>
      </c>
      <c r="J338" s="44" t="inlineStr">
        <is>
          <t>EA</t>
        </is>
      </c>
      <c r="K338" s="48" t="n">
        <v>5.18</v>
      </c>
      <c r="L338" s="48" t="n">
        <v>18575.26</v>
      </c>
      <c r="M338" s="44" t="inlineStr">
        <is>
          <t>USD</t>
        </is>
      </c>
      <c r="N338" s="44" t="inlineStr">
        <is>
          <t>FOB</t>
        </is>
      </c>
      <c r="O338" s="44" t="inlineStr">
        <is>
          <t>N</t>
        </is>
      </c>
      <c r="P338" s="48" t="n">
        <v>1423.0795</v>
      </c>
      <c r="Q338" s="47">
        <f>IF(OR(L338="",M338="",P338=""),"",L338*P338)</f>
        <v/>
      </c>
    </row>
    <row r="339" ht="15" customHeight="1" s="28">
      <c r="A339" s="44" t="inlineStr">
        <is>
          <t>R-SB-0337</t>
        </is>
      </c>
      <c r="B339" s="45" t="n">
        <v>45965</v>
      </c>
      <c r="C339" s="44" t="inlineStr">
        <is>
          <t>2025-11</t>
        </is>
      </c>
      <c r="D339" s="44" t="n">
        <v>2025</v>
      </c>
      <c r="E339" s="44" t="inlineStr">
        <is>
          <t>P-SB-003</t>
        </is>
      </c>
      <c r="F339" s="44" t="inlineStr">
        <is>
          <t>C-SB-01</t>
        </is>
      </c>
      <c r="G339" s="46" t="inlineStr">
        <is>
          <t>미국</t>
        </is>
      </c>
      <c r="H339" s="44" t="inlineStr">
        <is>
          <t>US</t>
        </is>
      </c>
      <c r="I339" s="47" t="n">
        <v>80160</v>
      </c>
      <c r="J339" s="44" t="inlineStr">
        <is>
          <t>EA</t>
        </is>
      </c>
      <c r="K339" s="48" t="n">
        <v>20.04</v>
      </c>
      <c r="L339" s="48" t="n">
        <v>73682.57000000001</v>
      </c>
      <c r="M339" s="44" t="inlineStr">
        <is>
          <t>USD</t>
        </is>
      </c>
      <c r="N339" s="44" t="inlineStr">
        <is>
          <t>FOB</t>
        </is>
      </c>
      <c r="O339" s="44" t="inlineStr">
        <is>
          <t>N</t>
        </is>
      </c>
      <c r="P339" s="48" t="n">
        <v>1459.8789</v>
      </c>
      <c r="Q339" s="47">
        <f>IF(OR(L339="",M339="",P339=""),"",L339*P339)</f>
        <v/>
      </c>
    </row>
    <row r="340" ht="15" customHeight="1" s="28">
      <c r="A340" s="44" t="inlineStr">
        <is>
          <t>R-SB-0338</t>
        </is>
      </c>
      <c r="B340" s="45" t="n">
        <v>45965</v>
      </c>
      <c r="C340" s="44" t="inlineStr">
        <is>
          <t>2025-11</t>
        </is>
      </c>
      <c r="D340" s="44" t="n">
        <v>2025</v>
      </c>
      <c r="E340" s="44" t="inlineStr">
        <is>
          <t>P-SB-001</t>
        </is>
      </c>
      <c r="F340" s="44" t="inlineStr">
        <is>
          <t>C-SB-04</t>
        </is>
      </c>
      <c r="G340" s="46" t="inlineStr">
        <is>
          <t>인도</t>
        </is>
      </c>
      <c r="H340" s="44" t="inlineStr">
        <is>
          <t>IN</t>
        </is>
      </c>
      <c r="I340" s="47" t="n">
        <v>37497</v>
      </c>
      <c r="J340" s="44" t="inlineStr">
        <is>
          <t>EA</t>
        </is>
      </c>
      <c r="K340" s="48" t="n">
        <v>13.12</v>
      </c>
      <c r="L340" s="48" t="n">
        <v>69710.08</v>
      </c>
      <c r="M340" s="44" t="inlineStr">
        <is>
          <t>USD</t>
        </is>
      </c>
      <c r="N340" s="44" t="inlineStr">
        <is>
          <t>FOB</t>
        </is>
      </c>
      <c r="O340" s="44" t="inlineStr">
        <is>
          <t>N</t>
        </is>
      </c>
      <c r="P340" s="48" t="n">
        <v>1459.8789</v>
      </c>
      <c r="Q340" s="47">
        <f>IF(OR(L340="",M340="",P340=""),"",L340*P340)</f>
        <v/>
      </c>
    </row>
    <row r="341" ht="15" customHeight="1" s="28">
      <c r="A341" s="44" t="inlineStr">
        <is>
          <t>R-SB-0339</t>
        </is>
      </c>
      <c r="B341" s="45" t="n">
        <v>45967</v>
      </c>
      <c r="C341" s="44" t="inlineStr">
        <is>
          <t>2025-11</t>
        </is>
      </c>
      <c r="D341" s="44" t="n">
        <v>2025</v>
      </c>
      <c r="E341" s="44" t="inlineStr">
        <is>
          <t>P-SB-001</t>
        </is>
      </c>
      <c r="F341" s="44" t="inlineStr">
        <is>
          <t>C-SB-02</t>
        </is>
      </c>
      <c r="G341" s="46" t="inlineStr">
        <is>
          <t>멕시코</t>
        </is>
      </c>
      <c r="H341" s="44" t="inlineStr">
        <is>
          <t>MX</t>
        </is>
      </c>
      <c r="I341" s="47" t="n">
        <v>117164</v>
      </c>
      <c r="J341" s="44" t="inlineStr">
        <is>
          <t>EA</t>
        </is>
      </c>
      <c r="K341" s="48" t="n">
        <v>41.01</v>
      </c>
      <c r="L341" s="48" t="n">
        <v>217880.61</v>
      </c>
      <c r="M341" s="44" t="inlineStr">
        <is>
          <t>USD</t>
        </is>
      </c>
      <c r="N341" s="44" t="inlineStr">
        <is>
          <t>FOB</t>
        </is>
      </c>
      <c r="O341" s="44" t="inlineStr">
        <is>
          <t>N</t>
        </is>
      </c>
      <c r="P341" s="48" t="n">
        <v>1459.8789</v>
      </c>
      <c r="Q341" s="47">
        <f>IF(OR(L341="",M341="",P341=""),"",L341*P341)</f>
        <v/>
      </c>
    </row>
    <row r="342" ht="15" customHeight="1" s="28">
      <c r="A342" s="44" t="inlineStr">
        <is>
          <t>R-SB-0340</t>
        </is>
      </c>
      <c r="B342" s="45" t="n">
        <v>45972</v>
      </c>
      <c r="C342" s="44" t="inlineStr">
        <is>
          <t>2025-11</t>
        </is>
      </c>
      <c r="D342" s="44" t="n">
        <v>2025</v>
      </c>
      <c r="E342" s="44" t="inlineStr">
        <is>
          <t>P-SB-001</t>
        </is>
      </c>
      <c r="F342" s="44" t="inlineStr">
        <is>
          <t>C-SB-03</t>
        </is>
      </c>
      <c r="G342" s="49" t="n"/>
      <c r="H342" s="49" t="n"/>
      <c r="I342" s="47" t="n">
        <v>60863</v>
      </c>
      <c r="J342" s="44" t="inlineStr">
        <is>
          <t>EA</t>
        </is>
      </c>
      <c r="K342" s="48" t="n">
        <v>21.3</v>
      </c>
      <c r="L342" s="48" t="n">
        <v>110818.86</v>
      </c>
      <c r="M342" s="44" t="inlineStr">
        <is>
          <t>USD</t>
        </is>
      </c>
      <c r="N342" s="44" t="inlineStr">
        <is>
          <t>FOB</t>
        </is>
      </c>
      <c r="O342" s="44" t="inlineStr">
        <is>
          <t>N</t>
        </is>
      </c>
      <c r="P342" s="48" t="n">
        <v>1459.8789</v>
      </c>
      <c r="Q342" s="47">
        <f>IF(OR(L342="",M342="",P342=""),"",L342*P342)</f>
        <v/>
      </c>
    </row>
    <row r="343" ht="15" customHeight="1" s="28">
      <c r="A343" s="44" t="inlineStr">
        <is>
          <t>R-SB-0341</t>
        </is>
      </c>
      <c r="B343" s="45" t="n">
        <v>45972</v>
      </c>
      <c r="C343" s="44" t="inlineStr">
        <is>
          <t>2025-11</t>
        </is>
      </c>
      <c r="D343" s="44" t="n">
        <v>2025</v>
      </c>
      <c r="E343" s="44" t="inlineStr">
        <is>
          <t>P-SB-002</t>
        </is>
      </c>
      <c r="F343" s="44" t="inlineStr">
        <is>
          <t>C-SB-04</t>
        </is>
      </c>
      <c r="G343" s="46" t="inlineStr">
        <is>
          <t>인도</t>
        </is>
      </c>
      <c r="H343" s="44" t="inlineStr">
        <is>
          <t>IN</t>
        </is>
      </c>
      <c r="I343" s="47" t="n">
        <v>9668</v>
      </c>
      <c r="J343" s="44" t="inlineStr">
        <is>
          <t>EA</t>
        </is>
      </c>
      <c r="K343" s="48" t="n">
        <v>8.699999999999999</v>
      </c>
      <c r="L343" s="48" t="n">
        <v>38342.65</v>
      </c>
      <c r="M343" s="44" t="inlineStr">
        <is>
          <t>USD</t>
        </is>
      </c>
      <c r="N343" s="44" t="inlineStr">
        <is>
          <t>FOB</t>
        </is>
      </c>
      <c r="O343" s="44" t="inlineStr">
        <is>
          <t>N</t>
        </is>
      </c>
      <c r="P343" s="48" t="n">
        <v>1459.8789</v>
      </c>
      <c r="Q343" s="47">
        <f>IF(OR(L343="",M343="",P343=""),"",L343*P343)</f>
        <v/>
      </c>
    </row>
    <row r="344" ht="15" customHeight="1" s="28">
      <c r="A344" s="44" t="inlineStr">
        <is>
          <t>R-SB-0342</t>
        </is>
      </c>
      <c r="B344" s="45" t="n">
        <v>45978</v>
      </c>
      <c r="C344" s="44" t="inlineStr">
        <is>
          <t>2025-11</t>
        </is>
      </c>
      <c r="D344" s="44" t="n">
        <v>2025</v>
      </c>
      <c r="E344" s="44" t="inlineStr">
        <is>
          <t>P-SB-001</t>
        </is>
      </c>
      <c r="F344" s="44" t="inlineStr">
        <is>
          <t>C-SB-01</t>
        </is>
      </c>
      <c r="G344" s="46" t="inlineStr">
        <is>
          <t>미국</t>
        </is>
      </c>
      <c r="H344" s="44" t="inlineStr">
        <is>
          <t>US</t>
        </is>
      </c>
      <c r="I344" s="47" t="n">
        <v>142020</v>
      </c>
      <c r="J344" s="44" t="inlineStr">
        <is>
          <t>EA</t>
        </is>
      </c>
      <c r="K344" s="48" t="n">
        <v>49.71</v>
      </c>
      <c r="L344" s="48" t="n">
        <v>268336.48</v>
      </c>
      <c r="M344" s="44" t="inlineStr">
        <is>
          <t>USD</t>
        </is>
      </c>
      <c r="N344" s="44" t="inlineStr">
        <is>
          <t>FOB</t>
        </is>
      </c>
      <c r="O344" s="44" t="inlineStr">
        <is>
          <t>N</t>
        </is>
      </c>
      <c r="P344" s="48" t="n">
        <v>1459.8789</v>
      </c>
      <c r="Q344" s="47">
        <f>IF(OR(L344="",M344="",P344=""),"",L344*P344)</f>
        <v/>
      </c>
    </row>
    <row r="345" ht="15" customHeight="1" s="28">
      <c r="A345" s="44" t="inlineStr">
        <is>
          <t>R-SB-0343</t>
        </is>
      </c>
      <c r="B345" s="45" t="n">
        <v>45978</v>
      </c>
      <c r="C345" s="44" t="inlineStr">
        <is>
          <t>2025-11</t>
        </is>
      </c>
      <c r="D345" s="44" t="n">
        <v>2025</v>
      </c>
      <c r="E345" s="44" t="inlineStr">
        <is>
          <t>P-SB-003</t>
        </is>
      </c>
      <c r="F345" s="44" t="inlineStr">
        <is>
          <t>C-SB-04</t>
        </is>
      </c>
      <c r="G345" s="46" t="inlineStr">
        <is>
          <t>인도</t>
        </is>
      </c>
      <c r="H345" s="44" t="inlineStr">
        <is>
          <t>IN</t>
        </is>
      </c>
      <c r="I345" s="47" t="n">
        <v>18618</v>
      </c>
      <c r="J345" s="44" t="inlineStr">
        <is>
          <t>EA</t>
        </is>
      </c>
      <c r="K345" s="48" t="n">
        <v>4.65</v>
      </c>
      <c r="L345" s="48" t="n">
        <v>16837.71</v>
      </c>
      <c r="M345" s="44" t="inlineStr">
        <is>
          <t>USD</t>
        </is>
      </c>
      <c r="N345" s="44" t="inlineStr">
        <is>
          <t>FOB</t>
        </is>
      </c>
      <c r="O345" s="44" t="inlineStr">
        <is>
          <t>N</t>
        </is>
      </c>
      <c r="P345" s="48" t="n">
        <v>1459.8789</v>
      </c>
      <c r="Q345" s="47">
        <f>IF(OR(L345="",M345="",P345=""),"",L345*P345)</f>
        <v/>
      </c>
    </row>
    <row r="346" ht="15" customHeight="1" s="28">
      <c r="A346" s="44" t="inlineStr">
        <is>
          <t>R-SB-0344</t>
        </is>
      </c>
      <c r="B346" s="45" t="n">
        <v>45979</v>
      </c>
      <c r="C346" s="44" t="inlineStr">
        <is>
          <t>2025-11</t>
        </is>
      </c>
      <c r="D346" s="44" t="n">
        <v>2025</v>
      </c>
      <c r="E346" s="44" t="inlineStr">
        <is>
          <t>P-SB-002</t>
        </is>
      </c>
      <c r="F346" s="44" t="inlineStr">
        <is>
          <t>C-SB-02</t>
        </is>
      </c>
      <c r="G346" s="49" t="n"/>
      <c r="H346" s="49" t="n"/>
      <c r="I346" s="47" t="n">
        <v>27911</v>
      </c>
      <c r="J346" s="44" t="inlineStr">
        <is>
          <t>EA</t>
        </is>
      </c>
      <c r="K346" s="48" t="n">
        <v>25.12</v>
      </c>
      <c r="L346" s="48" t="n">
        <v>111210.46</v>
      </c>
      <c r="M346" s="44" t="inlineStr">
        <is>
          <t>USD</t>
        </is>
      </c>
      <c r="N346" s="44" t="inlineStr">
        <is>
          <t>FOB</t>
        </is>
      </c>
      <c r="O346" s="44" t="inlineStr">
        <is>
          <t>N</t>
        </is>
      </c>
      <c r="P346" s="48" t="n">
        <v>1459.8789</v>
      </c>
      <c r="Q346" s="47">
        <f>IF(OR(L346="",M346="",P346=""),"",L346*P346)</f>
        <v/>
      </c>
    </row>
    <row r="347" ht="15" customHeight="1" s="28">
      <c r="A347" s="44" t="inlineStr">
        <is>
          <t>R-SB-0345</t>
        </is>
      </c>
      <c r="B347" s="45" t="n">
        <v>45979</v>
      </c>
      <c r="C347" s="44" t="inlineStr">
        <is>
          <t>2025-11</t>
        </is>
      </c>
      <c r="D347" s="44" t="n">
        <v>2025</v>
      </c>
      <c r="E347" s="44" t="inlineStr">
        <is>
          <t>P-SB-003</t>
        </is>
      </c>
      <c r="F347" s="44" t="inlineStr">
        <is>
          <t>C-SB-03</t>
        </is>
      </c>
      <c r="G347" s="46" t="inlineStr">
        <is>
          <t>베트남</t>
        </is>
      </c>
      <c r="H347" s="44" t="inlineStr">
        <is>
          <t>VN</t>
        </is>
      </c>
      <c r="I347" s="47" t="n">
        <v>41122</v>
      </c>
      <c r="J347" s="44" t="inlineStr">
        <is>
          <t>EA</t>
        </is>
      </c>
      <c r="K347" s="48" t="n">
        <v>10.28</v>
      </c>
      <c r="L347" s="48" t="n">
        <v>38715.65</v>
      </c>
      <c r="M347" s="44" t="inlineStr">
        <is>
          <t>USD</t>
        </is>
      </c>
      <c r="N347" s="44" t="inlineStr">
        <is>
          <t>FOB</t>
        </is>
      </c>
      <c r="O347" s="44" t="inlineStr">
        <is>
          <t>N</t>
        </is>
      </c>
      <c r="P347" s="48" t="n">
        <v>1459.8789</v>
      </c>
      <c r="Q347" s="47">
        <f>IF(OR(L347="",M347="",P347=""),"",L347*P347)</f>
        <v/>
      </c>
    </row>
    <row r="348" ht="15" customHeight="1" s="28">
      <c r="A348" s="44" t="inlineStr">
        <is>
          <t>R-SB-0346</t>
        </is>
      </c>
      <c r="B348" s="45" t="n">
        <v>45981</v>
      </c>
      <c r="C348" s="44" t="inlineStr">
        <is>
          <t>2025-11</t>
        </is>
      </c>
      <c r="D348" s="44" t="n">
        <v>2025</v>
      </c>
      <c r="E348" s="44" t="inlineStr">
        <is>
          <t>P-SB-003</t>
        </is>
      </c>
      <c r="F348" s="44" t="inlineStr">
        <is>
          <t>C-SB-02</t>
        </is>
      </c>
      <c r="G348" s="46" t="inlineStr">
        <is>
          <t>멕시코</t>
        </is>
      </c>
      <c r="H348" s="44" t="inlineStr">
        <is>
          <t>MX</t>
        </is>
      </c>
      <c r="I348" s="47" t="n">
        <v>56985</v>
      </c>
      <c r="J348" s="44" t="inlineStr">
        <is>
          <t>EA</t>
        </is>
      </c>
      <c r="K348" s="48" t="n">
        <v>14.25</v>
      </c>
      <c r="L348" s="48" t="n">
        <v>48761.53</v>
      </c>
      <c r="M348" s="44" t="inlineStr">
        <is>
          <t>USD</t>
        </is>
      </c>
      <c r="N348" s="44" t="inlineStr">
        <is>
          <t>FOB</t>
        </is>
      </c>
      <c r="O348" s="44" t="inlineStr">
        <is>
          <t>N</t>
        </is>
      </c>
      <c r="P348" s="48" t="n">
        <v>1459.8789</v>
      </c>
      <c r="Q348" s="47">
        <f>IF(OR(L348="",M348="",P348=""),"",L348*P348)</f>
        <v/>
      </c>
    </row>
    <row r="349" ht="15" customHeight="1" s="28">
      <c r="A349" s="44" t="inlineStr">
        <is>
          <t>R-SB-0347</t>
        </is>
      </c>
      <c r="B349" s="45" t="n">
        <v>45984</v>
      </c>
      <c r="C349" s="44" t="inlineStr">
        <is>
          <t>2025-11</t>
        </is>
      </c>
      <c r="D349" s="44" t="n">
        <v>2025</v>
      </c>
      <c r="E349" s="44" t="inlineStr">
        <is>
          <t>P-SB-002</t>
        </is>
      </c>
      <c r="F349" s="44" t="inlineStr">
        <is>
          <t>C-SB-03</t>
        </is>
      </c>
      <c r="G349" s="46" t="inlineStr">
        <is>
          <t>베트남</t>
        </is>
      </c>
      <c r="H349" s="44" t="inlineStr">
        <is>
          <t>VN</t>
        </is>
      </c>
      <c r="I349" s="47" t="n">
        <v>16436</v>
      </c>
      <c r="J349" s="44" t="inlineStr">
        <is>
          <t>EA</t>
        </is>
      </c>
      <c r="K349" s="48" t="n">
        <v>14.79</v>
      </c>
      <c r="L349" s="48" t="n">
        <v>67405.19</v>
      </c>
      <c r="M349" s="44" t="inlineStr">
        <is>
          <t>USD</t>
        </is>
      </c>
      <c r="N349" s="44" t="inlineStr">
        <is>
          <t>FOB</t>
        </is>
      </c>
      <c r="O349" s="44" t="inlineStr">
        <is>
          <t>N</t>
        </is>
      </c>
      <c r="P349" s="48" t="n">
        <v>1459.8789</v>
      </c>
      <c r="Q349" s="47">
        <f>IF(OR(L349="",M349="",P349=""),"",L349*P349)</f>
        <v/>
      </c>
    </row>
    <row r="350" ht="15" customHeight="1" s="28">
      <c r="A350" s="44" t="inlineStr">
        <is>
          <t>R-SB-0348</t>
        </is>
      </c>
      <c r="B350" s="45" t="n">
        <v>45994</v>
      </c>
      <c r="C350" s="44" t="inlineStr">
        <is>
          <t>2025-12</t>
        </is>
      </c>
      <c r="D350" s="44" t="n">
        <v>2025</v>
      </c>
      <c r="E350" s="44" t="inlineStr">
        <is>
          <t>P-SB-003</t>
        </is>
      </c>
      <c r="F350" s="44" t="inlineStr">
        <is>
          <t>C-SB-01</t>
        </is>
      </c>
      <c r="G350" s="46" t="inlineStr">
        <is>
          <t>미국</t>
        </is>
      </c>
      <c r="H350" s="44" t="inlineStr">
        <is>
          <t>US</t>
        </is>
      </c>
      <c r="I350" s="47" t="n">
        <v>82580</v>
      </c>
      <c r="J350" s="44" t="inlineStr">
        <is>
          <t>EA</t>
        </is>
      </c>
      <c r="K350" s="48" t="n">
        <v>20.64</v>
      </c>
      <c r="L350" s="48" t="n">
        <v>75471.34</v>
      </c>
      <c r="M350" s="44" t="inlineStr">
        <is>
          <t>USD</t>
        </is>
      </c>
      <c r="N350" s="44" t="inlineStr">
        <is>
          <t>FOB</t>
        </is>
      </c>
      <c r="O350" s="44" t="inlineStr">
        <is>
          <t>N</t>
        </is>
      </c>
      <c r="P350" s="48" t="n">
        <v>1465.355</v>
      </c>
      <c r="Q350" s="47">
        <f>IF(OR(L350="",M350="",P350=""),"",L350*P350)</f>
        <v/>
      </c>
    </row>
    <row r="351" ht="15" customHeight="1" s="28">
      <c r="A351" s="44" t="inlineStr">
        <is>
          <t>R-SB-0349</t>
        </is>
      </c>
      <c r="B351" s="45" t="n">
        <v>45995</v>
      </c>
      <c r="C351" s="44" t="inlineStr">
        <is>
          <t>2025-12</t>
        </is>
      </c>
      <c r="D351" s="44" t="n">
        <v>2025</v>
      </c>
      <c r="E351" s="44" t="inlineStr">
        <is>
          <t>P-SB-003</t>
        </is>
      </c>
      <c r="F351" s="44" t="inlineStr">
        <is>
          <t>C-SB-02</t>
        </is>
      </c>
      <c r="G351" s="46" t="inlineStr">
        <is>
          <t>멕시코</t>
        </is>
      </c>
      <c r="H351" s="44" t="inlineStr">
        <is>
          <t>MX</t>
        </is>
      </c>
      <c r="I351" s="47" t="n">
        <v>42032</v>
      </c>
      <c r="J351" s="44" t="inlineStr">
        <is>
          <t>EA</t>
        </is>
      </c>
      <c r="K351" s="48" t="n">
        <v>10.51</v>
      </c>
      <c r="L351" s="48" t="n">
        <v>37442.09</v>
      </c>
      <c r="M351" s="44" t="inlineStr">
        <is>
          <t>USD</t>
        </is>
      </c>
      <c r="N351" s="44" t="inlineStr">
        <is>
          <t>FOB</t>
        </is>
      </c>
      <c r="O351" s="44" t="inlineStr">
        <is>
          <t>N</t>
        </is>
      </c>
      <c r="P351" s="48" t="n">
        <v>1465.355</v>
      </c>
      <c r="Q351" s="47">
        <f>IF(OR(L351="",M351="",P351=""),"",L351*P351)</f>
        <v/>
      </c>
    </row>
    <row r="352" ht="15" customHeight="1" s="28">
      <c r="A352" s="44" t="inlineStr">
        <is>
          <t>R-SB-0350</t>
        </is>
      </c>
      <c r="B352" s="45" t="n">
        <v>46006</v>
      </c>
      <c r="C352" s="44" t="inlineStr">
        <is>
          <t>2025-12</t>
        </is>
      </c>
      <c r="D352" s="44" t="n">
        <v>2025</v>
      </c>
      <c r="E352" s="44" t="inlineStr">
        <is>
          <t>P-SB-001</t>
        </is>
      </c>
      <c r="F352" s="44" t="inlineStr">
        <is>
          <t>C-SB-04</t>
        </is>
      </c>
      <c r="G352" s="46" t="inlineStr">
        <is>
          <t>인도</t>
        </is>
      </c>
      <c r="H352" s="44" t="inlineStr">
        <is>
          <t>IN</t>
        </is>
      </c>
      <c r="I352" s="47" t="n">
        <v>42747</v>
      </c>
      <c r="J352" s="44" t="inlineStr">
        <is>
          <t>EA</t>
        </is>
      </c>
      <c r="K352" s="48" t="n">
        <v>14.96</v>
      </c>
      <c r="L352" s="48" t="n">
        <v>73246.64</v>
      </c>
      <c r="M352" s="44" t="inlineStr">
        <is>
          <t>USD</t>
        </is>
      </c>
      <c r="N352" s="44" t="inlineStr">
        <is>
          <t>FOB</t>
        </is>
      </c>
      <c r="O352" s="44" t="inlineStr">
        <is>
          <t>N</t>
        </is>
      </c>
      <c r="P352" s="48" t="n">
        <v>1465.355</v>
      </c>
      <c r="Q352" s="47">
        <f>IF(OR(L352="",M352="",P352=""),"",L352*P352)</f>
        <v/>
      </c>
    </row>
    <row r="353" ht="15" customHeight="1" s="28">
      <c r="A353" s="44" t="inlineStr">
        <is>
          <t>R-SB-0351</t>
        </is>
      </c>
      <c r="B353" s="45" t="n">
        <v>46007</v>
      </c>
      <c r="C353" s="44" t="inlineStr">
        <is>
          <t>2025-12</t>
        </is>
      </c>
      <c r="D353" s="44" t="n">
        <v>2025</v>
      </c>
      <c r="E353" s="44" t="inlineStr">
        <is>
          <t>P-SB-001</t>
        </is>
      </c>
      <c r="F353" s="44" t="inlineStr">
        <is>
          <t>C-SB-02</t>
        </is>
      </c>
      <c r="G353" s="46" t="inlineStr">
        <is>
          <t>멕시코</t>
        </is>
      </c>
      <c r="H353" s="44" t="inlineStr">
        <is>
          <t>MX</t>
        </is>
      </c>
      <c r="I353" s="47" t="n">
        <v>94075</v>
      </c>
      <c r="J353" s="44" t="inlineStr">
        <is>
          <t>EA</t>
        </is>
      </c>
      <c r="K353" s="48" t="n">
        <v>32.93</v>
      </c>
      <c r="L353" s="48" t="n">
        <v>161141.65</v>
      </c>
      <c r="M353" s="44" t="inlineStr">
        <is>
          <t>USD</t>
        </is>
      </c>
      <c r="N353" s="44" t="inlineStr">
        <is>
          <t>FOB</t>
        </is>
      </c>
      <c r="O353" s="44" t="inlineStr">
        <is>
          <t>N</t>
        </is>
      </c>
      <c r="P353" s="48" t="n">
        <v>1465.355</v>
      </c>
      <c r="Q353" s="47">
        <f>IF(OR(L353="",M353="",P353=""),"",L353*P353)</f>
        <v/>
      </c>
    </row>
    <row r="354" ht="15" customHeight="1" s="28">
      <c r="A354" s="44" t="inlineStr">
        <is>
          <t>R-SB-0352</t>
        </is>
      </c>
      <c r="B354" s="45" t="n">
        <v>46007</v>
      </c>
      <c r="C354" s="44" t="inlineStr">
        <is>
          <t>2025-12</t>
        </is>
      </c>
      <c r="D354" s="44" t="n">
        <v>2025</v>
      </c>
      <c r="E354" s="44" t="inlineStr">
        <is>
          <t>P-SB-001</t>
        </is>
      </c>
      <c r="F354" s="44" t="inlineStr">
        <is>
          <t>C-SB-03</t>
        </is>
      </c>
      <c r="G354" s="46" t="inlineStr">
        <is>
          <t>베트남</t>
        </is>
      </c>
      <c r="H354" s="44" t="inlineStr">
        <is>
          <t>VN</t>
        </is>
      </c>
      <c r="I354" s="47" t="n">
        <v>71811</v>
      </c>
      <c r="J354" s="44" t="inlineStr">
        <is>
          <t>EA</t>
        </is>
      </c>
      <c r="K354" s="48" t="n">
        <v>25.13</v>
      </c>
      <c r="L354" s="48" t="n">
        <v>129487.75</v>
      </c>
      <c r="M354" s="44" t="inlineStr">
        <is>
          <t>USD</t>
        </is>
      </c>
      <c r="N354" s="44" t="inlineStr">
        <is>
          <t>FOB</t>
        </is>
      </c>
      <c r="O354" s="44" t="inlineStr">
        <is>
          <t>N</t>
        </is>
      </c>
      <c r="P354" s="48" t="n">
        <v>1465.355</v>
      </c>
      <c r="Q354" s="47">
        <f>IF(OR(L354="",M354="",P354=""),"",L354*P354)</f>
        <v/>
      </c>
    </row>
    <row r="355" ht="15" customHeight="1" s="28">
      <c r="A355" s="44" t="inlineStr">
        <is>
          <t>R-SB-0353</t>
        </is>
      </c>
      <c r="B355" s="45" t="n">
        <v>46013</v>
      </c>
      <c r="C355" s="44" t="inlineStr">
        <is>
          <t>2025-12</t>
        </is>
      </c>
      <c r="D355" s="44" t="n">
        <v>2025</v>
      </c>
      <c r="E355" s="44" t="inlineStr">
        <is>
          <t>P-SB-003</t>
        </is>
      </c>
      <c r="F355" s="44" t="inlineStr">
        <is>
          <t>C-SB-04</t>
        </is>
      </c>
      <c r="G355" s="46" t="inlineStr">
        <is>
          <t>인도</t>
        </is>
      </c>
      <c r="H355" s="44" t="inlineStr">
        <is>
          <t>IN</t>
        </is>
      </c>
      <c r="I355" s="47" t="n">
        <v>23070</v>
      </c>
      <c r="J355" s="44" t="inlineStr">
        <is>
          <t>EA</t>
        </is>
      </c>
      <c r="K355" s="48" t="n">
        <v>5.77</v>
      </c>
      <c r="L355" s="48" t="n">
        <v>20503.11</v>
      </c>
      <c r="M355" s="44" t="inlineStr">
        <is>
          <t>USD</t>
        </is>
      </c>
      <c r="N355" s="44" t="inlineStr">
        <is>
          <t>FOB</t>
        </is>
      </c>
      <c r="O355" s="44" t="inlineStr">
        <is>
          <t>N</t>
        </is>
      </c>
      <c r="P355" s="48" t="n">
        <v>1465.355</v>
      </c>
      <c r="Q355" s="47">
        <f>IF(OR(L355="",M355="",P355=""),"",L355*P355)</f>
        <v/>
      </c>
    </row>
    <row r="356" ht="15" customHeight="1" s="28">
      <c r="A356" s="44" t="inlineStr">
        <is>
          <t>R-SB-0354</t>
        </is>
      </c>
      <c r="B356" s="45" t="n">
        <v>46016</v>
      </c>
      <c r="C356" s="44" t="inlineStr">
        <is>
          <t>2025-12</t>
        </is>
      </c>
      <c r="D356" s="44" t="n">
        <v>2025</v>
      </c>
      <c r="E356" s="44" t="inlineStr">
        <is>
          <t>P-SB-002</t>
        </is>
      </c>
      <c r="F356" s="44" t="inlineStr">
        <is>
          <t>C-SB-04</t>
        </is>
      </c>
      <c r="G356" s="46" t="inlineStr">
        <is>
          <t>인도</t>
        </is>
      </c>
      <c r="H356" s="44" t="inlineStr">
        <is>
          <t>IN</t>
        </is>
      </c>
      <c r="I356" s="47" t="n">
        <v>8525</v>
      </c>
      <c r="J356" s="44" t="inlineStr">
        <is>
          <t>EA</t>
        </is>
      </c>
      <c r="K356" s="48" t="n">
        <v>7.67</v>
      </c>
      <c r="L356" s="48" t="n">
        <v>33480.81</v>
      </c>
      <c r="M356" s="44" t="inlineStr">
        <is>
          <t>USD</t>
        </is>
      </c>
      <c r="N356" s="44" t="inlineStr">
        <is>
          <t>FOB</t>
        </is>
      </c>
      <c r="O356" s="44" t="inlineStr">
        <is>
          <t>N</t>
        </is>
      </c>
      <c r="P356" s="48" t="n">
        <v>1465.355</v>
      </c>
      <c r="Q356" s="47">
        <f>IF(OR(L356="",M356="",P356=""),"",L356*P356)</f>
        <v/>
      </c>
    </row>
    <row r="357" ht="15" customHeight="1" s="28">
      <c r="A357" s="44" t="inlineStr">
        <is>
          <t>R-SB-0355</t>
        </is>
      </c>
      <c r="B357" s="45" t="n">
        <v>46017</v>
      </c>
      <c r="C357" s="44" t="inlineStr">
        <is>
          <t>2025-12</t>
        </is>
      </c>
      <c r="D357" s="44" t="n">
        <v>2025</v>
      </c>
      <c r="E357" s="44" t="inlineStr">
        <is>
          <t>P-SB-001</t>
        </is>
      </c>
      <c r="F357" s="44" t="inlineStr">
        <is>
          <t>C-SB-01</t>
        </is>
      </c>
      <c r="G357" s="46" t="inlineStr">
        <is>
          <t>미국</t>
        </is>
      </c>
      <c r="H357" s="44" t="inlineStr">
        <is>
          <t>US</t>
        </is>
      </c>
      <c r="I357" s="47" t="n">
        <v>194533</v>
      </c>
      <c r="J357" s="44" t="inlineStr">
        <is>
          <t>EA</t>
        </is>
      </c>
      <c r="K357" s="50" t="n"/>
      <c r="L357" s="48" t="n">
        <v>362514.04</v>
      </c>
      <c r="M357" s="44" t="inlineStr">
        <is>
          <t>USD</t>
        </is>
      </c>
      <c r="N357" s="44" t="inlineStr">
        <is>
          <t>FOB</t>
        </is>
      </c>
      <c r="O357" s="44" t="inlineStr">
        <is>
          <t>N</t>
        </is>
      </c>
      <c r="P357" s="48" t="n">
        <v>1465.355</v>
      </c>
      <c r="Q357" s="47">
        <f>IF(OR(L357="",M357="",P357=""),"",L357*P357)</f>
        <v/>
      </c>
    </row>
    <row r="358" ht="15" customHeight="1" s="28">
      <c r="A358" s="44" t="inlineStr">
        <is>
          <t>R-SB-0356</t>
        </is>
      </c>
      <c r="B358" s="45" t="n">
        <v>46017</v>
      </c>
      <c r="C358" s="44" t="inlineStr">
        <is>
          <t>2025-12</t>
        </is>
      </c>
      <c r="D358" s="44" t="n">
        <v>2025</v>
      </c>
      <c r="E358" s="44" t="inlineStr">
        <is>
          <t>P-SB-002</t>
        </is>
      </c>
      <c r="F358" s="44" t="inlineStr">
        <is>
          <t>C-SB-01</t>
        </is>
      </c>
      <c r="G358" s="46" t="inlineStr">
        <is>
          <t>미국</t>
        </is>
      </c>
      <c r="H358" s="44" t="inlineStr">
        <is>
          <t>US</t>
        </is>
      </c>
      <c r="I358" s="47" t="n">
        <v>47482</v>
      </c>
      <c r="J358" s="44" t="inlineStr">
        <is>
          <t>EA</t>
        </is>
      </c>
      <c r="K358" s="48" t="n">
        <v>42.73</v>
      </c>
      <c r="L358" s="48" t="n">
        <v>180968.18</v>
      </c>
      <c r="M358" s="49" t="n"/>
      <c r="N358" s="44" t="inlineStr">
        <is>
          <t>FOB</t>
        </is>
      </c>
      <c r="O358" s="44" t="inlineStr">
        <is>
          <t>N</t>
        </is>
      </c>
      <c r="P358" s="48" t="n">
        <v>1465.355</v>
      </c>
      <c r="Q358" s="47">
        <f>IF(OR(L358="",M358="",P358=""),"",L358*P358)</f>
        <v/>
      </c>
    </row>
    <row r="359" ht="15" customHeight="1" s="28">
      <c r="A359" s="44" t="inlineStr">
        <is>
          <t>R-SB-0357</t>
        </is>
      </c>
      <c r="B359" s="45" t="n">
        <v>46017</v>
      </c>
      <c r="C359" s="44" t="inlineStr">
        <is>
          <t>2025-12</t>
        </is>
      </c>
      <c r="D359" s="44" t="n">
        <v>2025</v>
      </c>
      <c r="E359" s="44" t="inlineStr">
        <is>
          <t>P-SB-003</t>
        </is>
      </c>
      <c r="F359" s="44" t="inlineStr">
        <is>
          <t>C-SB-03</t>
        </is>
      </c>
      <c r="G359" s="46" t="inlineStr">
        <is>
          <t>베트남</t>
        </is>
      </c>
      <c r="H359" s="44" t="inlineStr">
        <is>
          <t>VN</t>
        </is>
      </c>
      <c r="I359" s="47" t="n">
        <v>43497</v>
      </c>
      <c r="J359" s="44" t="inlineStr">
        <is>
          <t>EA</t>
        </is>
      </c>
      <c r="K359" s="48" t="n">
        <v>10.87</v>
      </c>
      <c r="L359" s="48" t="n">
        <v>39341.1</v>
      </c>
      <c r="M359" s="44" t="inlineStr">
        <is>
          <t>USD</t>
        </is>
      </c>
      <c r="N359" s="44" t="inlineStr">
        <is>
          <t>FOB</t>
        </is>
      </c>
      <c r="O359" s="44" t="inlineStr">
        <is>
          <t>N</t>
        </is>
      </c>
      <c r="P359" s="48" t="n">
        <v>1465.355</v>
      </c>
      <c r="Q359" s="47">
        <f>IF(OR(L359="",M359="",P359=""),"",L359*P359)</f>
        <v/>
      </c>
    </row>
  </sheetData>
  <autoFilter ref="A1:Q35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3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7" min="1" max="2"/>
    <col width="9" customWidth="1" style="27" min="3" max="3"/>
    <col width="12" customWidth="1" style="27" min="4" max="4"/>
    <col width="11" customWidth="1" style="27" min="5" max="5"/>
    <col width="18" customWidth="1" style="27" min="6" max="6"/>
    <col width="11" customWidth="1" style="27" min="7" max="8"/>
    <col width="14" customWidth="1" style="28" min="9" max="9"/>
    <col width="14" customWidth="1" style="28" min="10" max="10"/>
    <col width="14" customWidth="1" style="28" min="11" max="11"/>
  </cols>
  <sheetData>
    <row r="1" ht="15" customHeight="1" s="28">
      <c r="A1" s="36" t="inlineStr">
        <is>
          <t>물류ID</t>
        </is>
      </c>
      <c r="B1" s="36" t="inlineStr">
        <is>
          <t>실적ID</t>
        </is>
      </c>
      <c r="C1" s="36" t="inlineStr">
        <is>
          <t>운송수단</t>
        </is>
      </c>
      <c r="D1" s="36" t="inlineStr">
        <is>
          <t>출발지</t>
        </is>
      </c>
      <c r="E1" s="36" t="inlineStr">
        <is>
          <t>출발지코드</t>
        </is>
      </c>
      <c r="F1" s="36" t="inlineStr">
        <is>
          <t>도착지</t>
        </is>
      </c>
      <c r="G1" s="36" t="inlineStr">
        <is>
          <t>도착지코드</t>
        </is>
      </c>
      <c r="H1" s="36" t="inlineStr">
        <is>
          <t>선적일</t>
        </is>
      </c>
      <c r="I1" s="53" t="inlineStr">
        <is>
          <t>예정도착일</t>
        </is>
      </c>
      <c r="J1" s="53" t="inlineStr">
        <is>
          <t>실제도착일</t>
        </is>
      </c>
      <c r="K1" s="53" t="inlineStr">
        <is>
          <t>운임(USD)</t>
        </is>
      </c>
    </row>
    <row r="2" ht="15" customHeight="1" s="28">
      <c r="A2" s="44" t="inlineStr">
        <is>
          <t>L-SB-0001</t>
        </is>
      </c>
      <c r="B2" s="44" t="inlineStr">
        <is>
          <t>R-SB-0001</t>
        </is>
      </c>
      <c r="C2" s="46" t="inlineStr">
        <is>
          <t>항공</t>
        </is>
      </c>
      <c r="D2" s="46" t="inlineStr">
        <is>
          <t>인천공항</t>
        </is>
      </c>
      <c r="E2" s="44" t="inlineStr">
        <is>
          <t>ICN</t>
        </is>
      </c>
      <c r="F2" s="46" t="inlineStr">
        <is>
          <t>뭄바이공항</t>
        </is>
      </c>
      <c r="G2" s="44" t="inlineStr">
        <is>
          <t>BOM</t>
        </is>
      </c>
      <c r="H2" s="45" t="n">
        <v>44931</v>
      </c>
      <c r="I2" s="54" t="n">
        <v>44934</v>
      </c>
    </row>
    <row r="3" ht="15" customHeight="1" s="28">
      <c r="A3" s="44" t="inlineStr">
        <is>
          <t>L-SB-0002</t>
        </is>
      </c>
      <c r="B3" s="44" t="inlineStr">
        <is>
          <t>R-SB-0002</t>
        </is>
      </c>
      <c r="C3" s="46" t="inlineStr">
        <is>
          <t>항공</t>
        </is>
      </c>
      <c r="D3" s="46" t="inlineStr">
        <is>
          <t>인천공항</t>
        </is>
      </c>
      <c r="E3" s="44" t="inlineStr">
        <is>
          <t>ICN</t>
        </is>
      </c>
      <c r="F3" s="46" t="inlineStr">
        <is>
          <t>몬테레이공항</t>
        </is>
      </c>
      <c r="G3" s="44" t="inlineStr">
        <is>
          <t>MTY</t>
        </is>
      </c>
      <c r="H3" s="45" t="n">
        <v>44940</v>
      </c>
      <c r="I3" s="54" t="n">
        <v>44943</v>
      </c>
      <c r="J3" s="54" t="n">
        <v>44943</v>
      </c>
      <c r="K3" s="55" t="n">
        <v>135</v>
      </c>
    </row>
    <row r="4" ht="15" customHeight="1" s="28">
      <c r="A4" s="44" t="inlineStr">
        <is>
          <t>L-SB-0003</t>
        </is>
      </c>
      <c r="B4" s="44" t="inlineStr">
        <is>
          <t>R-SB-0003</t>
        </is>
      </c>
      <c r="C4" s="46" t="inlineStr">
        <is>
          <t>항공</t>
        </is>
      </c>
      <c r="D4" s="46" t="inlineStr">
        <is>
          <t>인천공항</t>
        </is>
      </c>
      <c r="E4" s="44" t="inlineStr">
        <is>
          <t>ICN</t>
        </is>
      </c>
      <c r="F4" s="46" t="inlineStr">
        <is>
          <t>몬테레이공항</t>
        </is>
      </c>
      <c r="G4" s="44" t="inlineStr">
        <is>
          <t>MTY</t>
        </is>
      </c>
      <c r="H4" s="45" t="n">
        <v>44941</v>
      </c>
      <c r="I4" s="54" t="n">
        <v>44945</v>
      </c>
    </row>
    <row r="5" ht="15" customHeight="1" s="28">
      <c r="A5" s="44" t="inlineStr">
        <is>
          <t>L-SB-0004</t>
        </is>
      </c>
      <c r="B5" s="44" t="inlineStr">
        <is>
          <t>R-SB-0004</t>
        </is>
      </c>
      <c r="C5" s="46" t="inlineStr">
        <is>
          <t>항공</t>
        </is>
      </c>
      <c r="D5" s="46" t="inlineStr">
        <is>
          <t>인천공항</t>
        </is>
      </c>
      <c r="E5" s="44" t="inlineStr">
        <is>
          <t>ICN</t>
        </is>
      </c>
      <c r="F5" s="46" t="inlineStr">
        <is>
          <t>다낭공항</t>
        </is>
      </c>
      <c r="G5" s="44" t="inlineStr">
        <is>
          <t>DAD</t>
        </is>
      </c>
      <c r="H5" s="45" t="n">
        <v>44944</v>
      </c>
      <c r="I5" s="54" t="n">
        <v>44947</v>
      </c>
      <c r="J5" s="54" t="n">
        <v>44947</v>
      </c>
      <c r="K5" s="55" t="n">
        <v>164.28</v>
      </c>
    </row>
    <row r="6" ht="15" customHeight="1" s="28">
      <c r="A6" s="44" t="inlineStr">
        <is>
          <t>L-SB-0005</t>
        </is>
      </c>
      <c r="B6" s="44" t="inlineStr">
        <is>
          <t>R-SB-0005</t>
        </is>
      </c>
      <c r="C6" s="46" t="inlineStr">
        <is>
          <t>항공</t>
        </is>
      </c>
      <c r="D6" s="46" t="inlineStr">
        <is>
          <t>인천공항</t>
        </is>
      </c>
      <c r="E6" s="44" t="inlineStr">
        <is>
          <t>ICN</t>
        </is>
      </c>
      <c r="F6" s="46" t="inlineStr">
        <is>
          <t>뭄바이공항</t>
        </is>
      </c>
      <c r="G6" s="44" t="inlineStr">
        <is>
          <t>BOM</t>
        </is>
      </c>
      <c r="H6" s="45" t="n">
        <v>44944</v>
      </c>
      <c r="I6" s="54" t="n">
        <v>44948</v>
      </c>
      <c r="J6" s="54" t="n">
        <v>44948</v>
      </c>
      <c r="K6" s="55" t="n">
        <v>135</v>
      </c>
    </row>
    <row r="7" ht="15" customHeight="1" s="28">
      <c r="A7" s="44" t="inlineStr">
        <is>
          <t>L-SB-0006</t>
        </is>
      </c>
      <c r="B7" s="44" t="inlineStr">
        <is>
          <t>R-SB-0006</t>
        </is>
      </c>
      <c r="C7" s="46" t="inlineStr">
        <is>
          <t>항공</t>
        </is>
      </c>
      <c r="D7" s="46" t="inlineStr">
        <is>
          <t>인천공항</t>
        </is>
      </c>
      <c r="E7" s="44" t="inlineStr">
        <is>
          <t>ICN</t>
        </is>
      </c>
      <c r="F7" s="46" t="inlineStr">
        <is>
          <t>몬테레이공항</t>
        </is>
      </c>
      <c r="G7" s="44" t="inlineStr">
        <is>
          <t>MTY</t>
        </is>
      </c>
      <c r="H7" s="45" t="n">
        <v>44945</v>
      </c>
      <c r="I7" s="54" t="n">
        <v>44948</v>
      </c>
      <c r="J7" s="54" t="n">
        <v>44952</v>
      </c>
      <c r="K7" s="55" t="n">
        <v>159.17</v>
      </c>
    </row>
    <row r="8" ht="15" customHeight="1" s="28">
      <c r="A8" s="44" t="inlineStr">
        <is>
          <t>L-SB-0007</t>
        </is>
      </c>
      <c r="B8" s="44" t="inlineStr">
        <is>
          <t>R-SB-0007</t>
        </is>
      </c>
      <c r="C8" s="46" t="inlineStr">
        <is>
          <t>항공</t>
        </is>
      </c>
      <c r="D8" s="46" t="inlineStr">
        <is>
          <t>인천공항</t>
        </is>
      </c>
      <c r="E8" s="44" t="inlineStr">
        <is>
          <t>ICN</t>
        </is>
      </c>
      <c r="F8" s="46" t="inlineStr">
        <is>
          <t>댈러스공항</t>
        </is>
      </c>
      <c r="G8" s="44" t="inlineStr">
        <is>
          <t>DFW</t>
        </is>
      </c>
      <c r="H8" s="45" t="n">
        <v>44948</v>
      </c>
      <c r="I8" s="54" t="n">
        <v>44953</v>
      </c>
      <c r="J8" s="54" t="n">
        <v>44953</v>
      </c>
      <c r="K8" s="55" t="n">
        <v>236.19</v>
      </c>
    </row>
    <row r="9" ht="15" customHeight="1" s="28">
      <c r="A9" s="44" t="inlineStr">
        <is>
          <t>L-SB-0008</t>
        </is>
      </c>
      <c r="B9" s="44" t="inlineStr">
        <is>
          <t>R-SB-0008</t>
        </is>
      </c>
      <c r="C9" s="46" t="inlineStr">
        <is>
          <t>항공</t>
        </is>
      </c>
      <c r="D9" s="46" t="inlineStr">
        <is>
          <t>인천공항</t>
        </is>
      </c>
      <c r="E9" s="44" t="inlineStr">
        <is>
          <t>ICN</t>
        </is>
      </c>
      <c r="F9" s="46" t="inlineStr">
        <is>
          <t>댈러스공항</t>
        </is>
      </c>
      <c r="G9" s="44" t="inlineStr">
        <is>
          <t>DFW</t>
        </is>
      </c>
      <c r="H9" s="45" t="n">
        <v>44950</v>
      </c>
      <c r="I9" s="54" t="n">
        <v>44954</v>
      </c>
      <c r="J9" s="54" t="n">
        <v>44953</v>
      </c>
    </row>
    <row r="10" ht="15" customHeight="1" s="28">
      <c r="A10" s="44" t="inlineStr">
        <is>
          <t>L-SB-0009</t>
        </is>
      </c>
      <c r="B10" s="44" t="inlineStr">
        <is>
          <t>R-SB-0009</t>
        </is>
      </c>
      <c r="C10" s="46" t="inlineStr">
        <is>
          <t>항공</t>
        </is>
      </c>
      <c r="D10" s="46" t="inlineStr">
        <is>
          <t>인천공항</t>
        </is>
      </c>
      <c r="E10" s="44" t="inlineStr">
        <is>
          <t>ICN</t>
        </is>
      </c>
      <c r="F10" s="46" t="inlineStr">
        <is>
          <t>다낭공항</t>
        </is>
      </c>
      <c r="G10" s="44" t="inlineStr">
        <is>
          <t>DAD</t>
        </is>
      </c>
      <c r="H10" s="45" t="n">
        <v>44951</v>
      </c>
      <c r="I10" s="54" t="n">
        <v>44956</v>
      </c>
      <c r="J10" s="54" t="n">
        <v>44955</v>
      </c>
      <c r="K10" s="55" t="n">
        <v>135</v>
      </c>
    </row>
    <row r="11" ht="15" customHeight="1" s="28">
      <c r="A11" s="44" t="inlineStr">
        <is>
          <t>L-SB-0010</t>
        </is>
      </c>
      <c r="B11" s="44" t="inlineStr">
        <is>
          <t>R-SB-0010</t>
        </is>
      </c>
      <c r="C11" s="46" t="inlineStr">
        <is>
          <t>해상</t>
        </is>
      </c>
      <c r="D11" s="46" t="inlineStr">
        <is>
          <t>부산항</t>
        </is>
      </c>
      <c r="E11" s="44" t="inlineStr">
        <is>
          <t>KRPUS</t>
        </is>
      </c>
      <c r="F11" s="46" t="inlineStr">
        <is>
          <t>다낭항</t>
        </is>
      </c>
      <c r="G11" s="44" t="inlineStr">
        <is>
          <t>VNDAD</t>
        </is>
      </c>
      <c r="H11" s="45" t="n">
        <v>44953</v>
      </c>
      <c r="I11" s="54" t="n">
        <v>44975</v>
      </c>
      <c r="J11" s="54" t="n">
        <v>44974</v>
      </c>
      <c r="K11" s="55" t="n">
        <v>530</v>
      </c>
    </row>
    <row r="12" ht="15" customHeight="1" s="28">
      <c r="A12" s="44" t="inlineStr">
        <is>
          <t>L-SB-0011</t>
        </is>
      </c>
      <c r="B12" s="44" t="inlineStr">
        <is>
          <t>R-SB-0010</t>
        </is>
      </c>
      <c r="C12" s="46" t="inlineStr">
        <is>
          <t>해상</t>
        </is>
      </c>
      <c r="D12" s="46" t="inlineStr">
        <is>
          <t>부산항</t>
        </is>
      </c>
      <c r="E12" s="44" t="inlineStr">
        <is>
          <t>KRPUS</t>
        </is>
      </c>
      <c r="F12" s="46" t="inlineStr">
        <is>
          <t>다낭항</t>
        </is>
      </c>
      <c r="G12" s="44" t="inlineStr">
        <is>
          <t>VNDAD</t>
        </is>
      </c>
      <c r="H12" s="45" t="n">
        <v>44953</v>
      </c>
      <c r="I12" s="54" t="n">
        <v>44976</v>
      </c>
      <c r="J12" s="54" t="n">
        <v>44976</v>
      </c>
      <c r="K12" s="55" t="n">
        <v>530</v>
      </c>
    </row>
    <row r="13" ht="15" customHeight="1" s="28">
      <c r="A13" s="44" t="inlineStr">
        <is>
          <t>L-SB-0012</t>
        </is>
      </c>
      <c r="B13" s="44" t="inlineStr">
        <is>
          <t>R-SB-0011</t>
        </is>
      </c>
      <c r="C13" s="46" t="inlineStr">
        <is>
          <t>항공</t>
        </is>
      </c>
      <c r="D13" s="46" t="inlineStr">
        <is>
          <t>인천공항</t>
        </is>
      </c>
      <c r="E13" s="44" t="inlineStr">
        <is>
          <t>ICN</t>
        </is>
      </c>
      <c r="F13" s="46" t="inlineStr">
        <is>
          <t>뭄바이공항</t>
        </is>
      </c>
      <c r="G13" s="44" t="inlineStr">
        <is>
          <t>BOM</t>
        </is>
      </c>
      <c r="H13" s="45" t="n">
        <v>44953</v>
      </c>
      <c r="I13" s="54" t="n">
        <v>44956</v>
      </c>
      <c r="J13" s="54" t="n">
        <v>44956</v>
      </c>
      <c r="K13" s="55" t="n">
        <v>135</v>
      </c>
    </row>
    <row r="14" ht="15" customHeight="1" s="28">
      <c r="A14" s="44" t="inlineStr">
        <is>
          <t>L-SB-0013</t>
        </is>
      </c>
      <c r="B14" s="44" t="inlineStr">
        <is>
          <t>R-SB-0012</t>
        </is>
      </c>
      <c r="C14" s="46" t="inlineStr">
        <is>
          <t>항공</t>
        </is>
      </c>
      <c r="D14" s="46" t="inlineStr">
        <is>
          <t>인천공항</t>
        </is>
      </c>
      <c r="E14" s="44" t="inlineStr">
        <is>
          <t>ICN</t>
        </is>
      </c>
      <c r="F14" s="46" t="inlineStr">
        <is>
          <t>다낭공항</t>
        </is>
      </c>
      <c r="G14" s="44" t="inlineStr">
        <is>
          <t>DAD</t>
        </is>
      </c>
      <c r="H14" s="45" t="n">
        <v>44970</v>
      </c>
      <c r="I14" s="54" t="n">
        <v>44973</v>
      </c>
      <c r="J14" s="54" t="n">
        <v>44973</v>
      </c>
      <c r="K14" s="55" t="n">
        <v>135</v>
      </c>
    </row>
    <row r="15" ht="15" customHeight="1" s="28">
      <c r="A15" s="44" t="inlineStr">
        <is>
          <t>L-SB-0014</t>
        </is>
      </c>
      <c r="B15" s="44" t="inlineStr">
        <is>
          <t>R-SB-0013</t>
        </is>
      </c>
      <c r="C15" s="46" t="inlineStr">
        <is>
          <t>항공</t>
        </is>
      </c>
      <c r="D15" s="46" t="inlineStr">
        <is>
          <t>인천공항</t>
        </is>
      </c>
      <c r="E15" s="44" t="inlineStr">
        <is>
          <t>ICN</t>
        </is>
      </c>
      <c r="F15" s="46" t="inlineStr">
        <is>
          <t>댈러스공항</t>
        </is>
      </c>
      <c r="G15" s="44" t="inlineStr">
        <is>
          <t>DFW</t>
        </is>
      </c>
      <c r="H15" s="45" t="n">
        <v>44973</v>
      </c>
      <c r="I15" s="54" t="n">
        <v>44978</v>
      </c>
      <c r="J15" s="54" t="n">
        <v>44977</v>
      </c>
      <c r="K15" s="55" t="n">
        <v>316.08</v>
      </c>
    </row>
    <row r="16" ht="15" customHeight="1" s="28">
      <c r="A16" s="44" t="inlineStr">
        <is>
          <t>L-SB-0015</t>
        </is>
      </c>
      <c r="B16" s="44" t="inlineStr">
        <is>
          <t>R-SB-0014</t>
        </is>
      </c>
      <c r="C16" s="46" t="inlineStr">
        <is>
          <t>해상</t>
        </is>
      </c>
      <c r="D16" s="46" t="inlineStr">
        <is>
          <t>부산항</t>
        </is>
      </c>
      <c r="E16" s="44" t="inlineStr">
        <is>
          <t>KRPUS</t>
        </is>
      </c>
      <c r="F16" s="46" t="inlineStr">
        <is>
          <t>다낭항</t>
        </is>
      </c>
      <c r="G16" s="44" t="inlineStr">
        <is>
          <t>VNDAD</t>
        </is>
      </c>
      <c r="H16" s="45" t="n">
        <v>44973</v>
      </c>
      <c r="I16" s="54" t="n">
        <v>44993</v>
      </c>
      <c r="J16" s="54" t="n">
        <v>44993</v>
      </c>
      <c r="K16" s="55" t="n">
        <v>530</v>
      </c>
    </row>
    <row r="17" ht="15" customHeight="1" s="28">
      <c r="A17" s="44" t="inlineStr">
        <is>
          <t>L-SB-0016</t>
        </is>
      </c>
      <c r="B17" s="44" t="inlineStr">
        <is>
          <t>R-SB-0015</t>
        </is>
      </c>
      <c r="C17" s="46" t="inlineStr">
        <is>
          <t>항공</t>
        </is>
      </c>
      <c r="D17" s="46" t="inlineStr">
        <is>
          <t>인천공항</t>
        </is>
      </c>
      <c r="E17" s="44" t="inlineStr">
        <is>
          <t>ICN</t>
        </is>
      </c>
      <c r="F17" s="46" t="inlineStr">
        <is>
          <t>뭄바이공항</t>
        </is>
      </c>
      <c r="G17" s="44" t="inlineStr">
        <is>
          <t>BOM</t>
        </is>
      </c>
      <c r="H17" s="45" t="n">
        <v>44973</v>
      </c>
      <c r="I17" s="54" t="n">
        <v>44975</v>
      </c>
      <c r="J17" s="54" t="n">
        <v>44975</v>
      </c>
      <c r="K17" s="55" t="n">
        <v>135</v>
      </c>
    </row>
    <row r="18" ht="15" customHeight="1" s="28">
      <c r="A18" s="44" t="inlineStr">
        <is>
          <t>L-SB-0017</t>
        </is>
      </c>
      <c r="B18" s="44" t="inlineStr">
        <is>
          <t>R-SB-0016</t>
        </is>
      </c>
      <c r="C18" s="46" t="inlineStr">
        <is>
          <t>항공</t>
        </is>
      </c>
      <c r="D18" s="46" t="inlineStr">
        <is>
          <t>인천공항</t>
        </is>
      </c>
      <c r="E18" s="44" t="inlineStr">
        <is>
          <t>ICN</t>
        </is>
      </c>
      <c r="F18" s="46" t="inlineStr">
        <is>
          <t>몬테레이공항</t>
        </is>
      </c>
      <c r="G18" s="49" t="n"/>
      <c r="H18" s="45" t="n">
        <v>44974</v>
      </c>
      <c r="I18" s="54" t="n">
        <v>44978</v>
      </c>
      <c r="J18" s="54" t="n">
        <v>44978</v>
      </c>
      <c r="K18" s="55" t="n">
        <v>156.06</v>
      </c>
    </row>
    <row r="19" ht="15" customHeight="1" s="28">
      <c r="A19" s="44" t="inlineStr">
        <is>
          <t>L-SB-0018</t>
        </is>
      </c>
      <c r="B19" s="44" t="inlineStr">
        <is>
          <t>R-SB-0017</t>
        </is>
      </c>
      <c r="C19" s="46" t="inlineStr">
        <is>
          <t>항공</t>
        </is>
      </c>
      <c r="D19" s="46" t="inlineStr">
        <is>
          <t>인천공항</t>
        </is>
      </c>
      <c r="E19" s="44" t="inlineStr">
        <is>
          <t>ICN</t>
        </is>
      </c>
      <c r="F19" s="46" t="inlineStr">
        <is>
          <t>몬테레이공항</t>
        </is>
      </c>
      <c r="G19" s="49" t="n"/>
      <c r="H19" s="45" t="n">
        <v>44974</v>
      </c>
      <c r="I19" s="54" t="n">
        <v>44977</v>
      </c>
      <c r="J19" s="54" t="n">
        <v>44977</v>
      </c>
      <c r="K19" s="55" t="n">
        <v>135</v>
      </c>
    </row>
    <row r="20" ht="15" customHeight="1" s="28">
      <c r="A20" s="44" t="inlineStr">
        <is>
          <t>L-SB-0019</t>
        </is>
      </c>
      <c r="B20" s="44" t="inlineStr">
        <is>
          <t>R-SB-0018</t>
        </is>
      </c>
      <c r="C20" s="46" t="inlineStr">
        <is>
          <t>항공</t>
        </is>
      </c>
      <c r="D20" s="46" t="inlineStr">
        <is>
          <t>인천공항</t>
        </is>
      </c>
      <c r="E20" s="44" t="inlineStr">
        <is>
          <t>ICN</t>
        </is>
      </c>
      <c r="F20" s="46" t="inlineStr">
        <is>
          <t>뭄바이공항</t>
        </is>
      </c>
      <c r="G20" s="44" t="inlineStr">
        <is>
          <t>BOM</t>
        </is>
      </c>
      <c r="H20" s="45" t="n">
        <v>44975</v>
      </c>
      <c r="I20" s="54" t="n">
        <v>44978</v>
      </c>
      <c r="J20" s="54" t="n">
        <v>44978</v>
      </c>
    </row>
    <row r="21" ht="15" customHeight="1" s="28">
      <c r="A21" s="44" t="inlineStr">
        <is>
          <t>L-SB-0020</t>
        </is>
      </c>
      <c r="B21" s="44" t="inlineStr">
        <is>
          <t>R-SB-0019</t>
        </is>
      </c>
      <c r="C21" s="46" t="inlineStr">
        <is>
          <t>항공</t>
        </is>
      </c>
      <c r="D21" s="46" t="inlineStr">
        <is>
          <t>인천공항</t>
        </is>
      </c>
      <c r="E21" s="44" t="inlineStr">
        <is>
          <t>ICN</t>
        </is>
      </c>
      <c r="F21" s="46" t="inlineStr">
        <is>
          <t>몬테레이공항</t>
        </is>
      </c>
      <c r="G21" s="44" t="inlineStr">
        <is>
          <t>MTY</t>
        </is>
      </c>
      <c r="H21" s="45" t="n">
        <v>44978</v>
      </c>
      <c r="I21" s="54" t="n">
        <v>44981</v>
      </c>
      <c r="J21" s="54" t="n">
        <v>44980</v>
      </c>
    </row>
    <row r="22" ht="15" customHeight="1" s="28">
      <c r="A22" s="44" t="inlineStr">
        <is>
          <t>L-SB-0021</t>
        </is>
      </c>
      <c r="B22" s="44" t="inlineStr">
        <is>
          <t>R-SB-0020</t>
        </is>
      </c>
      <c r="C22" s="46" t="inlineStr">
        <is>
          <t>항공</t>
        </is>
      </c>
      <c r="D22" s="46" t="inlineStr">
        <is>
          <t>인천공항</t>
        </is>
      </c>
      <c r="E22" s="44" t="inlineStr">
        <is>
          <t>ICN</t>
        </is>
      </c>
      <c r="F22" s="46" t="inlineStr">
        <is>
          <t>다낭공항</t>
        </is>
      </c>
      <c r="G22" s="49" t="n"/>
      <c r="H22" s="45" t="n">
        <v>44978</v>
      </c>
      <c r="J22" s="54" t="n">
        <v>44982</v>
      </c>
      <c r="K22" s="55" t="n">
        <v>135</v>
      </c>
    </row>
    <row r="23" ht="15" customHeight="1" s="28">
      <c r="A23" s="44" t="inlineStr">
        <is>
          <t>L-SB-0022</t>
        </is>
      </c>
      <c r="B23" s="44" t="inlineStr">
        <is>
          <t>R-SB-0021</t>
        </is>
      </c>
      <c r="C23" s="46" t="inlineStr">
        <is>
          <t>항공</t>
        </is>
      </c>
      <c r="D23" s="46" t="inlineStr">
        <is>
          <t>인천공항</t>
        </is>
      </c>
      <c r="E23" s="44" t="inlineStr">
        <is>
          <t>ICN</t>
        </is>
      </c>
      <c r="F23" s="46" t="inlineStr">
        <is>
          <t>댈러스공항</t>
        </is>
      </c>
      <c r="G23" s="44" t="inlineStr">
        <is>
          <t>DFW</t>
        </is>
      </c>
      <c r="H23" s="52" t="n"/>
      <c r="K23" s="55" t="n">
        <v>158.92</v>
      </c>
    </row>
    <row r="24" ht="15" customHeight="1" s="28">
      <c r="A24" s="44" t="inlineStr">
        <is>
          <t>L-SB-0023</t>
        </is>
      </c>
      <c r="B24" s="44" t="inlineStr">
        <is>
          <t>R-SB-0022</t>
        </is>
      </c>
      <c r="C24" s="46" t="inlineStr">
        <is>
          <t>항공</t>
        </is>
      </c>
      <c r="D24" s="46" t="inlineStr">
        <is>
          <t>인천공항</t>
        </is>
      </c>
      <c r="E24" s="44" t="inlineStr">
        <is>
          <t>ICN</t>
        </is>
      </c>
      <c r="F24" s="46" t="inlineStr">
        <is>
          <t>몬테레이공항</t>
        </is>
      </c>
      <c r="G24" s="44" t="inlineStr">
        <is>
          <t>MTY</t>
        </is>
      </c>
      <c r="H24" s="45" t="n">
        <v>44990</v>
      </c>
      <c r="J24" s="54" t="n">
        <v>44993</v>
      </c>
      <c r="K24" s="55" t="n">
        <v>197.65</v>
      </c>
    </row>
    <row r="25" ht="15" customHeight="1" s="28">
      <c r="A25" s="44" t="inlineStr">
        <is>
          <t>L-SB-0024</t>
        </is>
      </c>
      <c r="B25" s="44" t="inlineStr">
        <is>
          <t>R-SB-0023</t>
        </is>
      </c>
      <c r="C25" s="46" t="inlineStr">
        <is>
          <t>항공</t>
        </is>
      </c>
      <c r="D25" s="46" t="inlineStr">
        <is>
          <t>인천공항</t>
        </is>
      </c>
      <c r="E25" s="44" t="inlineStr">
        <is>
          <t>ICN</t>
        </is>
      </c>
      <c r="F25" s="46" t="inlineStr">
        <is>
          <t>뭄바이공항</t>
        </is>
      </c>
      <c r="G25" s="44" t="inlineStr">
        <is>
          <t>BOM</t>
        </is>
      </c>
      <c r="H25" s="52" t="n"/>
      <c r="K25" s="55" t="n">
        <v>135</v>
      </c>
    </row>
    <row r="26" ht="15" customHeight="1" s="28">
      <c r="A26" s="44" t="inlineStr">
        <is>
          <t>L-SB-0025</t>
        </is>
      </c>
      <c r="B26" s="44" t="inlineStr">
        <is>
          <t>R-SB-0024</t>
        </is>
      </c>
      <c r="C26" s="46" t="inlineStr">
        <is>
          <t>항공</t>
        </is>
      </c>
      <c r="D26" s="46" t="inlineStr">
        <is>
          <t>인천공항</t>
        </is>
      </c>
      <c r="E26" s="44" t="inlineStr">
        <is>
          <t>ICN</t>
        </is>
      </c>
      <c r="F26" s="46" t="inlineStr">
        <is>
          <t>댈러스공항</t>
        </is>
      </c>
      <c r="G26" s="44" t="inlineStr">
        <is>
          <t>DFW</t>
        </is>
      </c>
      <c r="H26" s="45" t="n">
        <v>44994</v>
      </c>
      <c r="I26" s="54" t="n">
        <v>44999</v>
      </c>
      <c r="J26" s="54" t="n">
        <v>44998</v>
      </c>
      <c r="K26" s="55" t="n">
        <v>322.91</v>
      </c>
    </row>
    <row r="27" ht="15" customHeight="1" s="28">
      <c r="A27" s="44" t="inlineStr">
        <is>
          <t>L-SB-0026</t>
        </is>
      </c>
      <c r="B27" s="44" t="inlineStr">
        <is>
          <t>R-SB-0025</t>
        </is>
      </c>
      <c r="C27" s="49" t="n"/>
      <c r="D27" s="46" t="inlineStr">
        <is>
          <t>인천공항</t>
        </is>
      </c>
      <c r="E27" s="44" t="inlineStr">
        <is>
          <t>ICN</t>
        </is>
      </c>
      <c r="F27" s="46" t="inlineStr">
        <is>
          <t>다낭공항</t>
        </is>
      </c>
      <c r="G27" s="44" t="inlineStr">
        <is>
          <t>DAD</t>
        </is>
      </c>
      <c r="H27" s="45" t="n">
        <v>44996</v>
      </c>
      <c r="I27" s="54" t="n">
        <v>45000</v>
      </c>
      <c r="J27" s="54" t="n">
        <v>45000</v>
      </c>
      <c r="K27" s="55" t="n">
        <v>137.97</v>
      </c>
    </row>
    <row r="28" ht="15" customHeight="1" s="28">
      <c r="A28" s="44" t="inlineStr">
        <is>
          <t>L-SB-0027</t>
        </is>
      </c>
      <c r="B28" s="44" t="inlineStr">
        <is>
          <t>R-SB-0026</t>
        </is>
      </c>
      <c r="C28" s="46" t="inlineStr">
        <is>
          <t>해상</t>
        </is>
      </c>
      <c r="D28" s="46" t="inlineStr">
        <is>
          <t>부산항</t>
        </is>
      </c>
      <c r="E28" s="44" t="inlineStr">
        <is>
          <t>KRPUS</t>
        </is>
      </c>
      <c r="F28" s="46" t="inlineStr">
        <is>
          <t>다낭항</t>
        </is>
      </c>
      <c r="G28" s="44" t="inlineStr">
        <is>
          <t>VNDAD</t>
        </is>
      </c>
      <c r="H28" s="45" t="n">
        <v>44997</v>
      </c>
      <c r="I28" s="54" t="n">
        <v>45020</v>
      </c>
      <c r="J28" s="54" t="n">
        <v>45019</v>
      </c>
      <c r="K28" s="55" t="n">
        <v>530</v>
      </c>
    </row>
    <row r="29" ht="15" customHeight="1" s="28">
      <c r="A29" s="44" t="inlineStr">
        <is>
          <t>L-SB-0028</t>
        </is>
      </c>
      <c r="B29" s="44" t="inlineStr">
        <is>
          <t>R-SB-0027</t>
        </is>
      </c>
      <c r="C29" s="46" t="inlineStr">
        <is>
          <t>항공</t>
        </is>
      </c>
      <c r="D29" s="46" t="inlineStr">
        <is>
          <t>인천공항</t>
        </is>
      </c>
      <c r="E29" s="44" t="inlineStr">
        <is>
          <t>ICN</t>
        </is>
      </c>
      <c r="F29" s="46" t="inlineStr">
        <is>
          <t>댈러스공항</t>
        </is>
      </c>
      <c r="G29" s="44" t="inlineStr">
        <is>
          <t>DFW</t>
        </is>
      </c>
      <c r="H29" s="45" t="n">
        <v>44998</v>
      </c>
      <c r="I29" s="54" t="n">
        <v>45002</v>
      </c>
      <c r="J29" s="54" t="n">
        <v>45001</v>
      </c>
      <c r="K29" s="55" t="n">
        <v>135</v>
      </c>
    </row>
    <row r="30" ht="15" customHeight="1" s="28">
      <c r="A30" s="44" t="inlineStr">
        <is>
          <t>L-SB-0029</t>
        </is>
      </c>
      <c r="B30" s="44" t="inlineStr">
        <is>
          <t>R-SB-0028</t>
        </is>
      </c>
      <c r="C30" s="46" t="inlineStr">
        <is>
          <t>항공</t>
        </is>
      </c>
      <c r="D30" s="46" t="inlineStr">
        <is>
          <t>인천공항</t>
        </is>
      </c>
      <c r="E30" s="44" t="inlineStr">
        <is>
          <t>ICN</t>
        </is>
      </c>
      <c r="F30" s="46" t="inlineStr">
        <is>
          <t>다낭공항</t>
        </is>
      </c>
      <c r="G30" s="44" t="inlineStr">
        <is>
          <t>DAD</t>
        </is>
      </c>
      <c r="H30" s="45" t="n">
        <v>45001</v>
      </c>
      <c r="I30" s="54" t="n">
        <v>45005</v>
      </c>
      <c r="J30" s="54" t="n">
        <v>45005</v>
      </c>
      <c r="K30" s="55" t="n">
        <v>135</v>
      </c>
    </row>
    <row r="31" ht="15" customHeight="1" s="28">
      <c r="A31" s="44" t="inlineStr">
        <is>
          <t>L-SB-0030</t>
        </is>
      </c>
      <c r="B31" s="44" t="inlineStr">
        <is>
          <t>R-SB-0029</t>
        </is>
      </c>
      <c r="C31" s="46" t="inlineStr">
        <is>
          <t>항공</t>
        </is>
      </c>
      <c r="D31" s="46" t="inlineStr">
        <is>
          <t>인천공항</t>
        </is>
      </c>
      <c r="E31" s="44" t="inlineStr">
        <is>
          <t>ICN</t>
        </is>
      </c>
      <c r="F31" s="46" t="inlineStr">
        <is>
          <t>뭄바이공항</t>
        </is>
      </c>
      <c r="G31" s="44" t="inlineStr">
        <is>
          <t>BOM</t>
        </is>
      </c>
      <c r="H31" s="45" t="n">
        <v>45001</v>
      </c>
      <c r="I31" s="54" t="n">
        <v>45004</v>
      </c>
      <c r="J31" s="54" t="n">
        <v>45003</v>
      </c>
      <c r="K31" s="55" t="n">
        <v>135</v>
      </c>
    </row>
    <row r="32" ht="15" customHeight="1" s="28">
      <c r="A32" s="44" t="inlineStr">
        <is>
          <t>L-SB-0031</t>
        </is>
      </c>
      <c r="B32" s="44" t="inlineStr">
        <is>
          <t>R-SB-0030</t>
        </is>
      </c>
      <c r="C32" s="46" t="inlineStr">
        <is>
          <t>항공</t>
        </is>
      </c>
      <c r="D32" s="46" t="inlineStr">
        <is>
          <t>인천공항</t>
        </is>
      </c>
      <c r="E32" s="44" t="inlineStr">
        <is>
          <t>ICN</t>
        </is>
      </c>
      <c r="F32" s="46" t="inlineStr">
        <is>
          <t>댈러스공항</t>
        </is>
      </c>
      <c r="G32" s="44" t="inlineStr">
        <is>
          <t>DFW</t>
        </is>
      </c>
      <c r="H32" s="45" t="n">
        <v>45007</v>
      </c>
      <c r="I32" s="54" t="n">
        <v>45011</v>
      </c>
      <c r="J32" s="54" t="n">
        <v>45011</v>
      </c>
      <c r="K32" s="55" t="n">
        <v>185.7</v>
      </c>
    </row>
    <row r="33" ht="15" customHeight="1" s="28">
      <c r="A33" s="44" t="inlineStr">
        <is>
          <t>L-SB-0032</t>
        </is>
      </c>
      <c r="B33" s="44" t="inlineStr">
        <is>
          <t>R-SB-0031</t>
        </is>
      </c>
      <c r="C33" s="46" t="inlineStr">
        <is>
          <t>항공</t>
        </is>
      </c>
      <c r="D33" s="46" t="inlineStr">
        <is>
          <t>인천공항</t>
        </is>
      </c>
      <c r="E33" s="44" t="inlineStr">
        <is>
          <t>ICN</t>
        </is>
      </c>
      <c r="F33" s="46" t="inlineStr">
        <is>
          <t>몬테레이공항</t>
        </is>
      </c>
      <c r="G33" s="44" t="inlineStr">
        <is>
          <t>MTY</t>
        </is>
      </c>
      <c r="H33" s="45" t="n">
        <v>45008</v>
      </c>
      <c r="I33" s="54" t="n">
        <v>45011</v>
      </c>
      <c r="J33" s="54" t="n">
        <v>45013</v>
      </c>
      <c r="K33" s="55" t="n">
        <v>135</v>
      </c>
    </row>
    <row r="34" ht="15" customHeight="1" s="28">
      <c r="A34" s="44" t="inlineStr">
        <is>
          <t>L-SB-0033</t>
        </is>
      </c>
      <c r="B34" s="44" t="inlineStr">
        <is>
          <t>R-SB-0032</t>
        </is>
      </c>
      <c r="C34" s="46" t="inlineStr">
        <is>
          <t>항공</t>
        </is>
      </c>
      <c r="D34" s="46" t="inlineStr">
        <is>
          <t>인천공항</t>
        </is>
      </c>
      <c r="E34" s="44" t="inlineStr">
        <is>
          <t>ICN</t>
        </is>
      </c>
      <c r="F34" s="46" t="inlineStr">
        <is>
          <t>몬테레이공항</t>
        </is>
      </c>
      <c r="G34" s="44" t="inlineStr">
        <is>
          <t>MTY</t>
        </is>
      </c>
      <c r="H34" s="45" t="n">
        <v>45012</v>
      </c>
      <c r="I34" s="54" t="n">
        <v>45016</v>
      </c>
      <c r="J34" s="54" t="n">
        <v>45016</v>
      </c>
      <c r="K34" s="55" t="n">
        <v>135</v>
      </c>
    </row>
    <row r="35" ht="15" customHeight="1" s="28">
      <c r="A35" s="44" t="inlineStr">
        <is>
          <t>L-SB-0034</t>
        </is>
      </c>
      <c r="B35" s="44" t="inlineStr">
        <is>
          <t>R-SB-0033</t>
        </is>
      </c>
      <c r="C35" s="46" t="inlineStr">
        <is>
          <t>항공</t>
        </is>
      </c>
      <c r="D35" s="46" t="inlineStr">
        <is>
          <t>인천공항</t>
        </is>
      </c>
      <c r="E35" s="44" t="inlineStr">
        <is>
          <t>ICN</t>
        </is>
      </c>
      <c r="F35" s="46" t="inlineStr">
        <is>
          <t>뭄바이공항</t>
        </is>
      </c>
      <c r="G35" s="44" t="inlineStr">
        <is>
          <t>BOM</t>
        </is>
      </c>
      <c r="H35" s="45" t="n">
        <v>45019</v>
      </c>
      <c r="I35" s="54" t="n">
        <v>45021</v>
      </c>
      <c r="J35" s="54" t="n">
        <v>45021</v>
      </c>
      <c r="K35" s="55" t="n">
        <v>135</v>
      </c>
    </row>
    <row r="36" ht="15" customHeight="1" s="28">
      <c r="A36" s="44" t="inlineStr">
        <is>
          <t>L-SB-0035</t>
        </is>
      </c>
      <c r="B36" s="44" t="inlineStr">
        <is>
          <t>R-SB-0034</t>
        </is>
      </c>
      <c r="C36" s="46" t="inlineStr">
        <is>
          <t>항공</t>
        </is>
      </c>
      <c r="D36" s="46" t="inlineStr">
        <is>
          <t>인천공항</t>
        </is>
      </c>
      <c r="E36" s="44" t="inlineStr">
        <is>
          <t>ICN</t>
        </is>
      </c>
      <c r="F36" s="46" t="inlineStr">
        <is>
          <t>뭄바이공항</t>
        </is>
      </c>
      <c r="G36" s="44" t="inlineStr">
        <is>
          <t>BOM</t>
        </is>
      </c>
      <c r="H36" s="45" t="n">
        <v>45027</v>
      </c>
      <c r="I36" s="54" t="n">
        <v>45029</v>
      </c>
      <c r="J36" s="54" t="n">
        <v>45028</v>
      </c>
      <c r="K36" s="55" t="n">
        <v>135</v>
      </c>
    </row>
    <row r="37" ht="15" customHeight="1" s="28">
      <c r="A37" s="44" t="inlineStr">
        <is>
          <t>L-SB-0036</t>
        </is>
      </c>
      <c r="B37" s="44" t="inlineStr">
        <is>
          <t>R-SB-0035</t>
        </is>
      </c>
      <c r="C37" s="46" t="inlineStr">
        <is>
          <t>항공</t>
        </is>
      </c>
      <c r="D37" s="46" t="inlineStr">
        <is>
          <t>인천공항</t>
        </is>
      </c>
      <c r="E37" s="44" t="inlineStr">
        <is>
          <t>ICN</t>
        </is>
      </c>
      <c r="F37" s="46" t="inlineStr">
        <is>
          <t>몬테레이공항</t>
        </is>
      </c>
      <c r="G37" s="44" t="inlineStr">
        <is>
          <t>MTY</t>
        </is>
      </c>
      <c r="H37" s="45" t="n">
        <v>45028</v>
      </c>
      <c r="I37" s="54" t="n">
        <v>45033</v>
      </c>
      <c r="J37" s="54" t="n">
        <v>45033</v>
      </c>
      <c r="K37" s="55" t="n">
        <v>135</v>
      </c>
    </row>
    <row r="38" ht="15" customHeight="1" s="28">
      <c r="A38" s="44" t="inlineStr">
        <is>
          <t>L-SB-0037</t>
        </is>
      </c>
      <c r="B38" s="44" t="inlineStr">
        <is>
          <t>R-SB-0036</t>
        </is>
      </c>
      <c r="C38" s="46" t="inlineStr">
        <is>
          <t>항공</t>
        </is>
      </c>
      <c r="D38" s="46" t="inlineStr">
        <is>
          <t>인천공항</t>
        </is>
      </c>
      <c r="E38" s="44" t="inlineStr">
        <is>
          <t>ICN</t>
        </is>
      </c>
      <c r="F38" s="46" t="inlineStr">
        <is>
          <t>다낭공항</t>
        </is>
      </c>
      <c r="G38" s="44" t="inlineStr">
        <is>
          <t>DAD</t>
        </is>
      </c>
      <c r="H38" s="45" t="n">
        <v>45031</v>
      </c>
      <c r="I38" s="54" t="n">
        <v>45034</v>
      </c>
      <c r="J38" s="54" t="n">
        <v>45034</v>
      </c>
      <c r="K38" s="55" t="n">
        <v>135</v>
      </c>
    </row>
    <row r="39" ht="15" customHeight="1" s="28">
      <c r="A39" s="44" t="inlineStr">
        <is>
          <t>L-SB-0038</t>
        </is>
      </c>
      <c r="B39" s="44" t="inlineStr">
        <is>
          <t>R-SB-0037</t>
        </is>
      </c>
      <c r="C39" s="46" t="inlineStr">
        <is>
          <t>항공</t>
        </is>
      </c>
      <c r="D39" s="46" t="inlineStr">
        <is>
          <t>인천공항</t>
        </is>
      </c>
      <c r="E39" s="44" t="inlineStr">
        <is>
          <t>ICN</t>
        </is>
      </c>
      <c r="F39" s="46" t="inlineStr">
        <is>
          <t>댈러스공항</t>
        </is>
      </c>
      <c r="G39" s="44" t="inlineStr">
        <is>
          <t>DFW</t>
        </is>
      </c>
      <c r="H39" s="45" t="n">
        <v>45033</v>
      </c>
      <c r="I39" s="54" t="n">
        <v>45037</v>
      </c>
      <c r="J39" s="54" t="n">
        <v>45036</v>
      </c>
      <c r="K39" s="55" t="n">
        <v>355.89</v>
      </c>
    </row>
    <row r="40" ht="15" customHeight="1" s="28">
      <c r="A40" s="44" t="inlineStr">
        <is>
          <t>L-SB-0039</t>
        </is>
      </c>
      <c r="B40" s="44" t="inlineStr">
        <is>
          <t>R-SB-0038</t>
        </is>
      </c>
      <c r="C40" s="46" t="inlineStr">
        <is>
          <t>항공</t>
        </is>
      </c>
      <c r="D40" s="46" t="inlineStr">
        <is>
          <t>인천공항</t>
        </is>
      </c>
      <c r="E40" s="44" t="inlineStr">
        <is>
          <t>ICN</t>
        </is>
      </c>
      <c r="F40" s="46" t="inlineStr">
        <is>
          <t>뭄바이공항</t>
        </is>
      </c>
      <c r="G40" s="44" t="inlineStr">
        <is>
          <t>BOM</t>
        </is>
      </c>
      <c r="H40" s="45" t="n">
        <v>45034</v>
      </c>
      <c r="I40" s="54" t="n">
        <v>45038</v>
      </c>
      <c r="J40" s="54" t="n">
        <v>45038</v>
      </c>
      <c r="K40" s="55" t="n">
        <v>135</v>
      </c>
    </row>
    <row r="41" ht="15" customHeight="1" s="28">
      <c r="A41" s="44" t="inlineStr">
        <is>
          <t>L-SB-0040</t>
        </is>
      </c>
      <c r="B41" s="44" t="inlineStr">
        <is>
          <t>R-SB-0039</t>
        </is>
      </c>
      <c r="C41" s="46" t="inlineStr">
        <is>
          <t>항공</t>
        </is>
      </c>
      <c r="D41" s="46" t="inlineStr">
        <is>
          <t>인천공항</t>
        </is>
      </c>
      <c r="E41" s="44" t="inlineStr">
        <is>
          <t>ICN</t>
        </is>
      </c>
      <c r="F41" s="46" t="inlineStr">
        <is>
          <t>댈러스공항</t>
        </is>
      </c>
      <c r="G41" s="44" t="inlineStr">
        <is>
          <t>DFW</t>
        </is>
      </c>
      <c r="H41" s="45" t="n">
        <v>45036</v>
      </c>
      <c r="I41" s="54" t="n">
        <v>45041</v>
      </c>
      <c r="J41" s="54" t="n">
        <v>45041</v>
      </c>
      <c r="K41" s="55" t="n">
        <v>171.09</v>
      </c>
    </row>
    <row r="42" ht="15" customHeight="1" s="28">
      <c r="A42" s="44" t="inlineStr">
        <is>
          <t>L-SB-0041</t>
        </is>
      </c>
      <c r="B42" s="44" t="inlineStr">
        <is>
          <t>R-SB-0040</t>
        </is>
      </c>
      <c r="C42" s="46" t="inlineStr">
        <is>
          <t>항공</t>
        </is>
      </c>
      <c r="D42" s="46" t="inlineStr">
        <is>
          <t>인천공항</t>
        </is>
      </c>
      <c r="E42" s="44" t="inlineStr">
        <is>
          <t>ICN</t>
        </is>
      </c>
      <c r="F42" s="46" t="inlineStr">
        <is>
          <t>댈러스공항</t>
        </is>
      </c>
      <c r="G42" s="44" t="inlineStr">
        <is>
          <t>DFW</t>
        </is>
      </c>
      <c r="H42" s="45" t="n">
        <v>45039</v>
      </c>
      <c r="I42" s="54" t="n">
        <v>45044</v>
      </c>
      <c r="J42" s="54" t="n">
        <v>45044</v>
      </c>
      <c r="K42" s="55" t="n">
        <v>135.53</v>
      </c>
    </row>
    <row r="43" ht="15" customHeight="1" s="28">
      <c r="A43" s="44" t="inlineStr">
        <is>
          <t>L-SB-0042</t>
        </is>
      </c>
      <c r="B43" s="44" t="inlineStr">
        <is>
          <t>R-SB-0041</t>
        </is>
      </c>
      <c r="C43" s="46" t="inlineStr">
        <is>
          <t>항공</t>
        </is>
      </c>
      <c r="D43" s="46" t="inlineStr">
        <is>
          <t>인천공항</t>
        </is>
      </c>
      <c r="E43" s="44" t="inlineStr">
        <is>
          <t>ICN</t>
        </is>
      </c>
      <c r="F43" s="46" t="inlineStr">
        <is>
          <t>다낭공항</t>
        </is>
      </c>
      <c r="G43" s="44" t="inlineStr">
        <is>
          <t>DAD</t>
        </is>
      </c>
      <c r="H43" s="45" t="n">
        <v>45040</v>
      </c>
      <c r="I43" s="54" t="n">
        <v>45044</v>
      </c>
      <c r="J43" s="54" t="n">
        <v>45044</v>
      </c>
      <c r="K43" s="55" t="n">
        <v>135</v>
      </c>
    </row>
    <row r="44" ht="15" customHeight="1" s="28">
      <c r="A44" s="44" t="inlineStr">
        <is>
          <t>L-SB-0043</t>
        </is>
      </c>
      <c r="B44" s="44" t="inlineStr">
        <is>
          <t>R-SB-0042</t>
        </is>
      </c>
      <c r="C44" s="46" t="inlineStr">
        <is>
          <t>항공</t>
        </is>
      </c>
      <c r="D44" s="46" t="inlineStr">
        <is>
          <t>인천공항</t>
        </is>
      </c>
      <c r="E44" s="44" t="inlineStr">
        <is>
          <t>ICN</t>
        </is>
      </c>
      <c r="F44" s="46" t="inlineStr">
        <is>
          <t>뭄바이공항</t>
        </is>
      </c>
      <c r="G44" s="44" t="inlineStr">
        <is>
          <t>BOM</t>
        </is>
      </c>
      <c r="H44" s="45" t="n">
        <v>45050</v>
      </c>
      <c r="I44" s="54" t="n">
        <v>45052</v>
      </c>
      <c r="J44" s="54" t="n">
        <v>45052</v>
      </c>
      <c r="K44" s="55" t="n">
        <v>135</v>
      </c>
    </row>
    <row r="45" ht="15" customHeight="1" s="28">
      <c r="A45" s="44" t="inlineStr">
        <is>
          <t>L-SB-0044</t>
        </is>
      </c>
      <c r="B45" s="44" t="inlineStr">
        <is>
          <t>R-SB-0043</t>
        </is>
      </c>
      <c r="C45" s="46" t="inlineStr">
        <is>
          <t>항공</t>
        </is>
      </c>
      <c r="D45" s="46" t="inlineStr">
        <is>
          <t>인천공항</t>
        </is>
      </c>
      <c r="E45" s="44" t="inlineStr">
        <is>
          <t>ICN</t>
        </is>
      </c>
      <c r="F45" s="46" t="inlineStr">
        <is>
          <t>댈러스공항</t>
        </is>
      </c>
      <c r="G45" s="44" t="inlineStr">
        <is>
          <t>DFW</t>
        </is>
      </c>
      <c r="H45" s="45" t="n">
        <v>45051</v>
      </c>
      <c r="I45" s="54" t="n">
        <v>45054</v>
      </c>
      <c r="J45" s="54" t="n">
        <v>45054</v>
      </c>
      <c r="K45" s="55" t="n">
        <v>289.03</v>
      </c>
    </row>
    <row r="46" ht="15" customHeight="1" s="28">
      <c r="A46" s="44" t="inlineStr">
        <is>
          <t>L-SB-0045</t>
        </is>
      </c>
      <c r="B46" s="44" t="inlineStr">
        <is>
          <t>R-SB-0044</t>
        </is>
      </c>
      <c r="C46" s="46" t="inlineStr">
        <is>
          <t>항공</t>
        </is>
      </c>
      <c r="D46" s="46" t="inlineStr">
        <is>
          <t>인천공항</t>
        </is>
      </c>
      <c r="E46" s="44" t="inlineStr">
        <is>
          <t>ICN</t>
        </is>
      </c>
      <c r="F46" s="46" t="inlineStr">
        <is>
          <t>댈러스공항</t>
        </is>
      </c>
      <c r="G46" s="44" t="inlineStr">
        <is>
          <t>DFW</t>
        </is>
      </c>
      <c r="H46" s="45" t="n">
        <v>45054</v>
      </c>
      <c r="I46" s="54" t="n">
        <v>45059</v>
      </c>
      <c r="J46" s="54" t="n">
        <v>45059</v>
      </c>
      <c r="K46" s="55" t="n">
        <v>191.7</v>
      </c>
    </row>
    <row r="47" ht="15" customHeight="1" s="28">
      <c r="A47" s="44" t="inlineStr">
        <is>
          <t>L-SB-0046</t>
        </is>
      </c>
      <c r="B47" s="44" t="inlineStr">
        <is>
          <t>R-SB-0045</t>
        </is>
      </c>
      <c r="C47" s="46" t="inlineStr">
        <is>
          <t>항공</t>
        </is>
      </c>
      <c r="D47" s="46" t="inlineStr">
        <is>
          <t>인천공항</t>
        </is>
      </c>
      <c r="E47" s="44" t="inlineStr">
        <is>
          <t>ICN</t>
        </is>
      </c>
      <c r="F47" s="46" t="inlineStr">
        <is>
          <t>몬테레이공항</t>
        </is>
      </c>
      <c r="G47" s="44" t="inlineStr">
        <is>
          <t>MTY</t>
        </is>
      </c>
      <c r="H47" s="45" t="n">
        <v>45057</v>
      </c>
      <c r="I47" s="54" t="n">
        <v>45061</v>
      </c>
      <c r="J47" s="54" t="n">
        <v>45061</v>
      </c>
      <c r="K47" s="55" t="n">
        <v>144</v>
      </c>
    </row>
    <row r="48" ht="15" customHeight="1" s="28">
      <c r="A48" s="44" t="inlineStr">
        <is>
          <t>L-SB-0047</t>
        </is>
      </c>
      <c r="B48" s="44" t="inlineStr">
        <is>
          <t>R-SB-0046</t>
        </is>
      </c>
      <c r="C48" s="46" t="inlineStr">
        <is>
          <t>항공</t>
        </is>
      </c>
      <c r="D48" s="46" t="inlineStr">
        <is>
          <t>인천공항</t>
        </is>
      </c>
      <c r="E48" s="44" t="inlineStr">
        <is>
          <t>ICN</t>
        </is>
      </c>
      <c r="F48" s="46" t="inlineStr">
        <is>
          <t>몬테레이공항</t>
        </is>
      </c>
      <c r="G48" s="44" t="inlineStr">
        <is>
          <t>MTY</t>
        </is>
      </c>
      <c r="H48" s="45" t="n">
        <v>45058</v>
      </c>
      <c r="I48" s="54" t="n">
        <v>45062</v>
      </c>
      <c r="J48" s="54" t="n">
        <v>45062</v>
      </c>
      <c r="K48" s="55" t="n">
        <v>135</v>
      </c>
    </row>
    <row r="49" ht="15" customHeight="1" s="28">
      <c r="A49" s="44" t="inlineStr">
        <is>
          <t>L-SB-0048</t>
        </is>
      </c>
      <c r="B49" s="44" t="inlineStr">
        <is>
          <t>R-SB-0047</t>
        </is>
      </c>
      <c r="C49" s="46" t="inlineStr">
        <is>
          <t>항공</t>
        </is>
      </c>
      <c r="D49" s="46" t="inlineStr">
        <is>
          <t>인천공항</t>
        </is>
      </c>
      <c r="E49" s="44" t="inlineStr">
        <is>
          <t>ICN</t>
        </is>
      </c>
      <c r="F49" s="46" t="inlineStr">
        <is>
          <t>다낭공항</t>
        </is>
      </c>
      <c r="G49" s="44" t="inlineStr">
        <is>
          <t>DAD</t>
        </is>
      </c>
      <c r="H49" s="45" t="n">
        <v>45060</v>
      </c>
      <c r="I49" s="54" t="n">
        <v>45063</v>
      </c>
      <c r="J49" s="54" t="n">
        <v>45062</v>
      </c>
      <c r="K49" s="55" t="n">
        <v>135</v>
      </c>
    </row>
    <row r="50" ht="15" customHeight="1" s="28">
      <c r="A50" s="44" t="inlineStr">
        <is>
          <t>L-SB-0049</t>
        </is>
      </c>
      <c r="B50" s="44" t="inlineStr">
        <is>
          <t>R-SB-0048</t>
        </is>
      </c>
      <c r="C50" s="46" t="inlineStr">
        <is>
          <t>항공</t>
        </is>
      </c>
      <c r="D50" s="46" t="inlineStr">
        <is>
          <t>인천공항</t>
        </is>
      </c>
      <c r="E50" s="44" t="inlineStr">
        <is>
          <t>ICN</t>
        </is>
      </c>
      <c r="F50" s="46" t="inlineStr">
        <is>
          <t>뭄바이공항</t>
        </is>
      </c>
      <c r="G50" s="44" t="inlineStr">
        <is>
          <t>BOM</t>
        </is>
      </c>
      <c r="H50" s="45" t="n">
        <v>45061</v>
      </c>
      <c r="I50" s="54" t="n">
        <v>45064</v>
      </c>
      <c r="J50" s="54" t="n">
        <v>45064</v>
      </c>
      <c r="K50" s="55" t="n">
        <v>135</v>
      </c>
    </row>
    <row r="51" ht="15" customHeight="1" s="28">
      <c r="A51" s="44" t="inlineStr">
        <is>
          <t>L-SB-0050</t>
        </is>
      </c>
      <c r="B51" s="44" t="inlineStr">
        <is>
          <t>R-SB-0049</t>
        </is>
      </c>
      <c r="C51" s="46" t="inlineStr">
        <is>
          <t>항공</t>
        </is>
      </c>
      <c r="D51" s="46" t="inlineStr">
        <is>
          <t>인천공항</t>
        </is>
      </c>
      <c r="E51" s="44" t="inlineStr">
        <is>
          <t>ICN</t>
        </is>
      </c>
      <c r="F51" s="46" t="inlineStr">
        <is>
          <t>뭄바이공항</t>
        </is>
      </c>
      <c r="G51" s="44" t="inlineStr">
        <is>
          <t>BOM</t>
        </is>
      </c>
      <c r="H51" s="45" t="n">
        <v>45061</v>
      </c>
      <c r="I51" s="54" t="n">
        <v>45064</v>
      </c>
      <c r="J51" s="54" t="n">
        <v>45064</v>
      </c>
      <c r="K51" s="55" t="n">
        <v>135</v>
      </c>
    </row>
    <row r="52" ht="15" customHeight="1" s="28">
      <c r="A52" s="44" t="inlineStr">
        <is>
          <t>L-SB-0051</t>
        </is>
      </c>
      <c r="B52" s="44" t="inlineStr">
        <is>
          <t>R-SB-0050</t>
        </is>
      </c>
      <c r="C52" s="46" t="inlineStr">
        <is>
          <t>해상</t>
        </is>
      </c>
      <c r="D52" s="46" t="inlineStr">
        <is>
          <t>부산항</t>
        </is>
      </c>
      <c r="E52" s="44" t="inlineStr">
        <is>
          <t>KRPUS</t>
        </is>
      </c>
      <c r="F52" s="46" t="inlineStr">
        <is>
          <t>다낭항</t>
        </is>
      </c>
      <c r="G52" s="44" t="inlineStr">
        <is>
          <t>VNDAD</t>
        </is>
      </c>
      <c r="H52" s="45" t="n">
        <v>45062</v>
      </c>
      <c r="I52" s="54" t="n">
        <v>45085</v>
      </c>
      <c r="J52" s="54" t="n">
        <v>45085</v>
      </c>
      <c r="K52" s="55" t="n">
        <v>530</v>
      </c>
    </row>
    <row r="53" ht="15" customHeight="1" s="28">
      <c r="A53" s="44" t="inlineStr">
        <is>
          <t>L-SB-0052</t>
        </is>
      </c>
      <c r="B53" s="44" t="inlineStr">
        <is>
          <t>R-SB-0051</t>
        </is>
      </c>
      <c r="C53" s="46" t="inlineStr">
        <is>
          <t>항공</t>
        </is>
      </c>
      <c r="D53" s="46" t="inlineStr">
        <is>
          <t>인천공항</t>
        </is>
      </c>
      <c r="E53" s="44" t="inlineStr">
        <is>
          <t>ICN</t>
        </is>
      </c>
      <c r="F53" s="46" t="inlineStr">
        <is>
          <t>몬테레이공항</t>
        </is>
      </c>
      <c r="G53" s="44" t="inlineStr">
        <is>
          <t>MTY</t>
        </is>
      </c>
      <c r="H53" s="45" t="n">
        <v>45064</v>
      </c>
      <c r="I53" s="54" t="n">
        <v>45068</v>
      </c>
      <c r="J53" s="54" t="n">
        <v>45068</v>
      </c>
      <c r="K53" s="55" t="n">
        <v>165.59</v>
      </c>
    </row>
    <row r="54" ht="15" customHeight="1" s="28">
      <c r="A54" s="44" t="inlineStr">
        <is>
          <t>L-SB-0053</t>
        </is>
      </c>
      <c r="B54" s="44" t="inlineStr">
        <is>
          <t>R-SB-0052</t>
        </is>
      </c>
      <c r="C54" s="46" t="inlineStr">
        <is>
          <t>항공</t>
        </is>
      </c>
      <c r="D54" s="46" t="inlineStr">
        <is>
          <t>인천공항</t>
        </is>
      </c>
      <c r="E54" s="44" t="inlineStr">
        <is>
          <t>ICN</t>
        </is>
      </c>
      <c r="F54" s="46" t="inlineStr">
        <is>
          <t>다낭공항</t>
        </is>
      </c>
      <c r="G54" s="44" t="inlineStr">
        <is>
          <t>DAD</t>
        </is>
      </c>
      <c r="H54" s="45" t="n">
        <v>45064</v>
      </c>
      <c r="I54" s="54" t="n">
        <v>45069</v>
      </c>
      <c r="J54" s="54" t="n">
        <v>45069</v>
      </c>
      <c r="K54" s="55" t="n">
        <v>180.63</v>
      </c>
    </row>
    <row r="55" ht="15" customHeight="1" s="28">
      <c r="A55" s="44" t="inlineStr">
        <is>
          <t>L-SB-0054</t>
        </is>
      </c>
      <c r="B55" s="44" t="inlineStr">
        <is>
          <t>R-SB-0053</t>
        </is>
      </c>
      <c r="C55" s="46" t="inlineStr">
        <is>
          <t>항공</t>
        </is>
      </c>
      <c r="D55" s="46" t="inlineStr">
        <is>
          <t>인천공항</t>
        </is>
      </c>
      <c r="E55" s="44" t="inlineStr">
        <is>
          <t>ICN</t>
        </is>
      </c>
      <c r="F55" s="46" t="inlineStr">
        <is>
          <t>댈러스공항</t>
        </is>
      </c>
      <c r="G55" s="44" t="inlineStr">
        <is>
          <t>DFW</t>
        </is>
      </c>
      <c r="H55" s="45" t="n">
        <v>45068</v>
      </c>
      <c r="I55" s="54" t="n">
        <v>45071</v>
      </c>
      <c r="J55" s="54" t="n">
        <v>45071</v>
      </c>
      <c r="K55" s="55" t="n">
        <v>135</v>
      </c>
    </row>
    <row r="56" ht="15" customHeight="1" s="28">
      <c r="A56" s="44" t="inlineStr">
        <is>
          <t>L-SB-0055</t>
        </is>
      </c>
      <c r="B56" s="44" t="inlineStr">
        <is>
          <t>R-SB-0054</t>
        </is>
      </c>
      <c r="C56" s="46" t="inlineStr">
        <is>
          <t>항공</t>
        </is>
      </c>
      <c r="D56" s="46" t="inlineStr">
        <is>
          <t>인천공항</t>
        </is>
      </c>
      <c r="E56" s="44" t="inlineStr">
        <is>
          <t>ICN</t>
        </is>
      </c>
      <c r="F56" s="46" t="inlineStr">
        <is>
          <t>뭄바이공항</t>
        </is>
      </c>
      <c r="G56" s="44" t="inlineStr">
        <is>
          <t>BOM</t>
        </is>
      </c>
      <c r="H56" s="45" t="n">
        <v>45081</v>
      </c>
      <c r="I56" s="54" t="n">
        <v>45083</v>
      </c>
      <c r="J56" s="54" t="n">
        <v>45084</v>
      </c>
      <c r="K56" s="55" t="n">
        <v>135</v>
      </c>
    </row>
    <row r="57" ht="15" customHeight="1" s="28">
      <c r="A57" s="44" t="inlineStr">
        <is>
          <t>L-SB-0056</t>
        </is>
      </c>
      <c r="B57" s="44" t="inlineStr">
        <is>
          <t>R-SB-0055</t>
        </is>
      </c>
      <c r="C57" s="46" t="inlineStr">
        <is>
          <t>항공</t>
        </is>
      </c>
      <c r="D57" s="46" t="inlineStr">
        <is>
          <t>인천공항</t>
        </is>
      </c>
      <c r="E57" s="44" t="inlineStr">
        <is>
          <t>ICN</t>
        </is>
      </c>
      <c r="F57" s="46" t="inlineStr">
        <is>
          <t>몬테레이공항</t>
        </is>
      </c>
      <c r="G57" s="44" t="inlineStr">
        <is>
          <t>MTY</t>
        </is>
      </c>
      <c r="H57" s="45" t="n">
        <v>45082</v>
      </c>
      <c r="I57" s="54" t="n">
        <v>45085</v>
      </c>
      <c r="J57" s="54" t="n">
        <v>45084</v>
      </c>
      <c r="K57" s="55" t="n">
        <v>135</v>
      </c>
    </row>
    <row r="58" ht="15" customHeight="1" s="28">
      <c r="A58" s="44" t="inlineStr">
        <is>
          <t>L-SB-0057</t>
        </is>
      </c>
      <c r="B58" s="44" t="inlineStr">
        <is>
          <t>R-SB-0056</t>
        </is>
      </c>
      <c r="C58" s="46" t="inlineStr">
        <is>
          <t>항공</t>
        </is>
      </c>
      <c r="D58" s="46" t="inlineStr">
        <is>
          <t>인천공항</t>
        </is>
      </c>
      <c r="E58" s="44" t="inlineStr">
        <is>
          <t>ICN</t>
        </is>
      </c>
      <c r="F58" s="46" t="inlineStr">
        <is>
          <t>댈러스공항</t>
        </is>
      </c>
      <c r="G58" s="44" t="inlineStr">
        <is>
          <t>DFW</t>
        </is>
      </c>
      <c r="H58" s="45" t="n">
        <v>45083</v>
      </c>
      <c r="I58" s="54" t="n">
        <v>45086</v>
      </c>
      <c r="J58" s="54" t="n">
        <v>45086</v>
      </c>
      <c r="K58" s="55" t="n">
        <v>141.59</v>
      </c>
    </row>
    <row r="59" ht="15" customHeight="1" s="28">
      <c r="A59" s="44" t="inlineStr">
        <is>
          <t>L-SB-0058</t>
        </is>
      </c>
      <c r="B59" s="44" t="inlineStr">
        <is>
          <t>R-SB-0057</t>
        </is>
      </c>
      <c r="C59" s="46" t="inlineStr">
        <is>
          <t>항공</t>
        </is>
      </c>
      <c r="D59" s="46" t="inlineStr">
        <is>
          <t>인천공항</t>
        </is>
      </c>
      <c r="E59" s="44" t="inlineStr">
        <is>
          <t>ICN</t>
        </is>
      </c>
      <c r="F59" s="46" t="inlineStr">
        <is>
          <t>몬테레이공항</t>
        </is>
      </c>
      <c r="G59" s="44" t="inlineStr">
        <is>
          <t>MTY</t>
        </is>
      </c>
      <c r="H59" s="45" t="n">
        <v>45085</v>
      </c>
      <c r="I59" s="54" t="n">
        <v>45089</v>
      </c>
      <c r="J59" s="54" t="n">
        <v>45092</v>
      </c>
      <c r="K59" s="55" t="n">
        <v>149.39</v>
      </c>
    </row>
    <row r="60" ht="15" customHeight="1" s="28">
      <c r="A60" s="44" t="inlineStr">
        <is>
          <t>L-SB-0059</t>
        </is>
      </c>
      <c r="B60" s="44" t="inlineStr">
        <is>
          <t>R-SB-0058</t>
        </is>
      </c>
      <c r="C60" s="46" t="inlineStr">
        <is>
          <t>항공</t>
        </is>
      </c>
      <c r="D60" s="46" t="inlineStr">
        <is>
          <t>인천공항</t>
        </is>
      </c>
      <c r="E60" s="44" t="inlineStr">
        <is>
          <t>ICN</t>
        </is>
      </c>
      <c r="F60" s="46" t="inlineStr">
        <is>
          <t>뭄바이공항</t>
        </is>
      </c>
      <c r="G60" s="44" t="inlineStr">
        <is>
          <t>BOM</t>
        </is>
      </c>
      <c r="H60" s="45" t="n">
        <v>45087</v>
      </c>
      <c r="I60" s="54" t="n">
        <v>45089</v>
      </c>
      <c r="J60" s="54" t="n">
        <v>45089</v>
      </c>
      <c r="K60" s="55" t="n">
        <v>135</v>
      </c>
    </row>
    <row r="61" ht="15" customHeight="1" s="28">
      <c r="A61" s="44" t="inlineStr">
        <is>
          <t>L-SB-0060</t>
        </is>
      </c>
      <c r="B61" s="44" t="inlineStr">
        <is>
          <t>R-SB-0059</t>
        </is>
      </c>
      <c r="C61" s="46" t="inlineStr">
        <is>
          <t>항공</t>
        </is>
      </c>
      <c r="D61" s="46" t="inlineStr">
        <is>
          <t>인천공항</t>
        </is>
      </c>
      <c r="E61" s="44" t="inlineStr">
        <is>
          <t>ICN</t>
        </is>
      </c>
      <c r="F61" s="46" t="inlineStr">
        <is>
          <t>다낭공항</t>
        </is>
      </c>
      <c r="G61" s="44" t="inlineStr">
        <is>
          <t>DAD</t>
        </is>
      </c>
      <c r="H61" s="45" t="n">
        <v>45091</v>
      </c>
      <c r="I61" s="54" t="n">
        <v>45094</v>
      </c>
      <c r="K61" s="55" t="n">
        <v>135</v>
      </c>
    </row>
    <row r="62" ht="15" customHeight="1" s="28">
      <c r="A62" s="44" t="inlineStr">
        <is>
          <t>L-SB-0061</t>
        </is>
      </c>
      <c r="B62" s="44" t="inlineStr">
        <is>
          <t>R-SB-0060</t>
        </is>
      </c>
      <c r="C62" s="46" t="inlineStr">
        <is>
          <t>항공</t>
        </is>
      </c>
      <c r="D62" s="46" t="inlineStr">
        <is>
          <t>인천공항</t>
        </is>
      </c>
      <c r="E62" s="44" t="inlineStr">
        <is>
          <t>ICN</t>
        </is>
      </c>
      <c r="F62" s="46" t="inlineStr">
        <is>
          <t>댈러스공항</t>
        </is>
      </c>
      <c r="G62" s="44" t="inlineStr">
        <is>
          <t>DFW</t>
        </is>
      </c>
      <c r="H62" s="45" t="n">
        <v>45095</v>
      </c>
      <c r="I62" s="54" t="n">
        <v>45098</v>
      </c>
      <c r="J62" s="54" t="n">
        <v>45097</v>
      </c>
      <c r="K62" s="55" t="n">
        <v>212.9</v>
      </c>
    </row>
    <row r="63" ht="15" customHeight="1" s="28">
      <c r="A63" s="44" t="inlineStr">
        <is>
          <t>L-SB-0062</t>
        </is>
      </c>
      <c r="B63" s="44" t="inlineStr">
        <is>
          <t>R-SB-0061</t>
        </is>
      </c>
      <c r="C63" s="46" t="inlineStr">
        <is>
          <t>해상</t>
        </is>
      </c>
      <c r="D63" s="46" t="inlineStr">
        <is>
          <t>부산항</t>
        </is>
      </c>
      <c r="E63" s="44" t="inlineStr">
        <is>
          <t>KRPUS</t>
        </is>
      </c>
      <c r="F63" s="46" t="inlineStr">
        <is>
          <t>다낭항</t>
        </is>
      </c>
      <c r="G63" s="44" t="inlineStr">
        <is>
          <t>VNDAD</t>
        </is>
      </c>
      <c r="H63" s="45" t="n">
        <v>45095</v>
      </c>
      <c r="I63" s="54" t="n">
        <v>45115</v>
      </c>
      <c r="J63" s="54" t="n">
        <v>45115</v>
      </c>
      <c r="K63" s="55" t="n">
        <v>530</v>
      </c>
    </row>
    <row r="64" ht="15" customHeight="1" s="28">
      <c r="A64" s="44" t="inlineStr">
        <is>
          <t>L-SB-0063</t>
        </is>
      </c>
      <c r="B64" s="44" t="inlineStr">
        <is>
          <t>R-SB-0062</t>
        </is>
      </c>
      <c r="C64" s="46" t="inlineStr">
        <is>
          <t>항공</t>
        </is>
      </c>
      <c r="D64" s="46" t="inlineStr">
        <is>
          <t>인천공항</t>
        </is>
      </c>
      <c r="E64" s="44" t="inlineStr">
        <is>
          <t>ICN</t>
        </is>
      </c>
      <c r="F64" s="46" t="inlineStr">
        <is>
          <t>뭄바이공항</t>
        </is>
      </c>
      <c r="G64" s="44" t="inlineStr">
        <is>
          <t>BOM</t>
        </is>
      </c>
      <c r="H64" s="45" t="n">
        <v>45096</v>
      </c>
      <c r="I64" s="54" t="n">
        <v>45098</v>
      </c>
      <c r="J64" s="54" t="n">
        <v>45097</v>
      </c>
      <c r="K64" s="55" t="n">
        <v>135</v>
      </c>
    </row>
    <row r="65" ht="15" customHeight="1" s="28">
      <c r="A65" s="44" t="inlineStr">
        <is>
          <t>L-SB-0064</t>
        </is>
      </c>
      <c r="B65" s="44" t="inlineStr">
        <is>
          <t>R-SB-0063</t>
        </is>
      </c>
      <c r="C65" s="46" t="inlineStr">
        <is>
          <t>항공</t>
        </is>
      </c>
      <c r="D65" s="46" t="inlineStr">
        <is>
          <t>인천공항</t>
        </is>
      </c>
      <c r="E65" s="44" t="inlineStr">
        <is>
          <t>ICN</t>
        </is>
      </c>
      <c r="F65" s="46" t="inlineStr">
        <is>
          <t>댈러스공항</t>
        </is>
      </c>
      <c r="G65" s="44" t="inlineStr">
        <is>
          <t>DFW</t>
        </is>
      </c>
      <c r="H65" s="45" t="n">
        <v>45097</v>
      </c>
      <c r="I65" s="54" t="n">
        <v>45100</v>
      </c>
      <c r="J65" s="54" t="n">
        <v>45100</v>
      </c>
      <c r="K65" s="55" t="n">
        <v>281.02</v>
      </c>
    </row>
    <row r="66" ht="15" customHeight="1" s="28">
      <c r="A66" s="44" t="inlineStr">
        <is>
          <t>L-SB-0065</t>
        </is>
      </c>
      <c r="B66" s="44" t="inlineStr">
        <is>
          <t>R-SB-0064</t>
        </is>
      </c>
      <c r="C66" s="46" t="inlineStr">
        <is>
          <t>항공</t>
        </is>
      </c>
      <c r="D66" s="46" t="inlineStr">
        <is>
          <t>인천공항</t>
        </is>
      </c>
      <c r="E66" s="44" t="inlineStr">
        <is>
          <t>ICN</t>
        </is>
      </c>
      <c r="F66" s="46" t="inlineStr">
        <is>
          <t>몬테레이공항</t>
        </is>
      </c>
      <c r="G66" s="44" t="inlineStr">
        <is>
          <t>MTY</t>
        </is>
      </c>
      <c r="H66" s="45" t="n">
        <v>45098</v>
      </c>
      <c r="I66" s="54" t="n">
        <v>45103</v>
      </c>
      <c r="J66" s="54" t="n">
        <v>45103</v>
      </c>
      <c r="K66" s="55" t="n">
        <v>153.48</v>
      </c>
    </row>
    <row r="67" ht="15" customHeight="1" s="28">
      <c r="A67" s="44" t="inlineStr">
        <is>
          <t>L-SB-0066</t>
        </is>
      </c>
      <c r="B67" s="44" t="inlineStr">
        <is>
          <t>R-SB-0065</t>
        </is>
      </c>
      <c r="C67" s="46" t="inlineStr">
        <is>
          <t>항공</t>
        </is>
      </c>
      <c r="D67" s="46" t="inlineStr">
        <is>
          <t>인천공항</t>
        </is>
      </c>
      <c r="E67" s="44" t="inlineStr">
        <is>
          <t>ICN</t>
        </is>
      </c>
      <c r="F67" s="46" t="inlineStr">
        <is>
          <t>다낭공항</t>
        </is>
      </c>
      <c r="G67" s="44" t="inlineStr">
        <is>
          <t>DAD</t>
        </is>
      </c>
      <c r="H67" s="45" t="n">
        <v>45101</v>
      </c>
      <c r="I67" s="54" t="n">
        <v>45105</v>
      </c>
      <c r="J67" s="54" t="n">
        <v>45105</v>
      </c>
      <c r="K67" s="55" t="n">
        <v>135</v>
      </c>
    </row>
    <row r="68" ht="15" customHeight="1" s="28">
      <c r="A68" s="44" t="inlineStr">
        <is>
          <t>L-SB-0067</t>
        </is>
      </c>
      <c r="B68" s="44" t="inlineStr">
        <is>
          <t>R-SB-0066</t>
        </is>
      </c>
      <c r="C68" s="46" t="inlineStr">
        <is>
          <t>항공</t>
        </is>
      </c>
      <c r="D68" s="46" t="inlineStr">
        <is>
          <t>인천공항</t>
        </is>
      </c>
      <c r="E68" s="44" t="inlineStr">
        <is>
          <t>ICN</t>
        </is>
      </c>
      <c r="F68" s="46" t="inlineStr">
        <is>
          <t>뭄바이공항</t>
        </is>
      </c>
      <c r="G68" s="44" t="inlineStr">
        <is>
          <t>BOM</t>
        </is>
      </c>
      <c r="H68" s="45" t="n">
        <v>45112</v>
      </c>
      <c r="I68" s="54" t="n">
        <v>45115</v>
      </c>
      <c r="J68" s="54" t="n">
        <v>45115</v>
      </c>
      <c r="K68" s="55" t="n">
        <v>135</v>
      </c>
    </row>
    <row r="69" ht="15" customHeight="1" s="28">
      <c r="A69" s="44" t="inlineStr">
        <is>
          <t>L-SB-0068</t>
        </is>
      </c>
      <c r="B69" s="44" t="inlineStr">
        <is>
          <t>R-SB-0067</t>
        </is>
      </c>
      <c r="C69" s="46" t="inlineStr">
        <is>
          <t>항공</t>
        </is>
      </c>
      <c r="D69" s="46" t="inlineStr">
        <is>
          <t>인천공항</t>
        </is>
      </c>
      <c r="E69" s="44" t="inlineStr">
        <is>
          <t>ICN</t>
        </is>
      </c>
      <c r="F69" s="46" t="inlineStr">
        <is>
          <t>다낭공항</t>
        </is>
      </c>
      <c r="G69" s="44" t="inlineStr">
        <is>
          <t>DAD</t>
        </is>
      </c>
      <c r="H69" s="45" t="n">
        <v>45113</v>
      </c>
      <c r="I69" s="54" t="n">
        <v>45117</v>
      </c>
      <c r="J69" s="54" t="n">
        <v>45117</v>
      </c>
      <c r="K69" s="55" t="n">
        <v>135</v>
      </c>
    </row>
    <row r="70" ht="15" customHeight="1" s="28">
      <c r="A70" s="44" t="inlineStr">
        <is>
          <t>L-SB-0069</t>
        </is>
      </c>
      <c r="B70" s="44" t="inlineStr">
        <is>
          <t>R-SB-0068</t>
        </is>
      </c>
      <c r="C70" s="46" t="inlineStr">
        <is>
          <t>항공</t>
        </is>
      </c>
      <c r="D70" s="46" t="inlineStr">
        <is>
          <t>인천공항</t>
        </is>
      </c>
      <c r="E70" s="44" t="inlineStr">
        <is>
          <t>ICN</t>
        </is>
      </c>
      <c r="F70" s="46" t="inlineStr">
        <is>
          <t>몬테레이공항</t>
        </is>
      </c>
      <c r="G70" s="44" t="inlineStr">
        <is>
          <t>MTY</t>
        </is>
      </c>
      <c r="H70" s="45" t="n">
        <v>45114</v>
      </c>
      <c r="I70" s="54" t="n">
        <v>45118</v>
      </c>
      <c r="J70" s="54" t="n">
        <v>45120</v>
      </c>
      <c r="K70" s="55" t="n">
        <v>146.53</v>
      </c>
    </row>
    <row r="71" ht="15" customHeight="1" s="28">
      <c r="A71" s="44" t="inlineStr">
        <is>
          <t>L-SB-0070</t>
        </is>
      </c>
      <c r="B71" s="44" t="inlineStr">
        <is>
          <t>R-SB-0069</t>
        </is>
      </c>
      <c r="C71" s="46" t="inlineStr">
        <is>
          <t>항공</t>
        </is>
      </c>
      <c r="D71" s="46" t="inlineStr">
        <is>
          <t>인천공항</t>
        </is>
      </c>
      <c r="E71" s="44" t="inlineStr">
        <is>
          <t>ICN</t>
        </is>
      </c>
      <c r="F71" s="46" t="inlineStr">
        <is>
          <t>다낭공항</t>
        </is>
      </c>
      <c r="G71" s="44" t="inlineStr">
        <is>
          <t>DAD</t>
        </is>
      </c>
      <c r="H71" s="45" t="n">
        <v>45117</v>
      </c>
      <c r="I71" s="54" t="n">
        <v>45122</v>
      </c>
      <c r="J71" s="54" t="n">
        <v>45122</v>
      </c>
      <c r="K71" s="55" t="n">
        <v>172.75</v>
      </c>
    </row>
    <row r="72" ht="15" customHeight="1" s="28">
      <c r="A72" s="44" t="inlineStr">
        <is>
          <t>L-SB-0071</t>
        </is>
      </c>
      <c r="B72" s="44" t="inlineStr">
        <is>
          <t>R-SB-0070</t>
        </is>
      </c>
      <c r="C72" s="46" t="inlineStr">
        <is>
          <t>항공</t>
        </is>
      </c>
      <c r="D72" s="46" t="inlineStr">
        <is>
          <t>인천공항</t>
        </is>
      </c>
      <c r="E72" s="44" t="inlineStr">
        <is>
          <t>ICN</t>
        </is>
      </c>
      <c r="F72" s="46" t="inlineStr">
        <is>
          <t>뭄바이공항</t>
        </is>
      </c>
      <c r="G72" s="44" t="inlineStr">
        <is>
          <t>BOM</t>
        </is>
      </c>
      <c r="H72" s="45" t="n">
        <v>45120</v>
      </c>
      <c r="I72" s="54" t="n">
        <v>45122</v>
      </c>
      <c r="J72" s="54" t="n">
        <v>45122</v>
      </c>
      <c r="K72" s="55" t="n">
        <v>135</v>
      </c>
    </row>
    <row r="73" ht="15" customHeight="1" s="28">
      <c r="A73" s="44" t="inlineStr">
        <is>
          <t>L-SB-0072</t>
        </is>
      </c>
      <c r="B73" s="44" t="inlineStr">
        <is>
          <t>R-SB-0071</t>
        </is>
      </c>
      <c r="C73" s="46" t="inlineStr">
        <is>
          <t>항공</t>
        </is>
      </c>
      <c r="D73" s="46" t="inlineStr">
        <is>
          <t>인천공항</t>
        </is>
      </c>
      <c r="E73" s="44" t="inlineStr">
        <is>
          <t>ICN</t>
        </is>
      </c>
      <c r="F73" s="46" t="inlineStr">
        <is>
          <t>몬테레이공항</t>
        </is>
      </c>
      <c r="G73" s="44" t="inlineStr">
        <is>
          <t>MTY</t>
        </is>
      </c>
      <c r="H73" s="45" t="n">
        <v>45127</v>
      </c>
      <c r="I73" s="54" t="n">
        <v>45131</v>
      </c>
      <c r="J73" s="54" t="n">
        <v>45131</v>
      </c>
      <c r="K73" s="55" t="n">
        <v>135</v>
      </c>
    </row>
    <row r="74" ht="15" customHeight="1" s="28">
      <c r="A74" s="44" t="inlineStr">
        <is>
          <t>L-SB-0073</t>
        </is>
      </c>
      <c r="B74" s="44" t="inlineStr">
        <is>
          <t>R-SB-0072</t>
        </is>
      </c>
      <c r="C74" s="46" t="inlineStr">
        <is>
          <t>항공</t>
        </is>
      </c>
      <c r="D74" s="46" t="inlineStr">
        <is>
          <t>인천공항</t>
        </is>
      </c>
      <c r="E74" s="44" t="inlineStr">
        <is>
          <t>ICN</t>
        </is>
      </c>
      <c r="F74" s="46" t="inlineStr">
        <is>
          <t>몬테레이공항</t>
        </is>
      </c>
      <c r="G74" s="44" t="inlineStr">
        <is>
          <t>MTY</t>
        </is>
      </c>
      <c r="H74" s="45" t="n">
        <v>45131</v>
      </c>
      <c r="I74" s="54" t="n">
        <v>45136</v>
      </c>
      <c r="J74" s="54" t="n">
        <v>45136</v>
      </c>
      <c r="K74" s="55" t="n">
        <v>135</v>
      </c>
    </row>
    <row r="75" ht="15" customHeight="1" s="28">
      <c r="A75" s="44" t="inlineStr">
        <is>
          <t>L-SB-0074</t>
        </is>
      </c>
      <c r="B75" s="44" t="inlineStr">
        <is>
          <t>R-SB-0073</t>
        </is>
      </c>
      <c r="C75" s="46" t="inlineStr">
        <is>
          <t>항공</t>
        </is>
      </c>
      <c r="D75" s="46" t="inlineStr">
        <is>
          <t>인천공항</t>
        </is>
      </c>
      <c r="E75" s="44" t="inlineStr">
        <is>
          <t>ICN</t>
        </is>
      </c>
      <c r="F75" s="46" t="inlineStr">
        <is>
          <t>댈러스공항</t>
        </is>
      </c>
      <c r="G75" s="44" t="inlineStr">
        <is>
          <t>DFW</t>
        </is>
      </c>
      <c r="H75" s="45" t="n">
        <v>45132</v>
      </c>
      <c r="I75" s="54" t="n">
        <v>45135</v>
      </c>
      <c r="J75" s="54" t="n">
        <v>45135</v>
      </c>
      <c r="K75" s="55" t="n">
        <v>135</v>
      </c>
    </row>
    <row r="76" ht="15" customHeight="1" s="28">
      <c r="A76" s="44" t="inlineStr">
        <is>
          <t>L-SB-0075</t>
        </is>
      </c>
      <c r="B76" s="44" t="inlineStr">
        <is>
          <t>R-SB-0074</t>
        </is>
      </c>
      <c r="C76" s="46" t="inlineStr">
        <is>
          <t>항공</t>
        </is>
      </c>
      <c r="D76" s="46" t="inlineStr">
        <is>
          <t>인천공항</t>
        </is>
      </c>
      <c r="E76" s="44" t="inlineStr">
        <is>
          <t>ICN</t>
        </is>
      </c>
      <c r="F76" s="46" t="inlineStr">
        <is>
          <t>뭄바이공항</t>
        </is>
      </c>
      <c r="G76" s="44" t="inlineStr">
        <is>
          <t>BOM</t>
        </is>
      </c>
      <c r="H76" s="45" t="n">
        <v>45133</v>
      </c>
      <c r="I76" s="54" t="n">
        <v>45137</v>
      </c>
      <c r="J76" s="54" t="n">
        <v>45136</v>
      </c>
    </row>
    <row r="77" ht="15" customHeight="1" s="28">
      <c r="A77" s="44" t="inlineStr">
        <is>
          <t>L-SB-0076</t>
        </is>
      </c>
      <c r="B77" s="44" t="inlineStr">
        <is>
          <t>R-SB-0075</t>
        </is>
      </c>
      <c r="C77" s="46" t="inlineStr">
        <is>
          <t>항공</t>
        </is>
      </c>
      <c r="D77" s="46" t="inlineStr">
        <is>
          <t>인천공항</t>
        </is>
      </c>
      <c r="E77" s="44" t="inlineStr">
        <is>
          <t>ICN</t>
        </is>
      </c>
      <c r="F77" s="46" t="inlineStr">
        <is>
          <t>댈러스공항</t>
        </is>
      </c>
      <c r="G77" s="44" t="inlineStr">
        <is>
          <t>DFW</t>
        </is>
      </c>
      <c r="H77" s="45" t="n">
        <v>45143</v>
      </c>
      <c r="I77" s="54" t="n">
        <v>45147</v>
      </c>
      <c r="J77" s="54" t="n">
        <v>45147</v>
      </c>
      <c r="K77" s="55" t="n">
        <v>240.89</v>
      </c>
    </row>
    <row r="78" ht="15" customHeight="1" s="28">
      <c r="A78" s="44" t="inlineStr">
        <is>
          <t>L-SB-0077</t>
        </is>
      </c>
      <c r="B78" s="44" t="inlineStr">
        <is>
          <t>R-SB-0076</t>
        </is>
      </c>
      <c r="C78" s="46" t="inlineStr">
        <is>
          <t>항공</t>
        </is>
      </c>
      <c r="D78" s="46" t="inlineStr">
        <is>
          <t>인천공항</t>
        </is>
      </c>
      <c r="E78" s="44" t="inlineStr">
        <is>
          <t>ICN</t>
        </is>
      </c>
      <c r="F78" s="46" t="inlineStr">
        <is>
          <t>몬테레이공항</t>
        </is>
      </c>
      <c r="G78" s="44" t="inlineStr">
        <is>
          <t>MTY</t>
        </is>
      </c>
      <c r="H78" s="45" t="n">
        <v>45144</v>
      </c>
      <c r="I78" s="54" t="n">
        <v>45148</v>
      </c>
      <c r="J78" s="54" t="n">
        <v>45150</v>
      </c>
      <c r="K78" s="55" t="n">
        <v>143.86</v>
      </c>
    </row>
    <row r="79" ht="15" customHeight="1" s="28">
      <c r="A79" s="44" t="inlineStr">
        <is>
          <t>L-SB-0078</t>
        </is>
      </c>
      <c r="B79" s="44" t="inlineStr">
        <is>
          <t>R-SB-0077</t>
        </is>
      </c>
      <c r="C79" s="46" t="inlineStr">
        <is>
          <t>항공</t>
        </is>
      </c>
      <c r="D79" s="46" t="inlineStr">
        <is>
          <t>인천공항</t>
        </is>
      </c>
      <c r="E79" s="44" t="inlineStr">
        <is>
          <t>ICN</t>
        </is>
      </c>
      <c r="F79" s="46" t="inlineStr">
        <is>
          <t>다낭공항</t>
        </is>
      </c>
      <c r="G79" s="44" t="inlineStr">
        <is>
          <t>DAD</t>
        </is>
      </c>
      <c r="H79" s="45" t="n">
        <v>45145</v>
      </c>
      <c r="I79" s="54" t="n">
        <v>45149</v>
      </c>
      <c r="J79" s="54" t="n">
        <v>45150</v>
      </c>
      <c r="K79" s="55" t="n">
        <v>190.43</v>
      </c>
    </row>
    <row r="80" ht="15" customHeight="1" s="28">
      <c r="A80" s="44" t="inlineStr">
        <is>
          <t>L-SB-0079</t>
        </is>
      </c>
      <c r="B80" s="44" t="inlineStr">
        <is>
          <t>R-SB-0078</t>
        </is>
      </c>
      <c r="C80" s="46" t="inlineStr">
        <is>
          <t>항공</t>
        </is>
      </c>
      <c r="D80" s="46" t="inlineStr">
        <is>
          <t>인천공항</t>
        </is>
      </c>
      <c r="E80" s="44" t="inlineStr">
        <is>
          <t>ICN</t>
        </is>
      </c>
      <c r="F80" s="46" t="inlineStr">
        <is>
          <t>뭄바이공항</t>
        </is>
      </c>
      <c r="G80" s="44" t="inlineStr">
        <is>
          <t>BOM</t>
        </is>
      </c>
      <c r="H80" s="45" t="n">
        <v>45147</v>
      </c>
      <c r="I80" s="54" t="n">
        <v>45150</v>
      </c>
      <c r="J80" s="54" t="n">
        <v>45150</v>
      </c>
      <c r="K80" s="55" t="n">
        <v>135</v>
      </c>
    </row>
    <row r="81" ht="15" customHeight="1" s="28">
      <c r="A81" s="44" t="inlineStr">
        <is>
          <t>L-SB-0080</t>
        </is>
      </c>
      <c r="B81" s="44" t="inlineStr">
        <is>
          <t>R-SB-0079</t>
        </is>
      </c>
      <c r="C81" s="46" t="inlineStr">
        <is>
          <t>항공</t>
        </is>
      </c>
      <c r="D81" s="46" t="inlineStr">
        <is>
          <t>인천공항</t>
        </is>
      </c>
      <c r="E81" s="44" t="inlineStr">
        <is>
          <t>ICN</t>
        </is>
      </c>
      <c r="F81" s="46" t="inlineStr">
        <is>
          <t>몬테레이공항</t>
        </is>
      </c>
      <c r="G81" s="44" t="inlineStr">
        <is>
          <t>MTY</t>
        </is>
      </c>
      <c r="H81" s="45" t="n">
        <v>45148</v>
      </c>
      <c r="I81" s="54" t="n">
        <v>45152</v>
      </c>
      <c r="J81" s="54" t="n">
        <v>45153</v>
      </c>
      <c r="K81" s="55" t="n">
        <v>135</v>
      </c>
    </row>
    <row r="82" ht="15" customHeight="1" s="28">
      <c r="A82" s="44" t="inlineStr">
        <is>
          <t>L-SB-0081</t>
        </is>
      </c>
      <c r="B82" s="44" t="inlineStr">
        <is>
          <t>R-SB-0080</t>
        </is>
      </c>
      <c r="C82" s="46" t="inlineStr">
        <is>
          <t>항공</t>
        </is>
      </c>
      <c r="D82" s="46" t="inlineStr">
        <is>
          <t>인천공항</t>
        </is>
      </c>
      <c r="E82" s="44" t="inlineStr">
        <is>
          <t>ICN</t>
        </is>
      </c>
      <c r="F82" s="46" t="inlineStr">
        <is>
          <t>댈러스공항</t>
        </is>
      </c>
      <c r="G82" s="44" t="inlineStr">
        <is>
          <t>DFW</t>
        </is>
      </c>
      <c r="H82" s="45" t="n">
        <v>45150</v>
      </c>
      <c r="I82" s="54" t="n">
        <v>45153</v>
      </c>
      <c r="J82" s="54" t="n">
        <v>45153</v>
      </c>
      <c r="K82" s="55" t="n">
        <v>143.12</v>
      </c>
    </row>
    <row r="83" ht="15" customHeight="1" s="28">
      <c r="A83" s="44" t="inlineStr">
        <is>
          <t>L-SB-0082</t>
        </is>
      </c>
      <c r="B83" s="44" t="inlineStr">
        <is>
          <t>R-SB-0081</t>
        </is>
      </c>
      <c r="C83" s="46" t="inlineStr">
        <is>
          <t>항공</t>
        </is>
      </c>
      <c r="D83" s="46" t="inlineStr">
        <is>
          <t>인천공항</t>
        </is>
      </c>
      <c r="E83" s="44" t="inlineStr">
        <is>
          <t>ICN</t>
        </is>
      </c>
      <c r="F83" s="46" t="inlineStr">
        <is>
          <t>뭄바이공항</t>
        </is>
      </c>
      <c r="G83" s="44" t="inlineStr">
        <is>
          <t>BOM</t>
        </is>
      </c>
      <c r="H83" s="45" t="n">
        <v>45155</v>
      </c>
      <c r="I83" s="54" t="n">
        <v>45158</v>
      </c>
      <c r="J83" s="54" t="n">
        <v>45158</v>
      </c>
    </row>
    <row r="84" ht="15" customHeight="1" s="28">
      <c r="A84" s="44" t="inlineStr">
        <is>
          <t>L-SB-0083</t>
        </is>
      </c>
      <c r="B84" s="44" t="inlineStr">
        <is>
          <t>R-SB-0082</t>
        </is>
      </c>
      <c r="C84" s="46" t="inlineStr">
        <is>
          <t>항공</t>
        </is>
      </c>
      <c r="D84" s="46" t="inlineStr">
        <is>
          <t>인천공항</t>
        </is>
      </c>
      <c r="E84" s="44" t="inlineStr">
        <is>
          <t>ICN</t>
        </is>
      </c>
      <c r="F84" s="46" t="inlineStr">
        <is>
          <t>댈러스공항</t>
        </is>
      </c>
      <c r="G84" s="44" t="inlineStr">
        <is>
          <t>DFW</t>
        </is>
      </c>
      <c r="H84" s="45" t="n">
        <v>45159</v>
      </c>
      <c r="I84" s="54" t="n">
        <v>45164</v>
      </c>
      <c r="J84" s="54" t="n">
        <v>45164</v>
      </c>
      <c r="K84" s="55" t="n">
        <v>183.1</v>
      </c>
    </row>
    <row r="85" ht="15" customHeight="1" s="28">
      <c r="A85" s="44" t="inlineStr">
        <is>
          <t>L-SB-0084</t>
        </is>
      </c>
      <c r="B85" s="44" t="inlineStr">
        <is>
          <t>R-SB-0083</t>
        </is>
      </c>
      <c r="C85" s="46" t="inlineStr">
        <is>
          <t>항공</t>
        </is>
      </c>
      <c r="D85" s="46" t="inlineStr">
        <is>
          <t>인천공항</t>
        </is>
      </c>
      <c r="E85" s="44" t="inlineStr">
        <is>
          <t>ICN</t>
        </is>
      </c>
      <c r="F85" s="46" t="inlineStr">
        <is>
          <t>다낭공항</t>
        </is>
      </c>
      <c r="G85" s="44" t="inlineStr">
        <is>
          <t>DAD</t>
        </is>
      </c>
      <c r="H85" s="45" t="n">
        <v>45162</v>
      </c>
      <c r="I85" s="54" t="n">
        <v>45167</v>
      </c>
      <c r="J85" s="54" t="n">
        <v>45167</v>
      </c>
      <c r="K85" s="55" t="n">
        <v>135</v>
      </c>
    </row>
    <row r="86" ht="15" customHeight="1" s="28">
      <c r="A86" s="44" t="inlineStr">
        <is>
          <t>L-SB-0085</t>
        </is>
      </c>
      <c r="B86" s="44" t="inlineStr">
        <is>
          <t>R-SB-0084</t>
        </is>
      </c>
      <c r="C86" s="46" t="inlineStr">
        <is>
          <t>해상</t>
        </is>
      </c>
      <c r="D86" s="46" t="inlineStr">
        <is>
          <t>부산항</t>
        </is>
      </c>
      <c r="E86" s="44" t="inlineStr">
        <is>
          <t>KRPUS</t>
        </is>
      </c>
      <c r="F86" s="46" t="inlineStr">
        <is>
          <t>다낭항</t>
        </is>
      </c>
      <c r="G86" s="44" t="inlineStr">
        <is>
          <t>VNDAD</t>
        </is>
      </c>
      <c r="H86" s="45" t="n">
        <v>45164</v>
      </c>
      <c r="I86" s="54" t="n">
        <v>45185</v>
      </c>
      <c r="J86" s="54" t="n">
        <v>45184</v>
      </c>
      <c r="K86" s="55" t="n">
        <v>530</v>
      </c>
    </row>
    <row r="87" ht="15" customHeight="1" s="28">
      <c r="A87" s="44" t="inlineStr">
        <is>
          <t>L-SB-0086</t>
        </is>
      </c>
      <c r="B87" s="44" t="inlineStr">
        <is>
          <t>R-SB-0085</t>
        </is>
      </c>
      <c r="C87" s="46" t="inlineStr">
        <is>
          <t>항공</t>
        </is>
      </c>
      <c r="D87" s="46" t="inlineStr">
        <is>
          <t>인천공항</t>
        </is>
      </c>
      <c r="E87" s="44" t="inlineStr">
        <is>
          <t>ICN</t>
        </is>
      </c>
      <c r="F87" s="46" t="inlineStr">
        <is>
          <t>뭄바이공항</t>
        </is>
      </c>
      <c r="G87" s="44" t="inlineStr">
        <is>
          <t>BOM</t>
        </is>
      </c>
      <c r="H87" s="45" t="n">
        <v>45165</v>
      </c>
      <c r="I87" s="54" t="n">
        <v>45168</v>
      </c>
      <c r="J87" s="54" t="n">
        <v>45168</v>
      </c>
      <c r="K87" s="55" t="n">
        <v>135</v>
      </c>
    </row>
    <row r="88" ht="15" customHeight="1" s="28">
      <c r="A88" s="44" t="inlineStr">
        <is>
          <t>L-SB-0087</t>
        </is>
      </c>
      <c r="B88" s="44" t="inlineStr">
        <is>
          <t>R-SB-0086</t>
        </is>
      </c>
      <c r="C88" s="46" t="inlineStr">
        <is>
          <t>항공</t>
        </is>
      </c>
      <c r="D88" s="46" t="inlineStr">
        <is>
          <t>인천공항</t>
        </is>
      </c>
      <c r="E88" s="44" t="inlineStr">
        <is>
          <t>ICN</t>
        </is>
      </c>
      <c r="F88" s="46" t="inlineStr">
        <is>
          <t>뭄바이공항</t>
        </is>
      </c>
      <c r="G88" s="44" t="inlineStr">
        <is>
          <t>BOM</t>
        </is>
      </c>
      <c r="H88" s="45" t="n">
        <v>45173</v>
      </c>
      <c r="I88" s="54" t="n">
        <v>45175</v>
      </c>
      <c r="J88" s="54" t="n">
        <v>45176</v>
      </c>
      <c r="K88" s="55" t="n">
        <v>135</v>
      </c>
    </row>
    <row r="89" ht="15" customHeight="1" s="28">
      <c r="A89" s="44" t="inlineStr">
        <is>
          <t>L-SB-0088</t>
        </is>
      </c>
      <c r="B89" s="44" t="inlineStr">
        <is>
          <t>R-SB-0087</t>
        </is>
      </c>
      <c r="C89" s="46" t="inlineStr">
        <is>
          <t>항공</t>
        </is>
      </c>
      <c r="D89" s="46" t="inlineStr">
        <is>
          <t>인천공항</t>
        </is>
      </c>
      <c r="E89" s="44" t="inlineStr">
        <is>
          <t>ICN</t>
        </is>
      </c>
      <c r="F89" s="46" t="inlineStr">
        <is>
          <t>뭄바이공항</t>
        </is>
      </c>
      <c r="G89" s="44" t="inlineStr">
        <is>
          <t>BOM</t>
        </is>
      </c>
      <c r="H89" s="45" t="n">
        <v>45176</v>
      </c>
      <c r="I89" s="54" t="n">
        <v>45178</v>
      </c>
      <c r="J89" s="54" t="n">
        <v>45178</v>
      </c>
      <c r="K89" s="55" t="n">
        <v>135</v>
      </c>
    </row>
    <row r="90" ht="15" customHeight="1" s="28">
      <c r="A90" s="44" t="inlineStr">
        <is>
          <t>L-SB-0089</t>
        </is>
      </c>
      <c r="B90" s="44" t="inlineStr">
        <is>
          <t>R-SB-0088</t>
        </is>
      </c>
      <c r="C90" s="46" t="inlineStr">
        <is>
          <t>항공</t>
        </is>
      </c>
      <c r="D90" s="46" t="inlineStr">
        <is>
          <t>인천공항</t>
        </is>
      </c>
      <c r="E90" s="44" t="inlineStr">
        <is>
          <t>ICN</t>
        </is>
      </c>
      <c r="F90" s="46" t="inlineStr">
        <is>
          <t>댈러스공항</t>
        </is>
      </c>
      <c r="G90" s="44" t="inlineStr">
        <is>
          <t>DFW</t>
        </is>
      </c>
      <c r="H90" s="45" t="n">
        <v>45180</v>
      </c>
      <c r="I90" s="54" t="n">
        <v>45185</v>
      </c>
      <c r="J90" s="54" t="n">
        <v>45187</v>
      </c>
      <c r="K90" s="55" t="n">
        <v>153.62</v>
      </c>
    </row>
    <row r="91" ht="15" customHeight="1" s="28">
      <c r="A91" s="44" t="inlineStr">
        <is>
          <t>L-SB-0090</t>
        </is>
      </c>
      <c r="B91" s="44" t="inlineStr">
        <is>
          <t>R-SB-0089</t>
        </is>
      </c>
      <c r="C91" s="46" t="inlineStr">
        <is>
          <t>해상</t>
        </is>
      </c>
      <c r="D91" s="46" t="inlineStr">
        <is>
          <t>부산항</t>
        </is>
      </c>
      <c r="E91" s="44" t="inlineStr">
        <is>
          <t>KRPUS</t>
        </is>
      </c>
      <c r="F91" s="46" t="inlineStr">
        <is>
          <t>다낭항</t>
        </is>
      </c>
      <c r="G91" s="44" t="inlineStr">
        <is>
          <t>VNDAD</t>
        </is>
      </c>
      <c r="H91" s="45" t="n">
        <v>45185</v>
      </c>
      <c r="I91" s="54" t="n">
        <v>45205</v>
      </c>
      <c r="J91" s="54" t="n">
        <v>45205</v>
      </c>
      <c r="K91" s="55" t="n">
        <v>530</v>
      </c>
    </row>
    <row r="92" ht="15" customHeight="1" s="28">
      <c r="A92" s="44" t="inlineStr">
        <is>
          <t>L-SB-0091</t>
        </is>
      </c>
      <c r="B92" s="44" t="inlineStr">
        <is>
          <t>R-SB-0090</t>
        </is>
      </c>
      <c r="C92" s="46" t="inlineStr">
        <is>
          <t>항공</t>
        </is>
      </c>
      <c r="D92" s="46" t="inlineStr">
        <is>
          <t>인천공항</t>
        </is>
      </c>
      <c r="E92" s="44" t="inlineStr">
        <is>
          <t>ICN</t>
        </is>
      </c>
      <c r="F92" s="46" t="inlineStr">
        <is>
          <t>다낭공항</t>
        </is>
      </c>
      <c r="G92" s="44" t="inlineStr">
        <is>
          <t>DAD</t>
        </is>
      </c>
      <c r="H92" s="45" t="n"/>
      <c r="K92" s="55" t="n">
        <v>135</v>
      </c>
    </row>
    <row r="93" ht="15" customHeight="1" s="28">
      <c r="A93" s="44" t="inlineStr">
        <is>
          <t>L-SB-0092</t>
        </is>
      </c>
      <c r="B93" s="44" t="inlineStr">
        <is>
          <t>R-SB-0091</t>
        </is>
      </c>
      <c r="C93" s="46" t="inlineStr">
        <is>
          <t>항공</t>
        </is>
      </c>
      <c r="D93" s="46" t="inlineStr">
        <is>
          <t>인천공항</t>
        </is>
      </c>
      <c r="E93" s="44" t="inlineStr">
        <is>
          <t>ICN</t>
        </is>
      </c>
      <c r="F93" s="46" t="inlineStr">
        <is>
          <t>댈러스공항</t>
        </is>
      </c>
      <c r="G93" s="44" t="inlineStr">
        <is>
          <t>DFW</t>
        </is>
      </c>
      <c r="H93" s="45" t="n">
        <v>45186</v>
      </c>
      <c r="I93" s="54" t="n">
        <v>45191</v>
      </c>
      <c r="J93" s="54" t="n">
        <v>45191</v>
      </c>
      <c r="K93" s="55" t="n">
        <v>245.25</v>
      </c>
    </row>
    <row r="94" ht="15" customHeight="1" s="28">
      <c r="A94" s="44" t="inlineStr">
        <is>
          <t>L-SB-0093</t>
        </is>
      </c>
      <c r="B94" s="44" t="inlineStr">
        <is>
          <t>R-SB-0092</t>
        </is>
      </c>
      <c r="C94" s="46" t="inlineStr">
        <is>
          <t>항공</t>
        </is>
      </c>
      <c r="D94" s="46" t="inlineStr">
        <is>
          <t>인천공항</t>
        </is>
      </c>
      <c r="E94" s="44" t="inlineStr">
        <is>
          <t>ICN</t>
        </is>
      </c>
      <c r="F94" s="46" t="inlineStr">
        <is>
          <t>뭄바이공항</t>
        </is>
      </c>
      <c r="G94" s="44" t="inlineStr">
        <is>
          <t>BOM</t>
        </is>
      </c>
      <c r="H94" s="45" t="n">
        <v>45188</v>
      </c>
      <c r="I94" s="54" t="n">
        <v>45191</v>
      </c>
      <c r="J94" s="54" t="n">
        <v>45191</v>
      </c>
      <c r="K94" s="55" t="n">
        <v>135</v>
      </c>
    </row>
    <row r="95" ht="15" customHeight="1" s="28">
      <c r="A95" s="44" t="inlineStr">
        <is>
          <t>L-SB-0094</t>
        </is>
      </c>
      <c r="B95" s="44" t="inlineStr">
        <is>
          <t>R-SB-0093</t>
        </is>
      </c>
      <c r="C95" s="46" t="inlineStr">
        <is>
          <t>항공</t>
        </is>
      </c>
      <c r="D95" s="46" t="inlineStr">
        <is>
          <t>인천공항</t>
        </is>
      </c>
      <c r="E95" s="44" t="inlineStr">
        <is>
          <t>ICN</t>
        </is>
      </c>
      <c r="F95" s="46" t="inlineStr">
        <is>
          <t>댈러스공항</t>
        </is>
      </c>
      <c r="G95" s="44" t="inlineStr">
        <is>
          <t>DFW</t>
        </is>
      </c>
      <c r="H95" s="45" t="n">
        <v>45191</v>
      </c>
      <c r="I95" s="54" t="n">
        <v>45195</v>
      </c>
      <c r="J95" s="54" t="n">
        <v>45195</v>
      </c>
      <c r="K95" s="55" t="n">
        <v>292.05</v>
      </c>
    </row>
    <row r="96" ht="15" customHeight="1" s="28">
      <c r="A96" s="44" t="inlineStr">
        <is>
          <t>L-SB-0095</t>
        </is>
      </c>
      <c r="B96" s="44" t="inlineStr">
        <is>
          <t>R-SB-0094</t>
        </is>
      </c>
      <c r="C96" s="46" t="inlineStr">
        <is>
          <t>항공</t>
        </is>
      </c>
      <c r="D96" s="46" t="inlineStr">
        <is>
          <t>인천공항</t>
        </is>
      </c>
      <c r="E96" s="44" t="inlineStr">
        <is>
          <t>ICN</t>
        </is>
      </c>
      <c r="F96" s="46" t="inlineStr">
        <is>
          <t>몬테레이공항</t>
        </is>
      </c>
      <c r="G96" s="44" t="inlineStr">
        <is>
          <t>MTY</t>
        </is>
      </c>
      <c r="H96" s="45" t="n">
        <v>45191</v>
      </c>
      <c r="I96" s="54" t="n">
        <v>45195</v>
      </c>
      <c r="J96" s="54" t="n">
        <v>45194</v>
      </c>
      <c r="K96" s="55" t="n">
        <v>135</v>
      </c>
    </row>
    <row r="97" ht="15" customHeight="1" s="28">
      <c r="A97" s="44" t="inlineStr">
        <is>
          <t>L-SB-0096</t>
        </is>
      </c>
      <c r="B97" s="44" t="inlineStr">
        <is>
          <t>R-SB-0095</t>
        </is>
      </c>
      <c r="C97" s="46" t="inlineStr">
        <is>
          <t>항공</t>
        </is>
      </c>
      <c r="D97" s="46" t="inlineStr">
        <is>
          <t>인천공항</t>
        </is>
      </c>
      <c r="E97" s="44" t="inlineStr">
        <is>
          <t>ICN</t>
        </is>
      </c>
      <c r="F97" s="46" t="inlineStr">
        <is>
          <t>몬테레이공항</t>
        </is>
      </c>
      <c r="G97" s="44" t="inlineStr">
        <is>
          <t>MTY</t>
        </is>
      </c>
      <c r="H97" s="45" t="n">
        <v>45192</v>
      </c>
      <c r="I97" s="54" t="n">
        <v>45195</v>
      </c>
      <c r="J97" s="54" t="n">
        <v>45195</v>
      </c>
      <c r="K97" s="55" t="n">
        <v>191.77</v>
      </c>
    </row>
    <row r="98" ht="15" customHeight="1" s="28">
      <c r="A98" s="44" t="inlineStr">
        <is>
          <t>L-SB-0097</t>
        </is>
      </c>
      <c r="B98" s="44" t="inlineStr">
        <is>
          <t>R-SB-0096</t>
        </is>
      </c>
      <c r="C98" s="46" t="inlineStr">
        <is>
          <t>항공</t>
        </is>
      </c>
      <c r="D98" s="46" t="inlineStr">
        <is>
          <t>인천공항</t>
        </is>
      </c>
      <c r="E98" s="44" t="inlineStr">
        <is>
          <t>ICN</t>
        </is>
      </c>
      <c r="F98" s="46" t="inlineStr">
        <is>
          <t>몬테레이공항</t>
        </is>
      </c>
      <c r="G98" s="44" t="inlineStr">
        <is>
          <t>MTY</t>
        </is>
      </c>
      <c r="H98" s="45" t="n">
        <v>45193</v>
      </c>
      <c r="I98" s="54" t="n">
        <v>45196</v>
      </c>
      <c r="J98" s="54" t="n">
        <v>45196</v>
      </c>
      <c r="K98" s="55" t="n">
        <v>135</v>
      </c>
    </row>
    <row r="99" ht="15" customHeight="1" s="28">
      <c r="A99" s="44" t="inlineStr">
        <is>
          <t>L-SB-0098</t>
        </is>
      </c>
      <c r="B99" s="44" t="inlineStr">
        <is>
          <t>R-SB-0097</t>
        </is>
      </c>
      <c r="C99" s="46" t="inlineStr">
        <is>
          <t>항공</t>
        </is>
      </c>
      <c r="D99" s="46" t="inlineStr">
        <is>
          <t>인천공항</t>
        </is>
      </c>
      <c r="E99" s="44" t="inlineStr">
        <is>
          <t>ICN</t>
        </is>
      </c>
      <c r="F99" s="46" t="inlineStr">
        <is>
          <t>다낭공항</t>
        </is>
      </c>
      <c r="G99" s="44" t="inlineStr">
        <is>
          <t>DAD</t>
        </is>
      </c>
      <c r="H99" s="45" t="n">
        <v>45194</v>
      </c>
      <c r="I99" s="54" t="n">
        <v>45197</v>
      </c>
      <c r="J99" s="54" t="n">
        <v>45197</v>
      </c>
      <c r="K99" s="55" t="n">
        <v>135</v>
      </c>
    </row>
    <row r="100" ht="15" customHeight="1" s="28">
      <c r="A100" s="44" t="inlineStr">
        <is>
          <t>L-SB-0099</t>
        </is>
      </c>
      <c r="B100" s="44" t="inlineStr">
        <is>
          <t>R-SB-0098</t>
        </is>
      </c>
      <c r="C100" s="46" t="inlineStr">
        <is>
          <t>항공</t>
        </is>
      </c>
      <c r="D100" s="46" t="inlineStr">
        <is>
          <t>인천공항</t>
        </is>
      </c>
      <c r="E100" s="44" t="inlineStr">
        <is>
          <t>ICN</t>
        </is>
      </c>
      <c r="F100" s="46" t="inlineStr">
        <is>
          <t>댈러스공항</t>
        </is>
      </c>
      <c r="G100" s="44" t="inlineStr">
        <is>
          <t>DFW</t>
        </is>
      </c>
      <c r="H100" s="45" t="n">
        <v>45207</v>
      </c>
      <c r="I100" s="54" t="n">
        <v>45211</v>
      </c>
      <c r="J100" s="54" t="n">
        <v>45211</v>
      </c>
      <c r="K100" s="55" t="n">
        <v>135</v>
      </c>
    </row>
    <row r="101" ht="15" customHeight="1" s="28">
      <c r="A101" s="44" t="inlineStr">
        <is>
          <t>L-SB-0100</t>
        </is>
      </c>
      <c r="B101" s="44" t="inlineStr">
        <is>
          <t>R-SB-0099</t>
        </is>
      </c>
      <c r="C101" s="46" t="inlineStr">
        <is>
          <t>항공</t>
        </is>
      </c>
      <c r="D101" s="46" t="inlineStr">
        <is>
          <t>인천공항</t>
        </is>
      </c>
      <c r="E101" s="44" t="inlineStr">
        <is>
          <t>ICN</t>
        </is>
      </c>
      <c r="F101" s="46" t="inlineStr">
        <is>
          <t>뭄바이공항</t>
        </is>
      </c>
      <c r="G101" s="44" t="inlineStr">
        <is>
          <t>BOM</t>
        </is>
      </c>
      <c r="H101" s="45" t="n">
        <v>45210</v>
      </c>
      <c r="I101" s="54" t="n">
        <v>45212</v>
      </c>
      <c r="J101" s="54" t="n">
        <v>45212</v>
      </c>
      <c r="K101" s="55" t="n">
        <v>135</v>
      </c>
    </row>
    <row r="102" ht="15" customHeight="1" s="28">
      <c r="A102" s="44" t="inlineStr">
        <is>
          <t>L-SB-0101</t>
        </is>
      </c>
      <c r="B102" s="44" t="inlineStr">
        <is>
          <t>R-SB-0100</t>
        </is>
      </c>
      <c r="C102" s="46" t="inlineStr">
        <is>
          <t>항공</t>
        </is>
      </c>
      <c r="D102" s="46" t="inlineStr">
        <is>
          <t>인천공항</t>
        </is>
      </c>
      <c r="E102" s="44" t="inlineStr">
        <is>
          <t>ICN</t>
        </is>
      </c>
      <c r="F102" s="46" t="inlineStr">
        <is>
          <t>댈러스공항</t>
        </is>
      </c>
      <c r="G102" s="44" t="inlineStr">
        <is>
          <t>DFW</t>
        </is>
      </c>
      <c r="H102" s="45" t="n">
        <v>45211</v>
      </c>
      <c r="I102" s="54" t="n">
        <v>45214</v>
      </c>
      <c r="K102" s="55" t="n">
        <v>326.72</v>
      </c>
    </row>
    <row r="103" ht="15" customHeight="1" s="28">
      <c r="A103" s="44" t="inlineStr">
        <is>
          <t>L-SB-0102</t>
        </is>
      </c>
      <c r="B103" s="44" t="inlineStr">
        <is>
          <t>R-SB-0101</t>
        </is>
      </c>
      <c r="C103" s="46" t="inlineStr">
        <is>
          <t>항공</t>
        </is>
      </c>
      <c r="D103" s="46" t="inlineStr">
        <is>
          <t>인천공항</t>
        </is>
      </c>
      <c r="E103" s="44" t="inlineStr">
        <is>
          <t>ICN</t>
        </is>
      </c>
      <c r="F103" s="46" t="inlineStr">
        <is>
          <t>뭄바이공항</t>
        </is>
      </c>
      <c r="G103" s="44" t="inlineStr">
        <is>
          <t>BOM</t>
        </is>
      </c>
      <c r="H103" s="45" t="n">
        <v>45212</v>
      </c>
      <c r="I103" s="54" t="n">
        <v>45214</v>
      </c>
      <c r="J103" s="54" t="n">
        <v>45214</v>
      </c>
      <c r="K103" s="55" t="n">
        <v>135</v>
      </c>
    </row>
    <row r="104" ht="15" customHeight="1" s="28">
      <c r="A104" s="44" t="inlineStr">
        <is>
          <t>L-SB-0103</t>
        </is>
      </c>
      <c r="B104" s="44" t="inlineStr">
        <is>
          <t>R-SB-0102</t>
        </is>
      </c>
      <c r="C104" s="46" t="inlineStr">
        <is>
          <t>항공</t>
        </is>
      </c>
      <c r="D104" s="46" t="inlineStr">
        <is>
          <t>인천공항</t>
        </is>
      </c>
      <c r="E104" s="44" t="inlineStr">
        <is>
          <t>ICN</t>
        </is>
      </c>
      <c r="F104" s="46" t="inlineStr">
        <is>
          <t>뭄바이공항</t>
        </is>
      </c>
      <c r="G104" s="44" t="inlineStr">
        <is>
          <t>BOM</t>
        </is>
      </c>
      <c r="H104" s="45" t="n">
        <v>45212</v>
      </c>
      <c r="I104" s="54" t="n">
        <v>45215</v>
      </c>
      <c r="J104" s="54" t="n">
        <v>45215</v>
      </c>
      <c r="K104" s="55" t="n">
        <v>135</v>
      </c>
    </row>
    <row r="105" ht="15" customHeight="1" s="28">
      <c r="A105" s="44" t="inlineStr">
        <is>
          <t>L-SB-0104</t>
        </is>
      </c>
      <c r="B105" s="44" t="inlineStr">
        <is>
          <t>R-SB-0103</t>
        </is>
      </c>
      <c r="C105" s="46" t="inlineStr">
        <is>
          <t>항공</t>
        </is>
      </c>
      <c r="D105" s="46" t="inlineStr">
        <is>
          <t>인천공항</t>
        </is>
      </c>
      <c r="E105" s="44" t="inlineStr">
        <is>
          <t>ICN</t>
        </is>
      </c>
      <c r="F105" s="46" t="inlineStr">
        <is>
          <t>몬테레이공항</t>
        </is>
      </c>
      <c r="G105" s="44" t="inlineStr">
        <is>
          <t>MTY</t>
        </is>
      </c>
      <c r="H105" s="45" t="n">
        <v>45213</v>
      </c>
      <c r="I105" s="54" t="n">
        <v>45217</v>
      </c>
      <c r="J105" s="54" t="n">
        <v>45217</v>
      </c>
      <c r="K105" s="55" t="n">
        <v>137.25</v>
      </c>
    </row>
    <row r="106" ht="15" customHeight="1" s="28">
      <c r="A106" s="44" t="inlineStr">
        <is>
          <t>L-SB-0105</t>
        </is>
      </c>
      <c r="B106" s="44" t="inlineStr">
        <is>
          <t>R-SB-0104</t>
        </is>
      </c>
      <c r="C106" s="46" t="inlineStr">
        <is>
          <t>항공</t>
        </is>
      </c>
      <c r="D106" s="46" t="inlineStr">
        <is>
          <t>인천공항</t>
        </is>
      </c>
      <c r="E106" s="44" t="inlineStr">
        <is>
          <t>ICN</t>
        </is>
      </c>
      <c r="F106" s="46" t="inlineStr">
        <is>
          <t>몬테레이공항</t>
        </is>
      </c>
      <c r="G106" s="44" t="inlineStr">
        <is>
          <t>MTY</t>
        </is>
      </c>
      <c r="H106" s="45" t="n">
        <v>45216</v>
      </c>
      <c r="I106" s="54" t="n">
        <v>45219</v>
      </c>
      <c r="J106" s="54" t="n">
        <v>45218</v>
      </c>
      <c r="K106" s="55" t="n">
        <v>192.17</v>
      </c>
    </row>
    <row r="107" ht="15" customHeight="1" s="28">
      <c r="A107" s="44" t="inlineStr">
        <is>
          <t>L-SB-0106</t>
        </is>
      </c>
      <c r="B107" s="44" t="inlineStr">
        <is>
          <t>R-SB-0105</t>
        </is>
      </c>
      <c r="C107" s="46" t="inlineStr">
        <is>
          <t>해상</t>
        </is>
      </c>
      <c r="D107" s="46" t="inlineStr">
        <is>
          <t>부산항</t>
        </is>
      </c>
      <c r="E107" s="44" t="inlineStr">
        <is>
          <t>KRPUS</t>
        </is>
      </c>
      <c r="F107" s="46" t="inlineStr">
        <is>
          <t>다낭항</t>
        </is>
      </c>
      <c r="G107" s="44" t="inlineStr">
        <is>
          <t>VNDAD</t>
        </is>
      </c>
      <c r="H107" s="45" t="n">
        <v>45216</v>
      </c>
      <c r="I107" s="54" t="n">
        <v>45239</v>
      </c>
      <c r="J107" s="54" t="n">
        <v>45239</v>
      </c>
      <c r="K107" s="55" t="n">
        <v>530</v>
      </c>
    </row>
    <row r="108" ht="15" customHeight="1" s="28">
      <c r="A108" s="44" t="inlineStr">
        <is>
          <t>L-SB-0107</t>
        </is>
      </c>
      <c r="B108" s="44" t="inlineStr">
        <is>
          <t>R-SB-0106</t>
        </is>
      </c>
      <c r="C108" s="46" t="inlineStr">
        <is>
          <t>항공</t>
        </is>
      </c>
      <c r="D108" s="46" t="inlineStr">
        <is>
          <t>인천공항</t>
        </is>
      </c>
      <c r="E108" s="44" t="inlineStr">
        <is>
          <t>ICN</t>
        </is>
      </c>
      <c r="F108" s="46" t="inlineStr">
        <is>
          <t>다낭공항</t>
        </is>
      </c>
      <c r="G108" s="44" t="inlineStr">
        <is>
          <t>DAD</t>
        </is>
      </c>
      <c r="H108" s="45" t="n">
        <v>45219</v>
      </c>
      <c r="I108" s="54" t="n">
        <v>45223</v>
      </c>
      <c r="J108" s="54" t="n">
        <v>45223</v>
      </c>
      <c r="K108" s="55" t="n">
        <v>135</v>
      </c>
    </row>
    <row r="109" ht="15" customHeight="1" s="28">
      <c r="A109" s="44" t="inlineStr">
        <is>
          <t>L-SB-0108</t>
        </is>
      </c>
      <c r="B109" s="44" t="inlineStr">
        <is>
          <t>R-SB-0107</t>
        </is>
      </c>
      <c r="C109" s="46" t="inlineStr">
        <is>
          <t>항공</t>
        </is>
      </c>
      <c r="D109" s="46" t="inlineStr">
        <is>
          <t>인천공항</t>
        </is>
      </c>
      <c r="E109" s="44" t="inlineStr">
        <is>
          <t>ICN</t>
        </is>
      </c>
      <c r="F109" s="46" t="inlineStr">
        <is>
          <t>댈러스공항</t>
        </is>
      </c>
      <c r="G109" s="44" t="inlineStr">
        <is>
          <t>DFW</t>
        </is>
      </c>
      <c r="H109" s="45" t="n">
        <v>45221</v>
      </c>
      <c r="I109" s="54" t="n">
        <v>45224</v>
      </c>
      <c r="J109" s="54" t="n">
        <v>45223</v>
      </c>
      <c r="K109" s="55" t="n">
        <v>193.42</v>
      </c>
    </row>
    <row r="110" ht="15" customHeight="1" s="28">
      <c r="A110" s="44" t="inlineStr">
        <is>
          <t>L-SB-0109</t>
        </is>
      </c>
      <c r="B110" s="44" t="inlineStr">
        <is>
          <t>R-SB-0108</t>
        </is>
      </c>
      <c r="C110" s="46" t="inlineStr">
        <is>
          <t>항공</t>
        </is>
      </c>
      <c r="D110" s="46" t="inlineStr">
        <is>
          <t>인천공항</t>
        </is>
      </c>
      <c r="E110" s="44" t="inlineStr">
        <is>
          <t>ICN</t>
        </is>
      </c>
      <c r="F110" s="46" t="inlineStr">
        <is>
          <t>몬테레이공항</t>
        </is>
      </c>
      <c r="G110" s="44" t="inlineStr">
        <is>
          <t>MTY</t>
        </is>
      </c>
      <c r="H110" s="45" t="n">
        <v>45224</v>
      </c>
      <c r="I110" s="54" t="n">
        <v>45227</v>
      </c>
      <c r="J110" s="54" t="n">
        <v>45226</v>
      </c>
      <c r="K110" s="55" t="n">
        <v>135</v>
      </c>
    </row>
    <row r="111" ht="15" customHeight="1" s="28">
      <c r="A111" s="44" t="inlineStr">
        <is>
          <t>L-SB-0110</t>
        </is>
      </c>
      <c r="B111" s="44" t="inlineStr">
        <is>
          <t>R-SB-0109</t>
        </is>
      </c>
      <c r="C111" s="46" t="inlineStr">
        <is>
          <t>항공</t>
        </is>
      </c>
      <c r="D111" s="46" t="inlineStr">
        <is>
          <t>인천공항</t>
        </is>
      </c>
      <c r="E111" s="44" t="inlineStr">
        <is>
          <t>ICN</t>
        </is>
      </c>
      <c r="F111" s="46" t="inlineStr">
        <is>
          <t>다낭공항</t>
        </is>
      </c>
      <c r="G111" s="44" t="inlineStr">
        <is>
          <t>DAD</t>
        </is>
      </c>
      <c r="H111" s="45" t="n">
        <v>45236</v>
      </c>
      <c r="I111" s="54" t="n">
        <v>45239</v>
      </c>
      <c r="J111" s="54" t="n">
        <v>45239</v>
      </c>
      <c r="K111" s="55" t="n">
        <v>186.21</v>
      </c>
    </row>
    <row r="112" ht="15" customHeight="1" s="28">
      <c r="A112" s="44" t="inlineStr">
        <is>
          <t>L-SB-0111</t>
        </is>
      </c>
      <c r="B112" s="44" t="inlineStr">
        <is>
          <t>R-SB-0110</t>
        </is>
      </c>
      <c r="C112" s="46" t="inlineStr">
        <is>
          <t>항공</t>
        </is>
      </c>
      <c r="D112" s="46" t="inlineStr">
        <is>
          <t>인천공항</t>
        </is>
      </c>
      <c r="E112" s="44" t="inlineStr">
        <is>
          <t>ICN</t>
        </is>
      </c>
      <c r="F112" s="46" t="inlineStr">
        <is>
          <t>뭄바이공항</t>
        </is>
      </c>
      <c r="G112" s="44" t="inlineStr">
        <is>
          <t>BOM</t>
        </is>
      </c>
      <c r="H112" s="45" t="n">
        <v>45237</v>
      </c>
      <c r="I112" s="54" t="n">
        <v>45239</v>
      </c>
      <c r="J112" s="54" t="n">
        <v>45239</v>
      </c>
      <c r="K112" s="55" t="n">
        <v>135</v>
      </c>
    </row>
    <row r="113" ht="15" customHeight="1" s="28">
      <c r="A113" s="44" t="inlineStr">
        <is>
          <t>L-SB-0112</t>
        </is>
      </c>
      <c r="B113" s="44" t="inlineStr">
        <is>
          <t>R-SB-0111</t>
        </is>
      </c>
      <c r="C113" s="46" t="inlineStr">
        <is>
          <t>항공</t>
        </is>
      </c>
      <c r="D113" s="46" t="inlineStr">
        <is>
          <t>인천공항</t>
        </is>
      </c>
      <c r="E113" s="44" t="inlineStr">
        <is>
          <t>ICN</t>
        </is>
      </c>
      <c r="F113" s="46" t="inlineStr">
        <is>
          <t>뭄바이공항</t>
        </is>
      </c>
      <c r="G113" s="44" t="inlineStr">
        <is>
          <t>BOM</t>
        </is>
      </c>
      <c r="H113" s="45" t="n">
        <v>45237</v>
      </c>
      <c r="I113" s="54" t="n">
        <v>45240</v>
      </c>
      <c r="J113" s="54" t="n">
        <v>45240</v>
      </c>
      <c r="K113" s="55" t="n">
        <v>135</v>
      </c>
    </row>
    <row r="114" ht="15" customHeight="1" s="28">
      <c r="A114" s="44" t="inlineStr">
        <is>
          <t>L-SB-0113</t>
        </is>
      </c>
      <c r="B114" s="44" t="inlineStr">
        <is>
          <t>R-SB-0112</t>
        </is>
      </c>
      <c r="C114" s="46" t="inlineStr">
        <is>
          <t>항공</t>
        </is>
      </c>
      <c r="D114" s="46" t="inlineStr">
        <is>
          <t>인천공항</t>
        </is>
      </c>
      <c r="E114" s="44" t="inlineStr">
        <is>
          <t>ICN</t>
        </is>
      </c>
      <c r="F114" s="46" t="inlineStr">
        <is>
          <t>댈러스공항</t>
        </is>
      </c>
      <c r="G114" s="44" t="inlineStr">
        <is>
          <t>DFW</t>
        </is>
      </c>
      <c r="H114" s="45" t="n">
        <v>45238</v>
      </c>
      <c r="I114" s="54" t="n">
        <v>45242</v>
      </c>
      <c r="J114" s="54" t="n">
        <v>45242</v>
      </c>
      <c r="K114" s="55" t="n">
        <v>187.82</v>
      </c>
    </row>
    <row r="115" ht="15" customHeight="1" s="28">
      <c r="A115" s="44" t="inlineStr">
        <is>
          <t>L-SB-0114</t>
        </is>
      </c>
      <c r="B115" s="44" t="inlineStr">
        <is>
          <t>R-SB-0113</t>
        </is>
      </c>
      <c r="C115" s="46" t="inlineStr">
        <is>
          <t>항공</t>
        </is>
      </c>
      <c r="D115" s="46" t="inlineStr">
        <is>
          <t>인천공항</t>
        </is>
      </c>
      <c r="E115" s="44" t="inlineStr">
        <is>
          <t>ICN</t>
        </is>
      </c>
      <c r="F115" s="46" t="inlineStr">
        <is>
          <t>몬테레이공항</t>
        </is>
      </c>
      <c r="G115" s="44" t="inlineStr">
        <is>
          <t>MTY</t>
        </is>
      </c>
      <c r="H115" s="45" t="n">
        <v>45239</v>
      </c>
      <c r="I115" s="54" t="n">
        <v>45244</v>
      </c>
      <c r="J115" s="54" t="n">
        <v>45244</v>
      </c>
      <c r="K115" s="55" t="n">
        <v>141.98</v>
      </c>
    </row>
    <row r="116" ht="15" customHeight="1" s="28">
      <c r="A116" s="44" t="inlineStr">
        <is>
          <t>L-SB-0115</t>
        </is>
      </c>
      <c r="B116" s="44" t="inlineStr">
        <is>
          <t>R-SB-0114</t>
        </is>
      </c>
      <c r="C116" s="46" t="inlineStr">
        <is>
          <t>항공</t>
        </is>
      </c>
      <c r="D116" s="46" t="inlineStr">
        <is>
          <t>인천공항</t>
        </is>
      </c>
      <c r="E116" s="44" t="inlineStr">
        <is>
          <t>ICN</t>
        </is>
      </c>
      <c r="F116" s="46" t="inlineStr">
        <is>
          <t>몬테레이공항</t>
        </is>
      </c>
      <c r="G116" s="44" t="inlineStr">
        <is>
          <t>MTY</t>
        </is>
      </c>
      <c r="H116" s="45" t="n">
        <v>45242</v>
      </c>
      <c r="I116" s="54" t="n">
        <v>45246</v>
      </c>
      <c r="J116" s="54" t="n">
        <v>45246</v>
      </c>
      <c r="K116" s="55" t="n">
        <v>189.81</v>
      </c>
    </row>
    <row r="117" ht="15" customHeight="1" s="28">
      <c r="A117" s="44" t="inlineStr">
        <is>
          <t>L-SB-0116</t>
        </is>
      </c>
      <c r="B117" s="44" t="inlineStr">
        <is>
          <t>R-SB-0115</t>
        </is>
      </c>
      <c r="C117" s="46" t="inlineStr">
        <is>
          <t>항공</t>
        </is>
      </c>
      <c r="D117" s="46" t="inlineStr">
        <is>
          <t>인천공항</t>
        </is>
      </c>
      <c r="E117" s="44" t="inlineStr">
        <is>
          <t>ICN</t>
        </is>
      </c>
      <c r="F117" s="46" t="inlineStr">
        <is>
          <t>몬테레이공항</t>
        </is>
      </c>
      <c r="G117" s="44" t="inlineStr">
        <is>
          <t>MTY</t>
        </is>
      </c>
      <c r="H117" s="45" t="n">
        <v>45243</v>
      </c>
      <c r="I117" s="54" t="n">
        <v>45248</v>
      </c>
      <c r="J117" s="54" t="n">
        <v>45247</v>
      </c>
      <c r="K117" s="55" t="n">
        <v>135</v>
      </c>
    </row>
    <row r="118" ht="15" customHeight="1" s="28">
      <c r="A118" s="44" t="inlineStr">
        <is>
          <t>L-SB-0117</t>
        </is>
      </c>
      <c r="B118" s="44" t="inlineStr">
        <is>
          <t>R-SB-0116</t>
        </is>
      </c>
      <c r="C118" s="46" t="inlineStr">
        <is>
          <t>해상</t>
        </is>
      </c>
      <c r="D118" s="46" t="inlineStr">
        <is>
          <t>부산항</t>
        </is>
      </c>
      <c r="E118" s="44" t="inlineStr">
        <is>
          <t>KRPUS</t>
        </is>
      </c>
      <c r="F118" s="46" t="inlineStr">
        <is>
          <t>다낭항</t>
        </is>
      </c>
      <c r="G118" s="44" t="inlineStr">
        <is>
          <t>VNDAD</t>
        </is>
      </c>
      <c r="H118" s="45" t="n">
        <v>45245</v>
      </c>
      <c r="I118" s="54" t="n">
        <v>45265</v>
      </c>
      <c r="J118" s="54" t="n">
        <v>45264</v>
      </c>
      <c r="K118" s="55" t="n">
        <v>530</v>
      </c>
    </row>
    <row r="119" ht="15" customHeight="1" s="28">
      <c r="A119" s="44" t="inlineStr">
        <is>
          <t>L-SB-0118</t>
        </is>
      </c>
      <c r="B119" s="44" t="inlineStr">
        <is>
          <t>R-SB-0117</t>
        </is>
      </c>
      <c r="C119" s="46" t="inlineStr">
        <is>
          <t>항공</t>
        </is>
      </c>
      <c r="D119" s="46" t="inlineStr">
        <is>
          <t>인천공항</t>
        </is>
      </c>
      <c r="E119" s="44" t="inlineStr">
        <is>
          <t>ICN</t>
        </is>
      </c>
      <c r="F119" s="46" t="inlineStr">
        <is>
          <t>댈러스공항</t>
        </is>
      </c>
      <c r="G119" s="44" t="inlineStr">
        <is>
          <t>DFW</t>
        </is>
      </c>
      <c r="H119" s="45" t="n">
        <v>45253</v>
      </c>
      <c r="I119" s="54" t="n">
        <v>45258</v>
      </c>
      <c r="J119" s="54" t="n">
        <v>45259</v>
      </c>
      <c r="K119" s="55" t="n">
        <v>191.48</v>
      </c>
    </row>
    <row r="120" ht="15" customHeight="1" s="28">
      <c r="A120" s="44" t="inlineStr">
        <is>
          <t>L-SB-0119</t>
        </is>
      </c>
      <c r="B120" s="44" t="inlineStr">
        <is>
          <t>R-SB-0118</t>
        </is>
      </c>
      <c r="C120" s="46" t="inlineStr">
        <is>
          <t>항공</t>
        </is>
      </c>
      <c r="D120" s="46" t="inlineStr">
        <is>
          <t>인천공항</t>
        </is>
      </c>
      <c r="E120" s="44" t="inlineStr">
        <is>
          <t>ICN</t>
        </is>
      </c>
      <c r="F120" s="46" t="inlineStr">
        <is>
          <t>다낭공항</t>
        </is>
      </c>
      <c r="G120" s="44" t="inlineStr">
        <is>
          <t>DAD</t>
        </is>
      </c>
      <c r="H120" s="45" t="n">
        <v>45255</v>
      </c>
      <c r="I120" s="54" t="n">
        <v>45258</v>
      </c>
      <c r="J120" s="54" t="n">
        <v>45258</v>
      </c>
      <c r="K120" s="55" t="n">
        <v>135</v>
      </c>
    </row>
    <row r="121" ht="15" customHeight="1" s="28">
      <c r="A121" s="44" t="inlineStr">
        <is>
          <t>L-SB-0120</t>
        </is>
      </c>
      <c r="B121" s="44" t="inlineStr">
        <is>
          <t>R-SB-0119</t>
        </is>
      </c>
      <c r="C121" s="46" t="inlineStr">
        <is>
          <t>항공</t>
        </is>
      </c>
      <c r="D121" s="46" t="inlineStr">
        <is>
          <t>인천공항</t>
        </is>
      </c>
      <c r="E121" s="44" t="inlineStr">
        <is>
          <t>ICN</t>
        </is>
      </c>
      <c r="F121" s="46" t="inlineStr">
        <is>
          <t>뭄바이공항</t>
        </is>
      </c>
      <c r="G121" s="44" t="inlineStr">
        <is>
          <t>BOM</t>
        </is>
      </c>
      <c r="H121" s="45" t="n">
        <v>45256</v>
      </c>
      <c r="I121" s="54" t="n">
        <v>45259</v>
      </c>
      <c r="J121" s="54" t="n">
        <v>45259</v>
      </c>
      <c r="K121" s="55" t="n">
        <v>135</v>
      </c>
    </row>
    <row r="122" ht="15" customHeight="1" s="28">
      <c r="A122" s="44" t="inlineStr">
        <is>
          <t>L-SB-0121</t>
        </is>
      </c>
      <c r="B122" s="44" t="inlineStr">
        <is>
          <t>R-SB-0120</t>
        </is>
      </c>
      <c r="C122" s="46" t="inlineStr">
        <is>
          <t>항공</t>
        </is>
      </c>
      <c r="D122" s="46" t="inlineStr">
        <is>
          <t>인천공항</t>
        </is>
      </c>
      <c r="E122" s="44" t="inlineStr">
        <is>
          <t>ICN</t>
        </is>
      </c>
      <c r="F122" s="46" t="inlineStr">
        <is>
          <t>댈러스공항</t>
        </is>
      </c>
      <c r="G122" s="44" t="inlineStr">
        <is>
          <t>DFW</t>
        </is>
      </c>
      <c r="H122" s="45" t="n">
        <v>45257</v>
      </c>
      <c r="I122" s="54" t="n">
        <v>45261</v>
      </c>
      <c r="J122" s="54" t="n">
        <v>45261</v>
      </c>
      <c r="K122" s="55" t="n">
        <v>381.62</v>
      </c>
    </row>
    <row r="123" ht="15" customHeight="1" s="28">
      <c r="A123" s="44" t="inlineStr">
        <is>
          <t>L-SB-0122</t>
        </is>
      </c>
      <c r="B123" s="44" t="inlineStr">
        <is>
          <t>R-SB-0121</t>
        </is>
      </c>
      <c r="C123" s="46" t="inlineStr">
        <is>
          <t>항공</t>
        </is>
      </c>
      <c r="D123" s="46" t="inlineStr">
        <is>
          <t>인천공항</t>
        </is>
      </c>
      <c r="E123" s="44" t="inlineStr">
        <is>
          <t>ICN</t>
        </is>
      </c>
      <c r="F123" s="46" t="inlineStr">
        <is>
          <t>뭄바이공항</t>
        </is>
      </c>
      <c r="G123" s="44" t="inlineStr">
        <is>
          <t>BOM</t>
        </is>
      </c>
      <c r="H123" s="45" t="n">
        <v>45263</v>
      </c>
      <c r="I123" s="54" t="n">
        <v>45265</v>
      </c>
      <c r="J123" s="54" t="n">
        <v>45268</v>
      </c>
      <c r="K123" s="55" t="n">
        <v>135</v>
      </c>
    </row>
    <row r="124" ht="15" customHeight="1" s="28">
      <c r="A124" s="44" t="inlineStr">
        <is>
          <t>L-SB-0123</t>
        </is>
      </c>
      <c r="B124" s="44" t="inlineStr">
        <is>
          <t>R-SB-0122</t>
        </is>
      </c>
      <c r="C124" s="46" t="inlineStr">
        <is>
          <t>항공</t>
        </is>
      </c>
      <c r="D124" s="46" t="inlineStr">
        <is>
          <t>인천공항</t>
        </is>
      </c>
      <c r="E124" s="44" t="inlineStr">
        <is>
          <t>ICN</t>
        </is>
      </c>
      <c r="F124" s="46" t="inlineStr">
        <is>
          <t>몬테레이공항</t>
        </is>
      </c>
      <c r="G124" s="44" t="inlineStr">
        <is>
          <t>MTY</t>
        </is>
      </c>
      <c r="H124" s="45" t="n">
        <v>45266</v>
      </c>
      <c r="I124" s="54" t="n">
        <v>45270</v>
      </c>
      <c r="J124" s="54" t="n">
        <v>45270</v>
      </c>
      <c r="K124" s="55" t="n">
        <v>135</v>
      </c>
    </row>
    <row r="125" ht="15" customHeight="1" s="28">
      <c r="A125" s="44" t="inlineStr">
        <is>
          <t>L-SB-0124</t>
        </is>
      </c>
      <c r="B125" s="44" t="inlineStr">
        <is>
          <t>R-SB-0123</t>
        </is>
      </c>
      <c r="C125" s="46" t="inlineStr">
        <is>
          <t>항공</t>
        </is>
      </c>
      <c r="D125" s="46" t="inlineStr">
        <is>
          <t>인천공항</t>
        </is>
      </c>
      <c r="E125" s="44" t="inlineStr">
        <is>
          <t>ICN</t>
        </is>
      </c>
      <c r="F125" s="46" t="inlineStr">
        <is>
          <t>몬테레이공항</t>
        </is>
      </c>
      <c r="G125" s="44" t="inlineStr">
        <is>
          <t>MTY</t>
        </is>
      </c>
      <c r="H125" s="45" t="n">
        <v>45275</v>
      </c>
      <c r="I125" s="54" t="n">
        <v>45278</v>
      </c>
      <c r="J125" s="54" t="n">
        <v>45278</v>
      </c>
      <c r="K125" s="55" t="n">
        <v>194.31</v>
      </c>
    </row>
    <row r="126" ht="15" customHeight="1" s="28">
      <c r="A126" s="44" t="inlineStr">
        <is>
          <t>L-SB-0125</t>
        </is>
      </c>
      <c r="B126" s="44" t="inlineStr">
        <is>
          <t>R-SB-0124</t>
        </is>
      </c>
      <c r="C126" s="46" t="inlineStr">
        <is>
          <t>해상</t>
        </is>
      </c>
      <c r="D126" s="46" t="inlineStr">
        <is>
          <t>부산항</t>
        </is>
      </c>
      <c r="E126" s="44" t="inlineStr">
        <is>
          <t>KRPUS</t>
        </is>
      </c>
      <c r="F126" s="46" t="inlineStr">
        <is>
          <t>다낭항</t>
        </is>
      </c>
      <c r="G126" s="44" t="inlineStr">
        <is>
          <t>VNDAD</t>
        </is>
      </c>
      <c r="H126" s="45" t="n">
        <v>45275</v>
      </c>
      <c r="I126" s="54" t="n">
        <v>45295</v>
      </c>
      <c r="J126" s="54" t="n">
        <v>45304</v>
      </c>
      <c r="K126" s="55" t="n">
        <v>530</v>
      </c>
    </row>
    <row r="127" ht="15" customHeight="1" s="28">
      <c r="A127" s="44" t="inlineStr">
        <is>
          <t>L-SB-0126</t>
        </is>
      </c>
      <c r="B127" s="44" t="inlineStr">
        <is>
          <t>R-SB-0125</t>
        </is>
      </c>
      <c r="C127" s="46" t="inlineStr">
        <is>
          <t>항공</t>
        </is>
      </c>
      <c r="D127" s="46" t="inlineStr">
        <is>
          <t>인천공항</t>
        </is>
      </c>
      <c r="E127" s="44" t="inlineStr">
        <is>
          <t>ICN</t>
        </is>
      </c>
      <c r="F127" s="46" t="inlineStr">
        <is>
          <t>댈러스공항</t>
        </is>
      </c>
      <c r="G127" s="44" t="inlineStr">
        <is>
          <t>DFW</t>
        </is>
      </c>
      <c r="H127" s="45" t="n">
        <v>45276</v>
      </c>
      <c r="I127" s="54" t="n">
        <v>45280</v>
      </c>
      <c r="J127" s="54" t="n">
        <v>45280</v>
      </c>
      <c r="K127" s="55" t="n">
        <v>216.23</v>
      </c>
    </row>
    <row r="128" ht="15" customHeight="1" s="28">
      <c r="A128" s="44" t="inlineStr">
        <is>
          <t>L-SB-0127</t>
        </is>
      </c>
      <c r="B128" s="44" t="inlineStr">
        <is>
          <t>R-SB-0126</t>
        </is>
      </c>
      <c r="C128" s="46" t="inlineStr">
        <is>
          <t>항공</t>
        </is>
      </c>
      <c r="D128" s="46" t="inlineStr">
        <is>
          <t>인천공항</t>
        </is>
      </c>
      <c r="E128" s="44" t="inlineStr">
        <is>
          <t>ICN</t>
        </is>
      </c>
      <c r="F128" s="46" t="inlineStr">
        <is>
          <t>댈러스공항</t>
        </is>
      </c>
      <c r="G128" s="44" t="inlineStr">
        <is>
          <t>DFW</t>
        </is>
      </c>
      <c r="H128" s="45" t="n">
        <v>45278</v>
      </c>
      <c r="I128" s="54" t="n">
        <v>45281</v>
      </c>
      <c r="J128" s="54" t="n">
        <v>45281</v>
      </c>
      <c r="K128" s="55" t="n">
        <v>135</v>
      </c>
    </row>
    <row r="129" ht="15" customHeight="1" s="28">
      <c r="A129" s="44" t="inlineStr">
        <is>
          <t>L-SB-0128</t>
        </is>
      </c>
      <c r="B129" s="44" t="inlineStr">
        <is>
          <t>R-SB-0127</t>
        </is>
      </c>
      <c r="C129" s="46" t="inlineStr">
        <is>
          <t>항공</t>
        </is>
      </c>
      <c r="D129" s="46" t="inlineStr">
        <is>
          <t>인천공항</t>
        </is>
      </c>
      <c r="E129" s="44" t="inlineStr">
        <is>
          <t>ICN</t>
        </is>
      </c>
      <c r="F129" s="46" t="inlineStr">
        <is>
          <t>몬테레이공항</t>
        </is>
      </c>
      <c r="G129" s="44" t="inlineStr">
        <is>
          <t>MTY</t>
        </is>
      </c>
      <c r="H129" s="45" t="n">
        <v>45278</v>
      </c>
      <c r="I129" s="54" t="n">
        <v>45281</v>
      </c>
      <c r="J129" s="54" t="n">
        <v>45281</v>
      </c>
      <c r="K129" s="55" t="n">
        <v>135</v>
      </c>
    </row>
    <row r="130" ht="15" customHeight="1" s="28">
      <c r="A130" s="44" t="inlineStr">
        <is>
          <t>L-SB-0129</t>
        </is>
      </c>
      <c r="B130" s="44" t="inlineStr">
        <is>
          <t>R-SB-0128</t>
        </is>
      </c>
      <c r="C130" s="46" t="inlineStr">
        <is>
          <t>항공</t>
        </is>
      </c>
      <c r="D130" s="46" t="inlineStr">
        <is>
          <t>인천공항</t>
        </is>
      </c>
      <c r="E130" s="44" t="inlineStr">
        <is>
          <t>ICN</t>
        </is>
      </c>
      <c r="F130" s="46" t="inlineStr">
        <is>
          <t>다낭공항</t>
        </is>
      </c>
      <c r="G130" s="44" t="inlineStr">
        <is>
          <t>DAD</t>
        </is>
      </c>
      <c r="H130" s="45" t="n">
        <v>45284</v>
      </c>
      <c r="I130" s="54" t="n">
        <v>45288</v>
      </c>
      <c r="J130" s="54" t="n">
        <v>45288</v>
      </c>
      <c r="K130" s="55" t="n">
        <v>162.45</v>
      </c>
    </row>
    <row r="131" ht="15" customHeight="1" s="28">
      <c r="A131" s="44" t="inlineStr">
        <is>
          <t>L-SB-0130</t>
        </is>
      </c>
      <c r="B131" s="44" t="inlineStr">
        <is>
          <t>R-SB-0129</t>
        </is>
      </c>
      <c r="C131" s="46" t="inlineStr">
        <is>
          <t>항공</t>
        </is>
      </c>
      <c r="D131" s="46" t="inlineStr">
        <is>
          <t>인천공항</t>
        </is>
      </c>
      <c r="E131" s="44" t="inlineStr">
        <is>
          <t>ICN</t>
        </is>
      </c>
      <c r="F131" s="46" t="inlineStr">
        <is>
          <t>다낭공항</t>
        </is>
      </c>
      <c r="G131" s="44" t="inlineStr">
        <is>
          <t>DAD</t>
        </is>
      </c>
      <c r="H131" s="45" t="n">
        <v>45285</v>
      </c>
      <c r="I131" s="54" t="n">
        <v>45289</v>
      </c>
      <c r="J131" s="54" t="n">
        <v>45289</v>
      </c>
    </row>
    <row r="132" ht="15" customHeight="1" s="28">
      <c r="A132" s="44" t="inlineStr">
        <is>
          <t>L-SB-0131</t>
        </is>
      </c>
      <c r="B132" s="44" t="inlineStr">
        <is>
          <t>R-SB-0130</t>
        </is>
      </c>
      <c r="C132" s="46" t="inlineStr">
        <is>
          <t>항공</t>
        </is>
      </c>
      <c r="D132" s="46" t="inlineStr">
        <is>
          <t>인천공항</t>
        </is>
      </c>
      <c r="E132" s="44" t="inlineStr">
        <is>
          <t>ICN</t>
        </is>
      </c>
      <c r="F132" s="46" t="inlineStr">
        <is>
          <t>뭄바이공항</t>
        </is>
      </c>
      <c r="G132" s="44" t="inlineStr">
        <is>
          <t>BOM</t>
        </is>
      </c>
      <c r="H132" s="45" t="n">
        <v>45296</v>
      </c>
      <c r="I132" s="54" t="n">
        <v>45299</v>
      </c>
      <c r="J132" s="54" t="n">
        <v>45299</v>
      </c>
      <c r="K132" s="55" t="n">
        <v>135</v>
      </c>
    </row>
    <row r="133" ht="15" customHeight="1" s="28">
      <c r="A133" s="44" t="inlineStr">
        <is>
          <t>L-SB-0132</t>
        </is>
      </c>
      <c r="B133" s="44" t="inlineStr">
        <is>
          <t>R-SB-0131</t>
        </is>
      </c>
      <c r="C133" s="46" t="inlineStr">
        <is>
          <t>항공</t>
        </is>
      </c>
      <c r="D133" s="46" t="inlineStr">
        <is>
          <t>인천공항</t>
        </is>
      </c>
      <c r="E133" s="44" t="inlineStr">
        <is>
          <t>ICN</t>
        </is>
      </c>
      <c r="F133" s="46" t="inlineStr">
        <is>
          <t>뭄바이공항</t>
        </is>
      </c>
      <c r="G133" s="44" t="inlineStr">
        <is>
          <t>BOM</t>
        </is>
      </c>
      <c r="H133" s="45" t="n">
        <v>45296</v>
      </c>
      <c r="I133" s="54" t="n">
        <v>45300</v>
      </c>
      <c r="J133" s="54" t="n">
        <v>45299</v>
      </c>
      <c r="K133" s="55" t="n">
        <v>135</v>
      </c>
    </row>
    <row r="134" ht="15" customHeight="1" s="28">
      <c r="A134" s="44" t="inlineStr">
        <is>
          <t>L-SB-0133</t>
        </is>
      </c>
      <c r="B134" s="44" t="inlineStr">
        <is>
          <t>R-SB-0132</t>
        </is>
      </c>
      <c r="C134" s="46" t="inlineStr">
        <is>
          <t>항공</t>
        </is>
      </c>
      <c r="D134" s="46" t="inlineStr">
        <is>
          <t>인천공항</t>
        </is>
      </c>
      <c r="E134" s="44" t="inlineStr">
        <is>
          <t>ICN</t>
        </is>
      </c>
      <c r="F134" s="46" t="inlineStr">
        <is>
          <t>몬테레이공항</t>
        </is>
      </c>
      <c r="G134" s="44" t="inlineStr">
        <is>
          <t>MTY</t>
        </is>
      </c>
      <c r="H134" s="45" t="n">
        <v>45298</v>
      </c>
      <c r="I134" s="54" t="n">
        <v>45302</v>
      </c>
      <c r="J134" s="54" t="n">
        <v>45301</v>
      </c>
      <c r="K134" s="55" t="n">
        <v>195.51</v>
      </c>
    </row>
    <row r="135" ht="15" customHeight="1" s="28">
      <c r="A135" s="44" t="inlineStr">
        <is>
          <t>L-SB-0134</t>
        </is>
      </c>
      <c r="B135" s="44" t="inlineStr">
        <is>
          <t>R-SB-0133</t>
        </is>
      </c>
      <c r="C135" s="46" t="inlineStr">
        <is>
          <t>항공</t>
        </is>
      </c>
      <c r="D135" s="46" t="inlineStr">
        <is>
          <t>인천공항</t>
        </is>
      </c>
      <c r="E135" s="44" t="inlineStr">
        <is>
          <t>ICN</t>
        </is>
      </c>
      <c r="F135" s="46" t="inlineStr">
        <is>
          <t>뭄바이공항</t>
        </is>
      </c>
      <c r="G135" s="44" t="inlineStr">
        <is>
          <t>BOM</t>
        </is>
      </c>
      <c r="H135" s="45" t="n">
        <v>45299</v>
      </c>
      <c r="I135" s="54" t="n">
        <v>45302</v>
      </c>
      <c r="J135" s="54" t="n">
        <v>45302</v>
      </c>
      <c r="K135" s="55" t="n">
        <v>135</v>
      </c>
    </row>
    <row r="136" ht="15" customHeight="1" s="28">
      <c r="A136" s="44" t="inlineStr">
        <is>
          <t>L-SB-0135</t>
        </is>
      </c>
      <c r="B136" s="44" t="inlineStr">
        <is>
          <t>R-SB-0134</t>
        </is>
      </c>
      <c r="C136" s="46" t="inlineStr">
        <is>
          <t>해상</t>
        </is>
      </c>
      <c r="D136" s="46" t="inlineStr">
        <is>
          <t>부산항</t>
        </is>
      </c>
      <c r="E136" s="44" t="inlineStr">
        <is>
          <t>KRPUS</t>
        </is>
      </c>
      <c r="F136" s="46" t="inlineStr">
        <is>
          <t>다낭항</t>
        </is>
      </c>
      <c r="G136" s="44" t="inlineStr">
        <is>
          <t>VNDAD</t>
        </is>
      </c>
      <c r="H136" s="45" t="n">
        <v>45304</v>
      </c>
      <c r="I136" s="54" t="n">
        <v>45324</v>
      </c>
      <c r="J136" s="54" t="n">
        <v>45324</v>
      </c>
      <c r="K136" s="55" t="n">
        <v>530</v>
      </c>
    </row>
    <row r="137" ht="15" customHeight="1" s="28">
      <c r="A137" s="44" t="inlineStr">
        <is>
          <t>L-SB-0136</t>
        </is>
      </c>
      <c r="B137" s="44" t="inlineStr">
        <is>
          <t>R-SB-0135</t>
        </is>
      </c>
      <c r="C137" s="46" t="inlineStr">
        <is>
          <t>항공</t>
        </is>
      </c>
      <c r="D137" s="46" t="inlineStr">
        <is>
          <t>인천공항</t>
        </is>
      </c>
      <c r="E137" s="44" t="inlineStr">
        <is>
          <t>ICN</t>
        </is>
      </c>
      <c r="F137" s="46" t="inlineStr">
        <is>
          <t>다낭공항</t>
        </is>
      </c>
      <c r="G137" s="44" t="inlineStr">
        <is>
          <t>DAD</t>
        </is>
      </c>
      <c r="H137" s="45" t="n">
        <v>45306</v>
      </c>
      <c r="I137" s="54" t="n">
        <v>45311</v>
      </c>
      <c r="J137" s="54" t="n">
        <v>45310</v>
      </c>
      <c r="K137" s="55" t="n">
        <v>148.68</v>
      </c>
    </row>
    <row r="138" ht="15" customHeight="1" s="28">
      <c r="A138" s="44" t="inlineStr">
        <is>
          <t>L-SB-0137</t>
        </is>
      </c>
      <c r="B138" s="44" t="inlineStr">
        <is>
          <t>R-SB-0136</t>
        </is>
      </c>
      <c r="C138" s="46" t="inlineStr">
        <is>
          <t>항공</t>
        </is>
      </c>
      <c r="D138" s="46" t="inlineStr">
        <is>
          <t>인천공항</t>
        </is>
      </c>
      <c r="E138" s="44" t="inlineStr">
        <is>
          <t>ICN</t>
        </is>
      </c>
      <c r="F138" s="46" t="inlineStr">
        <is>
          <t>몬테레이공항</t>
        </is>
      </c>
      <c r="G138" s="44" t="inlineStr">
        <is>
          <t>MTY</t>
        </is>
      </c>
      <c r="H138" s="45" t="n">
        <v>45309</v>
      </c>
      <c r="I138" s="54" t="n">
        <v>45312</v>
      </c>
      <c r="J138" s="54" t="n">
        <v>45312</v>
      </c>
      <c r="K138" s="55" t="n">
        <v>140.88</v>
      </c>
    </row>
    <row r="139" ht="15" customHeight="1" s="28">
      <c r="A139" s="44" t="inlineStr">
        <is>
          <t>L-SB-0138</t>
        </is>
      </c>
      <c r="B139" s="44" t="inlineStr">
        <is>
          <t>R-SB-0137</t>
        </is>
      </c>
      <c r="C139" s="46" t="inlineStr">
        <is>
          <t>항공</t>
        </is>
      </c>
      <c r="D139" s="46" t="inlineStr">
        <is>
          <t>인천공항</t>
        </is>
      </c>
      <c r="E139" s="44" t="inlineStr">
        <is>
          <t>ICN</t>
        </is>
      </c>
      <c r="F139" s="46" t="inlineStr">
        <is>
          <t>댈러스공항</t>
        </is>
      </c>
      <c r="G139" s="44" t="inlineStr">
        <is>
          <t>DFW</t>
        </is>
      </c>
      <c r="H139" s="45" t="n">
        <v>45310</v>
      </c>
      <c r="I139" s="54" t="n">
        <v>45314</v>
      </c>
      <c r="J139" s="54" t="n">
        <v>45314</v>
      </c>
      <c r="K139" s="55" t="n">
        <v>144.67</v>
      </c>
    </row>
    <row r="140" ht="15" customHeight="1" s="28">
      <c r="A140" s="44" t="inlineStr">
        <is>
          <t>L-SB-0139</t>
        </is>
      </c>
      <c r="B140" s="44" t="inlineStr">
        <is>
          <t>R-SB-0138</t>
        </is>
      </c>
      <c r="C140" s="46" t="inlineStr">
        <is>
          <t>항공</t>
        </is>
      </c>
      <c r="D140" s="46" t="inlineStr">
        <is>
          <t>인천공항</t>
        </is>
      </c>
      <c r="E140" s="44" t="inlineStr">
        <is>
          <t>ICN</t>
        </is>
      </c>
      <c r="F140" s="46" t="inlineStr">
        <is>
          <t>몬테레이공항</t>
        </is>
      </c>
      <c r="G140" s="44" t="inlineStr">
        <is>
          <t>MTY</t>
        </is>
      </c>
      <c r="H140" s="45" t="n">
        <v>45311</v>
      </c>
      <c r="I140" s="54" t="n">
        <v>45315</v>
      </c>
      <c r="J140" s="54" t="n">
        <v>45314</v>
      </c>
      <c r="K140" s="55" t="n">
        <v>135</v>
      </c>
    </row>
    <row r="141" ht="15" customHeight="1" s="28">
      <c r="A141" s="44" t="inlineStr">
        <is>
          <t>L-SB-0140</t>
        </is>
      </c>
      <c r="B141" s="44" t="inlineStr">
        <is>
          <t>R-SB-0139</t>
        </is>
      </c>
      <c r="C141" s="46" t="inlineStr">
        <is>
          <t>항공</t>
        </is>
      </c>
      <c r="D141" s="46" t="inlineStr">
        <is>
          <t>인천공항</t>
        </is>
      </c>
      <c r="E141" s="44" t="inlineStr">
        <is>
          <t>ICN</t>
        </is>
      </c>
      <c r="F141" s="46" t="inlineStr">
        <is>
          <t>다낭공항</t>
        </is>
      </c>
      <c r="G141" s="44" t="inlineStr">
        <is>
          <t>DAD</t>
        </is>
      </c>
      <c r="H141" s="45" t="n"/>
      <c r="K141" s="55" t="n">
        <v>135</v>
      </c>
    </row>
    <row r="142" ht="15" customHeight="1" s="28">
      <c r="A142" s="44" t="inlineStr">
        <is>
          <t>L-SB-0141</t>
        </is>
      </c>
      <c r="B142" s="44" t="inlineStr">
        <is>
          <t>R-SB-0140</t>
        </is>
      </c>
      <c r="C142" s="46" t="inlineStr">
        <is>
          <t>항공</t>
        </is>
      </c>
      <c r="D142" s="46" t="inlineStr">
        <is>
          <t>인천공항</t>
        </is>
      </c>
      <c r="E142" s="44" t="inlineStr">
        <is>
          <t>ICN</t>
        </is>
      </c>
      <c r="F142" s="46" t="inlineStr">
        <is>
          <t>다낭공항</t>
        </is>
      </c>
      <c r="G142" s="44" t="inlineStr">
        <is>
          <t>DAD</t>
        </is>
      </c>
      <c r="H142" s="45" t="n">
        <v>45327</v>
      </c>
      <c r="I142" s="54" t="n">
        <v>45331</v>
      </c>
      <c r="J142" s="54" t="n">
        <v>45332</v>
      </c>
      <c r="K142" s="55" t="n">
        <v>159.61</v>
      </c>
    </row>
    <row r="143" ht="15" customHeight="1" s="28">
      <c r="A143" s="44" t="inlineStr">
        <is>
          <t>L-SB-0142</t>
        </is>
      </c>
      <c r="B143" s="44" t="inlineStr">
        <is>
          <t>R-SB-0141</t>
        </is>
      </c>
      <c r="C143" s="46" t="inlineStr">
        <is>
          <t>해상</t>
        </is>
      </c>
      <c r="D143" s="46" t="inlineStr">
        <is>
          <t>부산항</t>
        </is>
      </c>
      <c r="E143" s="44" t="inlineStr">
        <is>
          <t>KRPUS</t>
        </is>
      </c>
      <c r="F143" s="46" t="inlineStr">
        <is>
          <t>다낭항</t>
        </is>
      </c>
      <c r="G143" s="44" t="inlineStr">
        <is>
          <t>VNDAD</t>
        </is>
      </c>
      <c r="H143" s="45" t="n">
        <v>45328</v>
      </c>
      <c r="I143" s="54" t="n">
        <v>45351</v>
      </c>
      <c r="J143" s="54" t="n">
        <v>45349</v>
      </c>
      <c r="K143" s="55" t="n">
        <v>530</v>
      </c>
    </row>
    <row r="144" ht="15" customHeight="1" s="28">
      <c r="A144" s="44" t="inlineStr">
        <is>
          <t>L-SB-0143</t>
        </is>
      </c>
      <c r="B144" s="44" t="inlineStr">
        <is>
          <t>R-SB-0142</t>
        </is>
      </c>
      <c r="C144" s="46" t="inlineStr">
        <is>
          <t>항공</t>
        </is>
      </c>
      <c r="D144" s="46" t="inlineStr">
        <is>
          <t>인천공항</t>
        </is>
      </c>
      <c r="E144" s="44" t="inlineStr">
        <is>
          <t>ICN</t>
        </is>
      </c>
      <c r="F144" s="46" t="inlineStr">
        <is>
          <t>뭄바이공항</t>
        </is>
      </c>
      <c r="G144" s="44" t="inlineStr">
        <is>
          <t>BOM</t>
        </is>
      </c>
      <c r="H144" s="45" t="n">
        <v>45329</v>
      </c>
      <c r="I144" s="54" t="n">
        <v>45331</v>
      </c>
      <c r="J144" s="54" t="n">
        <v>45331</v>
      </c>
      <c r="K144" s="55" t="n">
        <v>135</v>
      </c>
    </row>
    <row r="145" ht="15" customHeight="1" s="28">
      <c r="A145" s="44" t="inlineStr">
        <is>
          <t>L-SB-0144</t>
        </is>
      </c>
      <c r="B145" s="44" t="inlineStr">
        <is>
          <t>R-SB-0143</t>
        </is>
      </c>
      <c r="C145" s="46" t="inlineStr">
        <is>
          <t>항공</t>
        </is>
      </c>
      <c r="D145" s="46" t="inlineStr">
        <is>
          <t>인천공항</t>
        </is>
      </c>
      <c r="E145" s="44" t="inlineStr">
        <is>
          <t>ICN</t>
        </is>
      </c>
      <c r="F145" s="46" t="inlineStr">
        <is>
          <t>뭄바이공항</t>
        </is>
      </c>
      <c r="G145" s="44" t="inlineStr">
        <is>
          <t>BOM</t>
        </is>
      </c>
      <c r="H145" s="45" t="n">
        <v>45330</v>
      </c>
      <c r="I145" s="54" t="n">
        <v>45334</v>
      </c>
      <c r="J145" s="54" t="n">
        <v>45334</v>
      </c>
      <c r="K145" s="55" t="n">
        <v>135</v>
      </c>
    </row>
    <row r="146" ht="15" customHeight="1" s="28">
      <c r="A146" s="44" t="inlineStr">
        <is>
          <t>L-SB-0145</t>
        </is>
      </c>
      <c r="B146" s="44" t="inlineStr">
        <is>
          <t>R-SB-0144</t>
        </is>
      </c>
      <c r="C146" s="46" t="inlineStr">
        <is>
          <t>항공</t>
        </is>
      </c>
      <c r="D146" s="46" t="inlineStr">
        <is>
          <t>인천공항</t>
        </is>
      </c>
      <c r="E146" s="44" t="inlineStr">
        <is>
          <t>ICN</t>
        </is>
      </c>
      <c r="F146" s="46" t="inlineStr">
        <is>
          <t>몬테레이공항</t>
        </is>
      </c>
      <c r="G146" s="44" t="inlineStr">
        <is>
          <t>MTY</t>
        </is>
      </c>
      <c r="H146" s="45" t="n">
        <v>45331</v>
      </c>
      <c r="I146" s="54" t="n">
        <v>45334</v>
      </c>
      <c r="J146" s="54" t="n">
        <v>45334</v>
      </c>
      <c r="K146" s="55" t="n">
        <v>135</v>
      </c>
    </row>
    <row r="147" ht="15" customHeight="1" s="28">
      <c r="A147" s="44" t="inlineStr">
        <is>
          <t>L-SB-0146</t>
        </is>
      </c>
      <c r="B147" s="44" t="inlineStr">
        <is>
          <t>R-SB-0145</t>
        </is>
      </c>
      <c r="C147" s="46" t="inlineStr">
        <is>
          <t>항공</t>
        </is>
      </c>
      <c r="D147" s="46" t="inlineStr">
        <is>
          <t>인천공항</t>
        </is>
      </c>
      <c r="E147" s="44" t="inlineStr">
        <is>
          <t>ICN</t>
        </is>
      </c>
      <c r="F147" s="46" t="inlineStr">
        <is>
          <t>댈러스공항</t>
        </is>
      </c>
      <c r="G147" s="44" t="inlineStr">
        <is>
          <t>DFW</t>
        </is>
      </c>
      <c r="H147" s="45" t="n">
        <v>45336</v>
      </c>
      <c r="I147" s="54" t="n">
        <v>45339</v>
      </c>
      <c r="J147" s="54" t="n">
        <v>45342</v>
      </c>
      <c r="K147" s="55" t="n">
        <v>207.53</v>
      </c>
    </row>
    <row r="148" ht="15" customHeight="1" s="28">
      <c r="A148" s="44" t="inlineStr">
        <is>
          <t>L-SB-0147</t>
        </is>
      </c>
      <c r="B148" s="44" t="inlineStr">
        <is>
          <t>R-SB-0146</t>
        </is>
      </c>
      <c r="C148" s="46" t="inlineStr">
        <is>
          <t>항공</t>
        </is>
      </c>
      <c r="D148" s="46" t="inlineStr">
        <is>
          <t>인천공항</t>
        </is>
      </c>
      <c r="E148" s="44" t="inlineStr">
        <is>
          <t>ICN</t>
        </is>
      </c>
      <c r="F148" s="46" t="inlineStr">
        <is>
          <t>몬테레이공항</t>
        </is>
      </c>
      <c r="G148" s="44" t="inlineStr">
        <is>
          <t>MTY</t>
        </is>
      </c>
      <c r="H148" s="45" t="n">
        <v>45337</v>
      </c>
      <c r="I148" s="54" t="n">
        <v>45340</v>
      </c>
      <c r="J148" s="54" t="n">
        <v>45340</v>
      </c>
      <c r="K148" s="55" t="n">
        <v>221.75</v>
      </c>
    </row>
    <row r="149" ht="15" customHeight="1" s="28">
      <c r="A149" s="44" t="inlineStr">
        <is>
          <t>L-SB-0148</t>
        </is>
      </c>
      <c r="B149" s="44" t="inlineStr">
        <is>
          <t>R-SB-0147</t>
        </is>
      </c>
      <c r="C149" s="46" t="inlineStr">
        <is>
          <t>항공</t>
        </is>
      </c>
      <c r="D149" s="46" t="inlineStr">
        <is>
          <t>인천공항</t>
        </is>
      </c>
      <c r="E149" s="44" t="inlineStr">
        <is>
          <t>ICN</t>
        </is>
      </c>
      <c r="F149" s="46" t="inlineStr">
        <is>
          <t>댈러스공항</t>
        </is>
      </c>
      <c r="G149" s="44" t="inlineStr">
        <is>
          <t>DFW</t>
        </is>
      </c>
      <c r="H149" s="45" t="n">
        <v>45339</v>
      </c>
      <c r="I149" s="54" t="n">
        <v>45343</v>
      </c>
      <c r="J149" s="54" t="n">
        <v>45343</v>
      </c>
      <c r="K149" s="55" t="n">
        <v>147.51</v>
      </c>
    </row>
    <row r="150" ht="15" customHeight="1" s="28">
      <c r="A150" s="44" t="inlineStr">
        <is>
          <t>L-SB-0149</t>
        </is>
      </c>
      <c r="B150" s="44" t="inlineStr">
        <is>
          <t>R-SB-0148</t>
        </is>
      </c>
      <c r="C150" s="46" t="inlineStr">
        <is>
          <t>항공</t>
        </is>
      </c>
      <c r="D150" s="46" t="inlineStr">
        <is>
          <t>인천공항</t>
        </is>
      </c>
      <c r="E150" s="44" t="inlineStr">
        <is>
          <t>ICN</t>
        </is>
      </c>
      <c r="F150" s="46" t="inlineStr">
        <is>
          <t>뭄바이공항</t>
        </is>
      </c>
      <c r="G150" s="44" t="inlineStr">
        <is>
          <t>BOM</t>
        </is>
      </c>
      <c r="H150" s="45" t="n">
        <v>45345</v>
      </c>
      <c r="I150" s="54" t="n">
        <v>45348</v>
      </c>
      <c r="J150" s="54" t="n">
        <v>45348</v>
      </c>
      <c r="K150" s="55" t="n">
        <v>135</v>
      </c>
    </row>
    <row r="151" ht="15" customHeight="1" s="28">
      <c r="A151" s="44" t="inlineStr">
        <is>
          <t>L-SB-0150</t>
        </is>
      </c>
      <c r="B151" s="44" t="inlineStr">
        <is>
          <t>R-SB-0149</t>
        </is>
      </c>
      <c r="C151" s="46" t="inlineStr">
        <is>
          <t>항공</t>
        </is>
      </c>
      <c r="D151" s="46" t="inlineStr">
        <is>
          <t>인천공항</t>
        </is>
      </c>
      <c r="E151" s="44" t="inlineStr">
        <is>
          <t>ICN</t>
        </is>
      </c>
      <c r="F151" s="46" t="inlineStr">
        <is>
          <t>몬테레이공항</t>
        </is>
      </c>
      <c r="G151" s="44" t="inlineStr">
        <is>
          <t>MTY</t>
        </is>
      </c>
      <c r="H151" s="45" t="n">
        <v>45357</v>
      </c>
      <c r="I151" s="54" t="n">
        <v>45361</v>
      </c>
      <c r="K151" s="55" t="n">
        <v>135</v>
      </c>
    </row>
    <row r="152" ht="15" customHeight="1" s="28">
      <c r="A152" s="44" t="inlineStr">
        <is>
          <t>L-SB-0151</t>
        </is>
      </c>
      <c r="B152" s="44" t="inlineStr">
        <is>
          <t>R-SB-0150</t>
        </is>
      </c>
      <c r="C152" s="46" t="inlineStr">
        <is>
          <t>항공</t>
        </is>
      </c>
      <c r="D152" s="46" t="inlineStr">
        <is>
          <t>인천공항</t>
        </is>
      </c>
      <c r="E152" s="44" t="inlineStr">
        <is>
          <t>ICN</t>
        </is>
      </c>
      <c r="F152" s="46" t="inlineStr">
        <is>
          <t>몬테레이공항</t>
        </is>
      </c>
      <c r="G152" s="44" t="inlineStr">
        <is>
          <t>MTY</t>
        </is>
      </c>
      <c r="H152" s="45" t="n">
        <v>45358</v>
      </c>
      <c r="I152" s="54" t="n">
        <v>45361</v>
      </c>
      <c r="J152" s="54" t="n">
        <v>45361</v>
      </c>
      <c r="K152" s="55" t="n">
        <v>140.95</v>
      </c>
    </row>
    <row r="153" ht="15" customHeight="1" s="28">
      <c r="A153" s="44" t="inlineStr">
        <is>
          <t>L-SB-0152</t>
        </is>
      </c>
      <c r="B153" s="44" t="inlineStr">
        <is>
          <t>R-SB-0151</t>
        </is>
      </c>
      <c r="C153" s="46" t="inlineStr">
        <is>
          <t>항공</t>
        </is>
      </c>
      <c r="D153" s="46" t="inlineStr">
        <is>
          <t>인천공항</t>
        </is>
      </c>
      <c r="E153" s="44" t="inlineStr">
        <is>
          <t>ICN</t>
        </is>
      </c>
      <c r="F153" s="46" t="inlineStr">
        <is>
          <t>뭄바이공항</t>
        </is>
      </c>
      <c r="G153" s="44" t="inlineStr">
        <is>
          <t>BOM</t>
        </is>
      </c>
      <c r="H153" s="45" t="n">
        <v>45362</v>
      </c>
      <c r="I153" s="54" t="n">
        <v>45366</v>
      </c>
      <c r="J153" s="54" t="n">
        <v>45366</v>
      </c>
      <c r="K153" s="55" t="n">
        <v>135</v>
      </c>
    </row>
    <row r="154" ht="15" customHeight="1" s="28">
      <c r="A154" s="44" t="inlineStr">
        <is>
          <t>L-SB-0153</t>
        </is>
      </c>
      <c r="B154" s="44" t="inlineStr">
        <is>
          <t>R-SB-0152</t>
        </is>
      </c>
      <c r="C154" s="46" t="inlineStr">
        <is>
          <t>항공</t>
        </is>
      </c>
      <c r="D154" s="46" t="inlineStr">
        <is>
          <t>인천공항</t>
        </is>
      </c>
      <c r="E154" s="44" t="inlineStr">
        <is>
          <t>ICN</t>
        </is>
      </c>
      <c r="F154" s="46" t="inlineStr">
        <is>
          <t>다낭공항</t>
        </is>
      </c>
      <c r="G154" s="44" t="inlineStr">
        <is>
          <t>DAD</t>
        </is>
      </c>
      <c r="H154" s="45" t="n">
        <v>45364</v>
      </c>
      <c r="I154" s="54" t="n">
        <v>45368</v>
      </c>
      <c r="J154" s="54" t="n">
        <v>45368</v>
      </c>
      <c r="K154" s="55" t="n">
        <v>135</v>
      </c>
    </row>
    <row r="155" ht="15" customHeight="1" s="28">
      <c r="A155" s="44" t="inlineStr">
        <is>
          <t>L-SB-0154</t>
        </is>
      </c>
      <c r="B155" s="44" t="inlineStr">
        <is>
          <t>R-SB-0153</t>
        </is>
      </c>
      <c r="C155" s="46" t="inlineStr">
        <is>
          <t>항공</t>
        </is>
      </c>
      <c r="D155" s="46" t="inlineStr">
        <is>
          <t>인천공항</t>
        </is>
      </c>
      <c r="E155" s="44" t="inlineStr">
        <is>
          <t>ICN</t>
        </is>
      </c>
      <c r="F155" s="46" t="inlineStr">
        <is>
          <t>댈러스공항</t>
        </is>
      </c>
      <c r="G155" s="44" t="inlineStr">
        <is>
          <t>DFW</t>
        </is>
      </c>
      <c r="H155" s="45" t="n">
        <v>45368</v>
      </c>
      <c r="I155" s="54" t="n">
        <v>45373</v>
      </c>
      <c r="J155" s="54" t="n">
        <v>45372</v>
      </c>
      <c r="K155" s="55" t="n">
        <v>285.22</v>
      </c>
    </row>
    <row r="156" ht="15" customHeight="1" s="28">
      <c r="A156" s="44" t="inlineStr">
        <is>
          <t>L-SB-0155</t>
        </is>
      </c>
      <c r="B156" s="44" t="inlineStr">
        <is>
          <t>R-SB-0154</t>
        </is>
      </c>
      <c r="C156" s="46" t="inlineStr">
        <is>
          <t>항공</t>
        </is>
      </c>
      <c r="D156" s="46" t="inlineStr">
        <is>
          <t>인천공항</t>
        </is>
      </c>
      <c r="E156" s="44" t="inlineStr">
        <is>
          <t>ICN</t>
        </is>
      </c>
      <c r="F156" s="46" t="inlineStr">
        <is>
          <t>댈러스공항</t>
        </is>
      </c>
      <c r="G156" s="44" t="inlineStr">
        <is>
          <t>DFW</t>
        </is>
      </c>
      <c r="H156" s="45" t="n">
        <v>45368</v>
      </c>
      <c r="I156" s="54" t="n">
        <v>45372</v>
      </c>
      <c r="J156" s="54" t="n">
        <v>45372</v>
      </c>
      <c r="K156" s="55" t="n">
        <v>156.79</v>
      </c>
    </row>
    <row r="157" ht="15" customHeight="1" s="28">
      <c r="A157" s="44" t="inlineStr">
        <is>
          <t>L-SB-0156</t>
        </is>
      </c>
      <c r="B157" s="44" t="inlineStr">
        <is>
          <t>R-SB-0155</t>
        </is>
      </c>
      <c r="C157" s="46" t="inlineStr">
        <is>
          <t>항공</t>
        </is>
      </c>
      <c r="D157" s="46" t="inlineStr">
        <is>
          <t>인천공항</t>
        </is>
      </c>
      <c r="E157" s="44" t="inlineStr">
        <is>
          <t>ICN</t>
        </is>
      </c>
      <c r="F157" s="46" t="inlineStr">
        <is>
          <t>몬테레이공항</t>
        </is>
      </c>
      <c r="G157" s="44" t="inlineStr">
        <is>
          <t>MTY</t>
        </is>
      </c>
      <c r="H157" s="45" t="n">
        <v>45368</v>
      </c>
      <c r="I157" s="54" t="n">
        <v>45371</v>
      </c>
      <c r="J157" s="54" t="n">
        <v>45370</v>
      </c>
      <c r="K157" s="55" t="n">
        <v>225.87</v>
      </c>
    </row>
    <row r="158" ht="15" customHeight="1" s="28">
      <c r="A158" s="44" t="inlineStr">
        <is>
          <t>L-SB-0157</t>
        </is>
      </c>
      <c r="B158" s="44" t="inlineStr">
        <is>
          <t>R-SB-0156</t>
        </is>
      </c>
      <c r="C158" s="46" t="inlineStr">
        <is>
          <t>항공</t>
        </is>
      </c>
      <c r="D158" s="46" t="inlineStr">
        <is>
          <t>인천공항</t>
        </is>
      </c>
      <c r="E158" s="44" t="inlineStr">
        <is>
          <t>ICN</t>
        </is>
      </c>
      <c r="F158" s="46" t="inlineStr">
        <is>
          <t>다낭공항</t>
        </is>
      </c>
      <c r="G158" s="44" t="inlineStr">
        <is>
          <t>DAD</t>
        </is>
      </c>
      <c r="H158" s="45" t="n">
        <v>45373</v>
      </c>
      <c r="I158" s="54" t="n">
        <v>45376</v>
      </c>
      <c r="J158" s="54" t="n">
        <v>45376</v>
      </c>
      <c r="K158" s="55" t="n">
        <v>164.89</v>
      </c>
    </row>
    <row r="159" ht="15" customHeight="1" s="28">
      <c r="A159" s="44" t="inlineStr">
        <is>
          <t>L-SB-0158</t>
        </is>
      </c>
      <c r="B159" s="44" t="inlineStr">
        <is>
          <t>R-SB-0157</t>
        </is>
      </c>
      <c r="C159" s="46" t="inlineStr">
        <is>
          <t>항공</t>
        </is>
      </c>
      <c r="D159" s="46" t="inlineStr">
        <is>
          <t>인천공항</t>
        </is>
      </c>
      <c r="E159" s="44" t="inlineStr">
        <is>
          <t>ICN</t>
        </is>
      </c>
      <c r="F159" s="46" t="inlineStr">
        <is>
          <t>댈러스공항</t>
        </is>
      </c>
      <c r="G159" s="44" t="inlineStr">
        <is>
          <t>DFW</t>
        </is>
      </c>
      <c r="H159" s="45" t="n">
        <v>45374</v>
      </c>
      <c r="I159" s="54" t="n">
        <v>45377</v>
      </c>
      <c r="J159" s="54" t="n">
        <v>45376</v>
      </c>
      <c r="K159" s="55" t="n">
        <v>231.64</v>
      </c>
    </row>
    <row r="160" ht="15" customHeight="1" s="28">
      <c r="A160" s="44" t="inlineStr">
        <is>
          <t>L-SB-0159</t>
        </is>
      </c>
      <c r="B160" s="44" t="inlineStr">
        <is>
          <t>R-SB-0158</t>
        </is>
      </c>
      <c r="C160" s="46" t="inlineStr">
        <is>
          <t>해상</t>
        </is>
      </c>
      <c r="D160" s="46" t="inlineStr">
        <is>
          <t>부산항</t>
        </is>
      </c>
      <c r="E160" s="44" t="inlineStr">
        <is>
          <t>KRPUS</t>
        </is>
      </c>
      <c r="F160" s="46" t="inlineStr">
        <is>
          <t>다낭항</t>
        </is>
      </c>
      <c r="G160" s="44" t="inlineStr">
        <is>
          <t>VNDAD</t>
        </is>
      </c>
      <c r="H160" s="45" t="n">
        <v>45374</v>
      </c>
      <c r="I160" s="54" t="n">
        <v>45396</v>
      </c>
      <c r="J160" s="54" t="n">
        <v>45396</v>
      </c>
      <c r="K160" s="55" t="n">
        <v>530</v>
      </c>
    </row>
    <row r="161" ht="15" customHeight="1" s="28">
      <c r="A161" s="44" t="inlineStr">
        <is>
          <t>L-SB-0160</t>
        </is>
      </c>
      <c r="B161" s="44" t="inlineStr">
        <is>
          <t>R-SB-0159</t>
        </is>
      </c>
      <c r="C161" s="46" t="inlineStr">
        <is>
          <t>항공</t>
        </is>
      </c>
      <c r="D161" s="46" t="inlineStr">
        <is>
          <t>인천공항</t>
        </is>
      </c>
      <c r="E161" s="44" t="inlineStr">
        <is>
          <t>ICN</t>
        </is>
      </c>
      <c r="F161" s="46" t="inlineStr">
        <is>
          <t>뭄바이공항</t>
        </is>
      </c>
      <c r="G161" s="44" t="inlineStr">
        <is>
          <t>BOM</t>
        </is>
      </c>
      <c r="H161" s="45" t="n">
        <v>45378</v>
      </c>
      <c r="I161" s="54" t="n">
        <v>45381</v>
      </c>
      <c r="J161" s="54" t="n">
        <v>45381</v>
      </c>
      <c r="K161" s="55" t="n">
        <v>135</v>
      </c>
    </row>
    <row r="162" ht="15" customHeight="1" s="28">
      <c r="A162" s="44" t="inlineStr">
        <is>
          <t>L-SB-0161</t>
        </is>
      </c>
      <c r="B162" s="44" t="inlineStr">
        <is>
          <t>R-SB-0160</t>
        </is>
      </c>
      <c r="C162" s="46" t="inlineStr">
        <is>
          <t>항공</t>
        </is>
      </c>
      <c r="D162" s="46" t="inlineStr">
        <is>
          <t>인천공항</t>
        </is>
      </c>
      <c r="E162" s="44" t="inlineStr">
        <is>
          <t>ICN</t>
        </is>
      </c>
      <c r="F162" s="46" t="inlineStr">
        <is>
          <t>몬테레이공항</t>
        </is>
      </c>
      <c r="G162" s="44" t="inlineStr">
        <is>
          <t>MTY</t>
        </is>
      </c>
      <c r="H162" s="45" t="n">
        <v>45385</v>
      </c>
      <c r="I162" s="54" t="n">
        <v>45388</v>
      </c>
      <c r="J162" s="54" t="n">
        <v>45388</v>
      </c>
      <c r="K162" s="55" t="n">
        <v>135</v>
      </c>
    </row>
    <row r="163" ht="15" customHeight="1" s="28">
      <c r="A163" s="44" t="inlineStr">
        <is>
          <t>L-SB-0162</t>
        </is>
      </c>
      <c r="B163" s="44" t="inlineStr">
        <is>
          <t>R-SB-0161</t>
        </is>
      </c>
      <c r="C163" s="46" t="inlineStr">
        <is>
          <t>항공</t>
        </is>
      </c>
      <c r="D163" s="46" t="inlineStr">
        <is>
          <t>인천공항</t>
        </is>
      </c>
      <c r="E163" s="44" t="inlineStr">
        <is>
          <t>ICN</t>
        </is>
      </c>
      <c r="F163" s="46" t="inlineStr">
        <is>
          <t>몬테레이공항</t>
        </is>
      </c>
      <c r="G163" s="44" t="inlineStr">
        <is>
          <t>MTY</t>
        </is>
      </c>
      <c r="H163" s="45" t="n">
        <v>45388</v>
      </c>
      <c r="I163" s="54" t="n">
        <v>45393</v>
      </c>
      <c r="J163" s="54" t="n">
        <v>45395</v>
      </c>
      <c r="K163" s="55" t="n">
        <v>135</v>
      </c>
    </row>
    <row r="164" ht="15" customHeight="1" s="28">
      <c r="A164" s="44" t="inlineStr">
        <is>
          <t>L-SB-0163</t>
        </is>
      </c>
      <c r="B164" s="44" t="inlineStr">
        <is>
          <t>R-SB-0162</t>
        </is>
      </c>
      <c r="C164" s="46" t="inlineStr">
        <is>
          <t>항공</t>
        </is>
      </c>
      <c r="D164" s="46" t="inlineStr">
        <is>
          <t>인천공항</t>
        </is>
      </c>
      <c r="E164" s="44" t="inlineStr">
        <is>
          <t>ICN</t>
        </is>
      </c>
      <c r="F164" s="46" t="inlineStr">
        <is>
          <t>뭄바이공항</t>
        </is>
      </c>
      <c r="G164" s="44" t="inlineStr">
        <is>
          <t>BOM</t>
        </is>
      </c>
      <c r="H164" s="45" t="n">
        <v>45390</v>
      </c>
      <c r="I164" s="54" t="n">
        <v>45394</v>
      </c>
      <c r="J164" s="54" t="n">
        <v>45394</v>
      </c>
      <c r="K164" s="55" t="n">
        <v>135</v>
      </c>
    </row>
    <row r="165" ht="15" customHeight="1" s="28">
      <c r="A165" s="44" t="inlineStr">
        <is>
          <t>L-SB-0164</t>
        </is>
      </c>
      <c r="B165" s="44" t="inlineStr">
        <is>
          <t>R-SB-0163</t>
        </is>
      </c>
      <c r="C165" s="46" t="inlineStr">
        <is>
          <t>항공</t>
        </is>
      </c>
      <c r="D165" s="46" t="inlineStr">
        <is>
          <t>인천공항</t>
        </is>
      </c>
      <c r="E165" s="44" t="inlineStr">
        <is>
          <t>ICN</t>
        </is>
      </c>
      <c r="F165" s="46" t="inlineStr">
        <is>
          <t>댈러스공항</t>
        </is>
      </c>
      <c r="G165" s="44" t="inlineStr">
        <is>
          <t>DFW</t>
        </is>
      </c>
      <c r="H165" s="45" t="n">
        <v>45391</v>
      </c>
      <c r="I165" s="54" t="n">
        <v>45394</v>
      </c>
      <c r="J165" s="54" t="n">
        <v>45397</v>
      </c>
      <c r="K165" s="55" t="n">
        <v>312.93</v>
      </c>
    </row>
    <row r="166" ht="15" customHeight="1" s="28">
      <c r="A166" s="44" t="inlineStr">
        <is>
          <t>L-SB-0165</t>
        </is>
      </c>
      <c r="B166" s="44" t="inlineStr">
        <is>
          <t>R-SB-0164</t>
        </is>
      </c>
      <c r="C166" s="46" t="inlineStr">
        <is>
          <t>해상</t>
        </is>
      </c>
      <c r="D166" s="46" t="inlineStr">
        <is>
          <t>부산항</t>
        </is>
      </c>
      <c r="E166" s="44" t="inlineStr">
        <is>
          <t>KRPUS</t>
        </is>
      </c>
      <c r="F166" s="46" t="inlineStr">
        <is>
          <t>다낭항</t>
        </is>
      </c>
      <c r="G166" s="44" t="inlineStr">
        <is>
          <t>VNDAD</t>
        </is>
      </c>
      <c r="H166" s="45" t="n">
        <v>45393</v>
      </c>
      <c r="I166" s="54" t="n">
        <v>45416</v>
      </c>
      <c r="J166" s="54" t="n">
        <v>45414</v>
      </c>
      <c r="K166" s="55" t="n">
        <v>530</v>
      </c>
    </row>
    <row r="167" ht="15" customHeight="1" s="28">
      <c r="A167" s="44" t="inlineStr">
        <is>
          <t>L-SB-0166</t>
        </is>
      </c>
      <c r="B167" s="44" t="inlineStr">
        <is>
          <t>R-SB-0165</t>
        </is>
      </c>
      <c r="C167" s="46" t="inlineStr">
        <is>
          <t>항공</t>
        </is>
      </c>
      <c r="D167" s="46" t="inlineStr">
        <is>
          <t>인천공항</t>
        </is>
      </c>
      <c r="E167" s="44" t="inlineStr">
        <is>
          <t>ICN</t>
        </is>
      </c>
      <c r="F167" s="46" t="inlineStr">
        <is>
          <t>다낭공항</t>
        </is>
      </c>
      <c r="G167" s="44" t="inlineStr">
        <is>
          <t>DAD</t>
        </is>
      </c>
      <c r="H167" s="45" t="n">
        <v>45395</v>
      </c>
      <c r="I167" s="54" t="n">
        <v>45398</v>
      </c>
      <c r="J167" s="54" t="n">
        <v>45398</v>
      </c>
      <c r="K167" s="55" t="n">
        <v>135</v>
      </c>
    </row>
    <row r="168" ht="15" customHeight="1" s="28">
      <c r="A168" s="44" t="inlineStr">
        <is>
          <t>L-SB-0167</t>
        </is>
      </c>
      <c r="B168" s="44" t="inlineStr">
        <is>
          <t>R-SB-0166</t>
        </is>
      </c>
      <c r="C168" s="46" t="inlineStr">
        <is>
          <t>항공</t>
        </is>
      </c>
      <c r="D168" s="46" t="inlineStr">
        <is>
          <t>인천공항</t>
        </is>
      </c>
      <c r="E168" s="44" t="inlineStr">
        <is>
          <t>ICN</t>
        </is>
      </c>
      <c r="F168" s="46" t="inlineStr">
        <is>
          <t>뭄바이공항</t>
        </is>
      </c>
      <c r="G168" s="44" t="inlineStr">
        <is>
          <t>BOM</t>
        </is>
      </c>
      <c r="H168" s="45" t="n">
        <v>45402</v>
      </c>
      <c r="I168" s="54" t="n">
        <v>45406</v>
      </c>
      <c r="J168" s="54" t="n">
        <v>45406</v>
      </c>
      <c r="K168" s="55" t="n">
        <v>135</v>
      </c>
    </row>
    <row r="169" ht="15" customHeight="1" s="28">
      <c r="A169" s="44" t="inlineStr">
        <is>
          <t>L-SB-0168</t>
        </is>
      </c>
      <c r="B169" s="44" t="inlineStr">
        <is>
          <t>R-SB-0167</t>
        </is>
      </c>
      <c r="C169" s="46" t="inlineStr">
        <is>
          <t>항공</t>
        </is>
      </c>
      <c r="D169" s="46" t="inlineStr">
        <is>
          <t>인천공항</t>
        </is>
      </c>
      <c r="E169" s="44" t="inlineStr">
        <is>
          <t>ICN</t>
        </is>
      </c>
      <c r="F169" s="46" t="inlineStr">
        <is>
          <t>댈러스공항</t>
        </is>
      </c>
      <c r="G169" s="44" t="inlineStr">
        <is>
          <t>DFW</t>
        </is>
      </c>
      <c r="H169" s="45" t="n"/>
      <c r="K169" s="55" t="n">
        <v>209.09</v>
      </c>
    </row>
    <row r="170" ht="15" customHeight="1" s="28">
      <c r="A170" s="44" t="inlineStr">
        <is>
          <t>L-SB-0169</t>
        </is>
      </c>
      <c r="B170" s="44" t="inlineStr">
        <is>
          <t>R-SB-0168</t>
        </is>
      </c>
      <c r="C170" s="46" t="inlineStr">
        <is>
          <t>항공</t>
        </is>
      </c>
      <c r="D170" s="46" t="inlineStr">
        <is>
          <t>인천공항</t>
        </is>
      </c>
      <c r="E170" s="44" t="inlineStr">
        <is>
          <t>ICN</t>
        </is>
      </c>
      <c r="F170" s="46" t="inlineStr">
        <is>
          <t>댈러스공항</t>
        </is>
      </c>
      <c r="G170" s="44" t="inlineStr">
        <is>
          <t>DFW</t>
        </is>
      </c>
      <c r="H170" s="45" t="n">
        <v>45405</v>
      </c>
      <c r="I170" s="54" t="n">
        <v>45409</v>
      </c>
      <c r="J170" s="54" t="n">
        <v>45409</v>
      </c>
      <c r="K170" s="55" t="n">
        <v>155.46</v>
      </c>
    </row>
    <row r="171" ht="15" customHeight="1" s="28">
      <c r="A171" s="44" t="inlineStr">
        <is>
          <t>L-SB-0170</t>
        </is>
      </c>
      <c r="B171" s="44" t="inlineStr">
        <is>
          <t>R-SB-0169</t>
        </is>
      </c>
      <c r="C171" s="46" t="inlineStr">
        <is>
          <t>항공</t>
        </is>
      </c>
      <c r="D171" s="46" t="inlineStr">
        <is>
          <t>인천공항</t>
        </is>
      </c>
      <c r="E171" s="44" t="inlineStr">
        <is>
          <t>ICN</t>
        </is>
      </c>
      <c r="F171" s="46" t="inlineStr">
        <is>
          <t>몬테레이공항</t>
        </is>
      </c>
      <c r="G171" s="44" t="inlineStr">
        <is>
          <t>MTY</t>
        </is>
      </c>
      <c r="H171" s="45" t="n">
        <v>45409</v>
      </c>
      <c r="I171" s="54" t="n">
        <v>45412</v>
      </c>
      <c r="J171" s="54" t="n">
        <v>45411</v>
      </c>
      <c r="K171" s="55" t="n">
        <v>227.83</v>
      </c>
    </row>
    <row r="172" ht="15" customHeight="1" s="28">
      <c r="A172" s="44" t="inlineStr">
        <is>
          <t>L-SB-0171</t>
        </is>
      </c>
      <c r="B172" s="44" t="inlineStr">
        <is>
          <t>R-SB-0170</t>
        </is>
      </c>
      <c r="C172" s="46" t="inlineStr">
        <is>
          <t>항공</t>
        </is>
      </c>
      <c r="D172" s="46" t="inlineStr">
        <is>
          <t>인천공항</t>
        </is>
      </c>
      <c r="E172" s="44" t="inlineStr">
        <is>
          <t>ICN</t>
        </is>
      </c>
      <c r="F172" s="46" t="inlineStr">
        <is>
          <t>다낭공항</t>
        </is>
      </c>
      <c r="G172" s="44" t="inlineStr">
        <is>
          <t>DAD</t>
        </is>
      </c>
      <c r="H172" s="45" t="n">
        <v>45418</v>
      </c>
      <c r="I172" s="54" t="n">
        <v>45423</v>
      </c>
      <c r="J172" s="54" t="n">
        <v>45423</v>
      </c>
      <c r="K172" s="55" t="n">
        <v>135</v>
      </c>
    </row>
    <row r="173" ht="15" customHeight="1" s="28">
      <c r="A173" s="44" t="inlineStr">
        <is>
          <t>L-SB-0172</t>
        </is>
      </c>
      <c r="B173" s="44" t="inlineStr">
        <is>
          <t>R-SB-0171</t>
        </is>
      </c>
      <c r="C173" s="46" t="inlineStr">
        <is>
          <t>항공</t>
        </is>
      </c>
      <c r="D173" s="46" t="inlineStr">
        <is>
          <t>인천공항</t>
        </is>
      </c>
      <c r="E173" s="44" t="inlineStr">
        <is>
          <t>ICN</t>
        </is>
      </c>
      <c r="F173" s="46" t="inlineStr">
        <is>
          <t>뭄바이공항</t>
        </is>
      </c>
      <c r="G173" s="44" t="inlineStr">
        <is>
          <t>BOM</t>
        </is>
      </c>
      <c r="H173" s="45" t="n">
        <v>45419</v>
      </c>
      <c r="I173" s="54" t="n">
        <v>45422</v>
      </c>
      <c r="J173" s="54" t="n">
        <v>45424</v>
      </c>
      <c r="K173" s="55" t="n">
        <v>135</v>
      </c>
    </row>
    <row r="174" ht="15" customHeight="1" s="28">
      <c r="A174" s="44" t="inlineStr">
        <is>
          <t>L-SB-0173</t>
        </is>
      </c>
      <c r="B174" s="44" t="inlineStr">
        <is>
          <t>R-SB-0172</t>
        </is>
      </c>
      <c r="C174" s="46" t="inlineStr">
        <is>
          <t>항공</t>
        </is>
      </c>
      <c r="D174" s="46" t="inlineStr">
        <is>
          <t>인천공항</t>
        </is>
      </c>
      <c r="E174" s="44" t="inlineStr">
        <is>
          <t>ICN</t>
        </is>
      </c>
      <c r="F174" s="46" t="inlineStr">
        <is>
          <t>뭄바이공항</t>
        </is>
      </c>
      <c r="G174" s="44" t="inlineStr">
        <is>
          <t>BOM</t>
        </is>
      </c>
      <c r="H174" s="45" t="n">
        <v>45424</v>
      </c>
      <c r="I174" s="54" t="n">
        <v>45427</v>
      </c>
      <c r="J174" s="54" t="n">
        <v>45427</v>
      </c>
      <c r="K174" s="55" t="n">
        <v>135</v>
      </c>
    </row>
    <row r="175" ht="15" customHeight="1" s="28">
      <c r="A175" s="44" t="inlineStr">
        <is>
          <t>L-SB-0174</t>
        </is>
      </c>
      <c r="B175" s="44" t="inlineStr">
        <is>
          <t>R-SB-0173</t>
        </is>
      </c>
      <c r="C175" s="46" t="inlineStr">
        <is>
          <t>항공</t>
        </is>
      </c>
      <c r="D175" s="46" t="inlineStr">
        <is>
          <t>인천공항</t>
        </is>
      </c>
      <c r="E175" s="44" t="inlineStr">
        <is>
          <t>ICN</t>
        </is>
      </c>
      <c r="F175" s="46" t="inlineStr">
        <is>
          <t>댈러스공항</t>
        </is>
      </c>
      <c r="G175" s="44" t="inlineStr">
        <is>
          <t>DFW</t>
        </is>
      </c>
      <c r="H175" s="45" t="n">
        <v>45426</v>
      </c>
      <c r="I175" s="54" t="n">
        <v>45430</v>
      </c>
      <c r="J175" s="54" t="n">
        <v>45429</v>
      </c>
      <c r="K175" s="55" t="n">
        <v>180.85</v>
      </c>
    </row>
    <row r="176" ht="15" customHeight="1" s="28">
      <c r="A176" s="44" t="inlineStr">
        <is>
          <t>L-SB-0175</t>
        </is>
      </c>
      <c r="B176" s="44" t="inlineStr">
        <is>
          <t>R-SB-0174</t>
        </is>
      </c>
      <c r="C176" s="46" t="inlineStr">
        <is>
          <t>항공</t>
        </is>
      </c>
      <c r="D176" s="46" t="inlineStr">
        <is>
          <t>인천공항</t>
        </is>
      </c>
      <c r="E176" s="44" t="inlineStr">
        <is>
          <t>ICN</t>
        </is>
      </c>
      <c r="F176" s="46" t="inlineStr">
        <is>
          <t>댈러스공항</t>
        </is>
      </c>
      <c r="G176" s="44" t="inlineStr">
        <is>
          <t>DFW</t>
        </is>
      </c>
      <c r="H176" s="45" t="n">
        <v>45428</v>
      </c>
      <c r="I176" s="54" t="n">
        <v>45431</v>
      </c>
      <c r="J176" s="54" t="n">
        <v>45431</v>
      </c>
      <c r="K176" s="55" t="n">
        <v>284.12</v>
      </c>
    </row>
    <row r="177" ht="15" customHeight="1" s="28">
      <c r="A177" s="44" t="inlineStr">
        <is>
          <t>L-SB-0176</t>
        </is>
      </c>
      <c r="B177" s="44" t="inlineStr">
        <is>
          <t>R-SB-0175</t>
        </is>
      </c>
      <c r="C177" s="46" t="inlineStr">
        <is>
          <t>항공</t>
        </is>
      </c>
      <c r="D177" s="46" t="inlineStr">
        <is>
          <t>인천공항</t>
        </is>
      </c>
      <c r="E177" s="44" t="inlineStr">
        <is>
          <t>ICN</t>
        </is>
      </c>
      <c r="F177" s="46" t="inlineStr">
        <is>
          <t>몬테레이공항</t>
        </is>
      </c>
      <c r="G177" s="44" t="inlineStr">
        <is>
          <t>MTY</t>
        </is>
      </c>
      <c r="H177" s="45" t="n">
        <v>45428</v>
      </c>
      <c r="I177" s="54" t="n">
        <v>45432</v>
      </c>
      <c r="J177" s="54" t="n">
        <v>45432</v>
      </c>
      <c r="K177" s="55" t="n">
        <v>173.5</v>
      </c>
    </row>
    <row r="178" ht="15" customHeight="1" s="28">
      <c r="A178" s="44" t="inlineStr">
        <is>
          <t>L-SB-0177</t>
        </is>
      </c>
      <c r="B178" s="44" t="inlineStr">
        <is>
          <t>R-SB-0176</t>
        </is>
      </c>
      <c r="C178" s="46" t="inlineStr">
        <is>
          <t>항공</t>
        </is>
      </c>
      <c r="D178" s="46" t="inlineStr">
        <is>
          <t>인천공항</t>
        </is>
      </c>
      <c r="E178" s="44" t="inlineStr">
        <is>
          <t>ICN</t>
        </is>
      </c>
      <c r="F178" s="46" t="inlineStr">
        <is>
          <t>몬테레이공항</t>
        </is>
      </c>
      <c r="G178" s="44" t="inlineStr">
        <is>
          <t>MTY</t>
        </is>
      </c>
      <c r="H178" s="45" t="n">
        <v>45429</v>
      </c>
      <c r="I178" s="54" t="n">
        <v>45432</v>
      </c>
      <c r="J178" s="54" t="n">
        <v>45432</v>
      </c>
      <c r="K178" s="55" t="n">
        <v>135</v>
      </c>
    </row>
    <row r="179" ht="15" customHeight="1" s="28">
      <c r="A179" s="44" t="inlineStr">
        <is>
          <t>L-SB-0178</t>
        </is>
      </c>
      <c r="B179" s="44" t="inlineStr">
        <is>
          <t>R-SB-0177</t>
        </is>
      </c>
      <c r="C179" s="46" t="inlineStr">
        <is>
          <t>항공</t>
        </is>
      </c>
      <c r="D179" s="46" t="inlineStr">
        <is>
          <t>인천공항</t>
        </is>
      </c>
      <c r="E179" s="44" t="inlineStr">
        <is>
          <t>ICN</t>
        </is>
      </c>
      <c r="F179" s="46" t="inlineStr">
        <is>
          <t>뭄바이공항</t>
        </is>
      </c>
      <c r="G179" s="44" t="inlineStr">
        <is>
          <t>BOM</t>
        </is>
      </c>
      <c r="H179" s="45" t="n">
        <v>45431</v>
      </c>
      <c r="I179" s="54" t="n">
        <v>45434</v>
      </c>
      <c r="J179" s="54" t="n">
        <v>45434</v>
      </c>
      <c r="K179" s="55" t="n">
        <v>135</v>
      </c>
    </row>
    <row r="180" ht="15" customHeight="1" s="28">
      <c r="A180" s="44" t="inlineStr">
        <is>
          <t>L-SB-0179</t>
        </is>
      </c>
      <c r="B180" s="44" t="inlineStr">
        <is>
          <t>R-SB-0178</t>
        </is>
      </c>
      <c r="C180" s="46" t="inlineStr">
        <is>
          <t>항공</t>
        </is>
      </c>
      <c r="D180" s="46" t="inlineStr">
        <is>
          <t>인천공항</t>
        </is>
      </c>
      <c r="E180" s="44" t="inlineStr">
        <is>
          <t>ICN</t>
        </is>
      </c>
      <c r="F180" s="46" t="inlineStr">
        <is>
          <t>몬테레이공항</t>
        </is>
      </c>
      <c r="G180" s="44" t="inlineStr">
        <is>
          <t>MTY</t>
        </is>
      </c>
      <c r="H180" s="45" t="n">
        <v>45432</v>
      </c>
      <c r="I180" s="54" t="n">
        <v>45436</v>
      </c>
      <c r="J180" s="54" t="n">
        <v>45436</v>
      </c>
      <c r="K180" s="55" t="n">
        <v>221.62</v>
      </c>
    </row>
    <row r="181" ht="15" customHeight="1" s="28">
      <c r="A181" s="44" t="inlineStr">
        <is>
          <t>L-SB-0180</t>
        </is>
      </c>
      <c r="B181" s="44" t="inlineStr">
        <is>
          <t>R-SB-0179</t>
        </is>
      </c>
      <c r="C181" s="46" t="inlineStr">
        <is>
          <t>항공</t>
        </is>
      </c>
      <c r="D181" s="46" t="inlineStr">
        <is>
          <t>인천공항</t>
        </is>
      </c>
      <c r="E181" s="44" t="inlineStr">
        <is>
          <t>ICN</t>
        </is>
      </c>
      <c r="F181" s="46" t="inlineStr">
        <is>
          <t>다낭공항</t>
        </is>
      </c>
      <c r="G181" s="44" t="inlineStr">
        <is>
          <t>DAD</t>
        </is>
      </c>
      <c r="H181" s="45" t="n">
        <v>45436</v>
      </c>
      <c r="I181" s="54" t="n">
        <v>45439</v>
      </c>
      <c r="J181" s="54" t="n">
        <v>45433</v>
      </c>
      <c r="K181" s="55" t="n">
        <v>169.81</v>
      </c>
    </row>
    <row r="182" ht="15" customHeight="1" s="28">
      <c r="A182" s="44" t="inlineStr">
        <is>
          <t>L-SB-0181</t>
        </is>
      </c>
      <c r="B182" s="44" t="inlineStr">
        <is>
          <t>R-SB-0180</t>
        </is>
      </c>
      <c r="C182" s="46" t="inlineStr">
        <is>
          <t>항공</t>
        </is>
      </c>
      <c r="D182" s="46" t="inlineStr">
        <is>
          <t>인천공항</t>
        </is>
      </c>
      <c r="E182" s="44" t="inlineStr">
        <is>
          <t>ICN</t>
        </is>
      </c>
      <c r="F182" s="46" t="inlineStr">
        <is>
          <t>댈러스공항</t>
        </is>
      </c>
      <c r="G182" s="44" t="inlineStr">
        <is>
          <t>DFW</t>
        </is>
      </c>
      <c r="H182" s="45" t="n">
        <v>45438</v>
      </c>
      <c r="I182" s="54" t="n">
        <v>45443</v>
      </c>
      <c r="J182" s="54" t="n">
        <v>45443</v>
      </c>
      <c r="K182" s="55" t="n">
        <v>436.14</v>
      </c>
    </row>
    <row r="183" ht="15" customHeight="1" s="28">
      <c r="A183" s="44" t="inlineStr">
        <is>
          <t>L-SB-0182</t>
        </is>
      </c>
      <c r="B183" s="44" t="inlineStr">
        <is>
          <t>R-SB-0181</t>
        </is>
      </c>
      <c r="C183" s="46" t="inlineStr">
        <is>
          <t>항공</t>
        </is>
      </c>
      <c r="D183" s="46" t="inlineStr">
        <is>
          <t>인천공항</t>
        </is>
      </c>
      <c r="E183" s="44" t="inlineStr">
        <is>
          <t>ICN</t>
        </is>
      </c>
      <c r="F183" s="46" t="inlineStr">
        <is>
          <t>뭄바이공항</t>
        </is>
      </c>
      <c r="G183" s="44" t="inlineStr">
        <is>
          <t>BOM</t>
        </is>
      </c>
      <c r="H183" s="45" t="n">
        <v>45448</v>
      </c>
      <c r="I183" s="54" t="n">
        <v>45450</v>
      </c>
      <c r="J183" s="54" t="n">
        <v>45450</v>
      </c>
      <c r="K183" s="55" t="n">
        <v>135</v>
      </c>
    </row>
    <row r="184" ht="15" customHeight="1" s="28">
      <c r="A184" s="44" t="inlineStr">
        <is>
          <t>L-SB-0183</t>
        </is>
      </c>
      <c r="B184" s="44" t="inlineStr">
        <is>
          <t>R-SB-0182</t>
        </is>
      </c>
      <c r="C184" s="46" t="inlineStr">
        <is>
          <t>항공</t>
        </is>
      </c>
      <c r="D184" s="46" t="inlineStr">
        <is>
          <t>인천공항</t>
        </is>
      </c>
      <c r="E184" s="44" t="inlineStr">
        <is>
          <t>ICN</t>
        </is>
      </c>
      <c r="F184" s="46" t="inlineStr">
        <is>
          <t>뭄바이공항</t>
        </is>
      </c>
      <c r="G184" s="44" t="inlineStr">
        <is>
          <t>BOM</t>
        </is>
      </c>
      <c r="H184" s="45" t="n">
        <v>45454</v>
      </c>
      <c r="I184" s="54" t="n">
        <v>45457</v>
      </c>
      <c r="J184" s="54" t="n">
        <v>45457</v>
      </c>
      <c r="K184" s="55" t="n">
        <v>135</v>
      </c>
    </row>
    <row r="185" ht="15" customHeight="1" s="28">
      <c r="A185" s="44" t="inlineStr">
        <is>
          <t>L-SB-0184</t>
        </is>
      </c>
      <c r="B185" s="44" t="inlineStr">
        <is>
          <t>R-SB-0183</t>
        </is>
      </c>
      <c r="C185" s="46" t="inlineStr">
        <is>
          <t>항공</t>
        </is>
      </c>
      <c r="D185" s="46" t="inlineStr">
        <is>
          <t>인천공항</t>
        </is>
      </c>
      <c r="E185" s="44" t="inlineStr">
        <is>
          <t>ICN</t>
        </is>
      </c>
      <c r="F185" s="46" t="inlineStr">
        <is>
          <t>댈러스공항</t>
        </is>
      </c>
      <c r="G185" s="44" t="inlineStr">
        <is>
          <t>DFW</t>
        </is>
      </c>
      <c r="H185" s="45" t="n">
        <v>45458</v>
      </c>
      <c r="I185" s="54" t="n">
        <v>45463</v>
      </c>
      <c r="J185" s="54" t="n">
        <v>45463</v>
      </c>
      <c r="K185" s="55" t="n">
        <v>301.1</v>
      </c>
    </row>
    <row r="186" ht="15" customHeight="1" s="28">
      <c r="A186" s="44" t="inlineStr">
        <is>
          <t>L-SB-0185</t>
        </is>
      </c>
      <c r="B186" s="44" t="inlineStr">
        <is>
          <t>R-SB-0184</t>
        </is>
      </c>
      <c r="C186" s="46" t="inlineStr">
        <is>
          <t>항공</t>
        </is>
      </c>
      <c r="D186" s="46" t="inlineStr">
        <is>
          <t>인천공항</t>
        </is>
      </c>
      <c r="E186" s="44" t="inlineStr">
        <is>
          <t>ICN</t>
        </is>
      </c>
      <c r="F186" s="46" t="inlineStr">
        <is>
          <t>댈러스공항</t>
        </is>
      </c>
      <c r="G186" s="44" t="inlineStr">
        <is>
          <t>DFW</t>
        </is>
      </c>
      <c r="H186" s="45" t="n">
        <v>45459</v>
      </c>
      <c r="I186" s="54" t="n">
        <v>45462</v>
      </c>
      <c r="J186" s="54" t="n">
        <v>45462</v>
      </c>
      <c r="K186" s="55" t="n">
        <v>151.03</v>
      </c>
    </row>
    <row r="187" ht="15" customHeight="1" s="28">
      <c r="A187" s="44" t="inlineStr">
        <is>
          <t>L-SB-0186</t>
        </is>
      </c>
      <c r="B187" s="44" t="inlineStr">
        <is>
          <t>R-SB-0185</t>
        </is>
      </c>
      <c r="C187" s="46" t="inlineStr">
        <is>
          <t>항공</t>
        </is>
      </c>
      <c r="D187" s="46" t="inlineStr">
        <is>
          <t>인천공항</t>
        </is>
      </c>
      <c r="E187" s="44" t="inlineStr">
        <is>
          <t>ICN</t>
        </is>
      </c>
      <c r="F187" s="46" t="inlineStr">
        <is>
          <t>댈러스공항</t>
        </is>
      </c>
      <c r="G187" s="44" t="inlineStr">
        <is>
          <t>DFW</t>
        </is>
      </c>
      <c r="H187" s="45" t="n">
        <v>45462</v>
      </c>
      <c r="I187" s="54" t="n">
        <v>45466</v>
      </c>
      <c r="J187" s="54" t="n">
        <v>45466</v>
      </c>
      <c r="K187" s="55" t="n">
        <v>480.52</v>
      </c>
    </row>
    <row r="188" ht="15" customHeight="1" s="28">
      <c r="A188" s="44" t="inlineStr">
        <is>
          <t>L-SB-0187</t>
        </is>
      </c>
      <c r="B188" s="44" t="inlineStr">
        <is>
          <t>R-SB-0186</t>
        </is>
      </c>
      <c r="C188" s="46" t="inlineStr">
        <is>
          <t>해상</t>
        </is>
      </c>
      <c r="D188" s="46" t="inlineStr">
        <is>
          <t>부산항</t>
        </is>
      </c>
      <c r="E188" s="44" t="inlineStr">
        <is>
          <t>KRPUS</t>
        </is>
      </c>
      <c r="F188" s="46" t="inlineStr">
        <is>
          <t>다낭항</t>
        </is>
      </c>
      <c r="G188" s="44" t="inlineStr">
        <is>
          <t>VNDAD</t>
        </is>
      </c>
      <c r="H188" s="45" t="n">
        <v>45465</v>
      </c>
      <c r="I188" s="54" t="n">
        <v>45486</v>
      </c>
      <c r="J188" s="54" t="n">
        <v>45484</v>
      </c>
      <c r="K188" s="55" t="n">
        <v>530</v>
      </c>
    </row>
    <row r="189" ht="15" customHeight="1" s="28">
      <c r="A189" s="44" t="inlineStr">
        <is>
          <t>L-SB-0188</t>
        </is>
      </c>
      <c r="B189" s="44" t="inlineStr">
        <is>
          <t>R-SB-0187</t>
        </is>
      </c>
      <c r="C189" s="46" t="inlineStr">
        <is>
          <t>항공</t>
        </is>
      </c>
      <c r="D189" s="46" t="inlineStr">
        <is>
          <t>인천공항</t>
        </is>
      </c>
      <c r="E189" s="44" t="inlineStr">
        <is>
          <t>ICN</t>
        </is>
      </c>
      <c r="F189" s="46" t="inlineStr">
        <is>
          <t>뭄바이공항</t>
        </is>
      </c>
      <c r="G189" s="44" t="inlineStr">
        <is>
          <t>BOM</t>
        </is>
      </c>
      <c r="H189" s="45" t="n">
        <v>45465</v>
      </c>
      <c r="I189" s="54" t="n">
        <v>45467</v>
      </c>
      <c r="J189" s="54" t="n">
        <v>45467</v>
      </c>
      <c r="K189" s="55" t="n">
        <v>135</v>
      </c>
    </row>
    <row r="190" ht="15" customHeight="1" s="28">
      <c r="A190" s="44" t="inlineStr">
        <is>
          <t>L-SB-0189</t>
        </is>
      </c>
      <c r="B190" s="44" t="inlineStr">
        <is>
          <t>R-SB-0188</t>
        </is>
      </c>
      <c r="C190" s="46" t="inlineStr">
        <is>
          <t>항공</t>
        </is>
      </c>
      <c r="D190" s="46" t="inlineStr">
        <is>
          <t>인천공항</t>
        </is>
      </c>
      <c r="E190" s="44" t="inlineStr">
        <is>
          <t>ICN</t>
        </is>
      </c>
      <c r="F190" s="46" t="inlineStr">
        <is>
          <t>몬테레이공항</t>
        </is>
      </c>
      <c r="G190" s="44" t="inlineStr">
        <is>
          <t>MTY</t>
        </is>
      </c>
      <c r="H190" s="45" t="n">
        <v>45466</v>
      </c>
      <c r="I190" s="54" t="n">
        <v>45470</v>
      </c>
      <c r="J190" s="54" t="n">
        <v>45470</v>
      </c>
      <c r="K190" s="55" t="n">
        <v>135</v>
      </c>
    </row>
    <row r="191" ht="15" customHeight="1" s="28">
      <c r="A191" s="44" t="inlineStr">
        <is>
          <t>L-SB-0190</t>
        </is>
      </c>
      <c r="B191" s="44" t="inlineStr">
        <is>
          <t>R-SB-0189</t>
        </is>
      </c>
      <c r="C191" s="46" t="inlineStr">
        <is>
          <t>항공</t>
        </is>
      </c>
      <c r="D191" s="46" t="inlineStr">
        <is>
          <t>인천공항</t>
        </is>
      </c>
      <c r="E191" s="44" t="inlineStr">
        <is>
          <t>ICN</t>
        </is>
      </c>
      <c r="F191" s="46" t="inlineStr">
        <is>
          <t>몬테레이공항</t>
        </is>
      </c>
      <c r="G191" s="44" t="inlineStr">
        <is>
          <t>MTY</t>
        </is>
      </c>
      <c r="H191" s="45" t="n">
        <v>45468</v>
      </c>
      <c r="I191" s="54" t="n">
        <v>45473</v>
      </c>
      <c r="J191" s="54" t="n">
        <v>45473</v>
      </c>
    </row>
    <row r="192" ht="15" customHeight="1" s="28">
      <c r="A192" s="44" t="inlineStr">
        <is>
          <t>L-SB-0191</t>
        </is>
      </c>
      <c r="B192" s="44" t="inlineStr">
        <is>
          <t>R-SB-0190</t>
        </is>
      </c>
      <c r="C192" s="46" t="inlineStr">
        <is>
          <t>항공</t>
        </is>
      </c>
      <c r="D192" s="46" t="inlineStr">
        <is>
          <t>인천공항</t>
        </is>
      </c>
      <c r="E192" s="44" t="inlineStr">
        <is>
          <t>ICN</t>
        </is>
      </c>
      <c r="F192" s="46" t="inlineStr">
        <is>
          <t>다낭공항</t>
        </is>
      </c>
      <c r="G192" s="44" t="inlineStr">
        <is>
          <t>DAD</t>
        </is>
      </c>
      <c r="H192" s="45" t="n">
        <v>45507</v>
      </c>
      <c r="I192" s="54" t="n">
        <v>45512</v>
      </c>
      <c r="J192" s="54" t="n">
        <v>45513</v>
      </c>
      <c r="K192" s="55" t="n">
        <v>135</v>
      </c>
    </row>
    <row r="193" ht="15" customHeight="1" s="28">
      <c r="A193" s="44" t="inlineStr">
        <is>
          <t>L-SB-0192</t>
        </is>
      </c>
      <c r="B193" s="44" t="inlineStr">
        <is>
          <t>R-SB-0191</t>
        </is>
      </c>
      <c r="C193" s="46" t="inlineStr">
        <is>
          <t>항공</t>
        </is>
      </c>
      <c r="D193" s="46" t="inlineStr">
        <is>
          <t>인천공항</t>
        </is>
      </c>
      <c r="E193" s="44" t="inlineStr">
        <is>
          <t>ICN</t>
        </is>
      </c>
      <c r="F193" s="46" t="inlineStr">
        <is>
          <t>뭄바이공항</t>
        </is>
      </c>
      <c r="G193" s="44" t="inlineStr">
        <is>
          <t>BOM</t>
        </is>
      </c>
      <c r="H193" s="45" t="n">
        <v>45509</v>
      </c>
      <c r="I193" s="54" t="n">
        <v>45512</v>
      </c>
      <c r="J193" s="54" t="n">
        <v>45512</v>
      </c>
      <c r="K193" s="55" t="n">
        <v>135</v>
      </c>
    </row>
    <row r="194" ht="15" customHeight="1" s="28">
      <c r="A194" s="44" t="inlineStr">
        <is>
          <t>L-SB-0193</t>
        </is>
      </c>
      <c r="B194" s="44" t="inlineStr">
        <is>
          <t>R-SB-0192</t>
        </is>
      </c>
      <c r="C194" s="46" t="inlineStr">
        <is>
          <t>항공</t>
        </is>
      </c>
      <c r="D194" s="46" t="inlineStr">
        <is>
          <t>인천공항</t>
        </is>
      </c>
      <c r="E194" s="44" t="inlineStr">
        <is>
          <t>ICN</t>
        </is>
      </c>
      <c r="F194" s="46" t="inlineStr">
        <is>
          <t>댈러스공항</t>
        </is>
      </c>
      <c r="G194" s="44" t="inlineStr">
        <is>
          <t>DFW</t>
        </is>
      </c>
      <c r="H194" s="45" t="n">
        <v>45510</v>
      </c>
      <c r="I194" s="54" t="n">
        <v>45514</v>
      </c>
      <c r="J194" s="54" t="n">
        <v>45514</v>
      </c>
      <c r="K194" s="55" t="n">
        <v>261.29</v>
      </c>
    </row>
    <row r="195" ht="15" customHeight="1" s="28">
      <c r="A195" s="44" t="inlineStr">
        <is>
          <t>L-SB-0194</t>
        </is>
      </c>
      <c r="B195" s="44" t="inlineStr">
        <is>
          <t>R-SB-0193</t>
        </is>
      </c>
      <c r="C195" s="46" t="inlineStr">
        <is>
          <t>항공</t>
        </is>
      </c>
      <c r="D195" s="46" t="inlineStr">
        <is>
          <t>인천공항</t>
        </is>
      </c>
      <c r="E195" s="44" t="inlineStr">
        <is>
          <t>ICN</t>
        </is>
      </c>
      <c r="F195" s="46" t="inlineStr">
        <is>
          <t>몬테레이공항</t>
        </is>
      </c>
      <c r="G195" s="44" t="inlineStr">
        <is>
          <t>MTY</t>
        </is>
      </c>
      <c r="H195" s="45" t="n">
        <v>45511</v>
      </c>
      <c r="I195" s="54" t="n">
        <v>45515</v>
      </c>
      <c r="J195" s="54" t="n">
        <v>45514</v>
      </c>
      <c r="K195" s="55" t="n">
        <v>236.73</v>
      </c>
    </row>
    <row r="196" ht="15" customHeight="1" s="28">
      <c r="A196" s="44" t="inlineStr">
        <is>
          <t>L-SB-0195</t>
        </is>
      </c>
      <c r="B196" s="44" t="inlineStr">
        <is>
          <t>R-SB-0194</t>
        </is>
      </c>
      <c r="C196" s="46" t="inlineStr">
        <is>
          <t>항공</t>
        </is>
      </c>
      <c r="D196" s="46" t="inlineStr">
        <is>
          <t>인천공항</t>
        </is>
      </c>
      <c r="E196" s="44" t="inlineStr">
        <is>
          <t>ICN</t>
        </is>
      </c>
      <c r="F196" s="46" t="inlineStr">
        <is>
          <t>뭄바이공항</t>
        </is>
      </c>
      <c r="G196" s="44" t="inlineStr">
        <is>
          <t>BOM</t>
        </is>
      </c>
      <c r="H196" s="45" t="n">
        <v>45512</v>
      </c>
      <c r="I196" s="54" t="n">
        <v>45515</v>
      </c>
      <c r="J196" s="54" t="n">
        <v>45515</v>
      </c>
      <c r="K196" s="55" t="n">
        <v>135</v>
      </c>
    </row>
    <row r="197" ht="15" customHeight="1" s="28">
      <c r="A197" s="44" t="inlineStr">
        <is>
          <t>L-SB-0196</t>
        </is>
      </c>
      <c r="B197" s="44" t="inlineStr">
        <is>
          <t>R-SB-0195</t>
        </is>
      </c>
      <c r="C197" s="46" t="inlineStr">
        <is>
          <t>항공</t>
        </is>
      </c>
      <c r="D197" s="46" t="inlineStr">
        <is>
          <t>인천공항</t>
        </is>
      </c>
      <c r="E197" s="44" t="inlineStr">
        <is>
          <t>ICN</t>
        </is>
      </c>
      <c r="F197" s="46" t="inlineStr">
        <is>
          <t>댈러스공항</t>
        </is>
      </c>
      <c r="G197" s="44" t="inlineStr">
        <is>
          <t>DFW</t>
        </is>
      </c>
      <c r="H197" s="45" t="n">
        <v>45513</v>
      </c>
      <c r="I197" s="54" t="n">
        <v>45517</v>
      </c>
      <c r="J197" s="54" t="n">
        <v>45517</v>
      </c>
      <c r="K197" s="55" t="n">
        <v>186.48</v>
      </c>
    </row>
    <row r="198" ht="15" customHeight="1" s="28">
      <c r="A198" s="44" t="inlineStr">
        <is>
          <t>L-SB-0197</t>
        </is>
      </c>
      <c r="B198" s="44" t="inlineStr">
        <is>
          <t>R-SB-0196</t>
        </is>
      </c>
      <c r="C198" s="46" t="inlineStr">
        <is>
          <t>해상</t>
        </is>
      </c>
      <c r="D198" s="46" t="inlineStr">
        <is>
          <t>부산항</t>
        </is>
      </c>
      <c r="E198" s="44" t="inlineStr">
        <is>
          <t>KRPUS</t>
        </is>
      </c>
      <c r="F198" s="46" t="inlineStr">
        <is>
          <t>다낭항</t>
        </is>
      </c>
      <c r="G198" s="44" t="inlineStr">
        <is>
          <t>VNDAD</t>
        </is>
      </c>
      <c r="H198" s="45" t="n">
        <v>45525</v>
      </c>
      <c r="I198" s="54" t="n">
        <v>45546</v>
      </c>
      <c r="J198" s="54" t="n">
        <v>45546</v>
      </c>
      <c r="K198" s="55" t="n">
        <v>530</v>
      </c>
    </row>
    <row r="199" ht="15" customHeight="1" s="28">
      <c r="A199" s="44" t="inlineStr">
        <is>
          <t>L-SB-0198</t>
        </is>
      </c>
      <c r="B199" s="44" t="inlineStr">
        <is>
          <t>R-SB-0197</t>
        </is>
      </c>
      <c r="C199" s="46" t="inlineStr">
        <is>
          <t>항공</t>
        </is>
      </c>
      <c r="D199" s="46" t="inlineStr">
        <is>
          <t>인천공항</t>
        </is>
      </c>
      <c r="E199" s="44" t="inlineStr">
        <is>
          <t>ICN</t>
        </is>
      </c>
      <c r="F199" s="46" t="inlineStr">
        <is>
          <t>뭄바이공항</t>
        </is>
      </c>
      <c r="G199" s="44" t="inlineStr">
        <is>
          <t>BOM</t>
        </is>
      </c>
      <c r="H199" s="45" t="n">
        <v>45526</v>
      </c>
      <c r="I199" s="54" t="n">
        <v>45529</v>
      </c>
      <c r="J199" s="54" t="n">
        <v>45529</v>
      </c>
      <c r="K199" s="55" t="n">
        <v>135</v>
      </c>
    </row>
    <row r="200" ht="15" customHeight="1" s="28">
      <c r="A200" s="44" t="inlineStr">
        <is>
          <t>L-SB-0199</t>
        </is>
      </c>
      <c r="B200" s="44" t="inlineStr">
        <is>
          <t>R-SB-0198</t>
        </is>
      </c>
      <c r="C200" s="46" t="inlineStr">
        <is>
          <t>항공</t>
        </is>
      </c>
      <c r="D200" s="46" t="inlineStr">
        <is>
          <t>인천공항</t>
        </is>
      </c>
      <c r="E200" s="44" t="inlineStr">
        <is>
          <t>ICN</t>
        </is>
      </c>
      <c r="F200" s="46" t="inlineStr">
        <is>
          <t>몬테레이공항</t>
        </is>
      </c>
      <c r="G200" s="44" t="inlineStr">
        <is>
          <t>MTY</t>
        </is>
      </c>
      <c r="H200" s="45" t="n">
        <v>45527</v>
      </c>
      <c r="I200" s="54" t="n">
        <v>45532</v>
      </c>
      <c r="J200" s="54" t="n">
        <v>45532</v>
      </c>
      <c r="K200" s="55" t="n">
        <v>136.07</v>
      </c>
    </row>
    <row r="201" ht="15" customHeight="1" s="28">
      <c r="A201" s="44" t="inlineStr">
        <is>
          <t>L-SB-0200</t>
        </is>
      </c>
      <c r="B201" s="44" t="inlineStr">
        <is>
          <t>R-SB-0199</t>
        </is>
      </c>
      <c r="C201" s="46" t="inlineStr">
        <is>
          <t>항공</t>
        </is>
      </c>
      <c r="D201" s="46" t="inlineStr">
        <is>
          <t>인천공항</t>
        </is>
      </c>
      <c r="E201" s="44" t="inlineStr">
        <is>
          <t>ICN</t>
        </is>
      </c>
      <c r="F201" s="46" t="inlineStr">
        <is>
          <t>다낭공항</t>
        </is>
      </c>
      <c r="G201" s="44" t="inlineStr">
        <is>
          <t>DAD</t>
        </is>
      </c>
      <c r="H201" s="45" t="n">
        <v>45528</v>
      </c>
      <c r="I201" s="54" t="n">
        <v>45532</v>
      </c>
      <c r="J201" s="54" t="n">
        <v>45531</v>
      </c>
      <c r="K201" s="55" t="n">
        <v>142.06</v>
      </c>
    </row>
    <row r="202" ht="15" customHeight="1" s="28">
      <c r="A202" s="44" t="inlineStr">
        <is>
          <t>L-SB-0201</t>
        </is>
      </c>
      <c r="B202" s="44" t="inlineStr">
        <is>
          <t>R-SB-0200</t>
        </is>
      </c>
      <c r="C202" s="46" t="inlineStr">
        <is>
          <t>항공</t>
        </is>
      </c>
      <c r="D202" s="46" t="inlineStr">
        <is>
          <t>인천공항</t>
        </is>
      </c>
      <c r="E202" s="44" t="inlineStr">
        <is>
          <t>ICN</t>
        </is>
      </c>
      <c r="F202" s="46" t="inlineStr">
        <is>
          <t>몬테레이공항</t>
        </is>
      </c>
      <c r="G202" s="44" t="inlineStr">
        <is>
          <t>MTY</t>
        </is>
      </c>
      <c r="H202" s="45" t="n">
        <v>45529</v>
      </c>
      <c r="I202" s="54" t="n">
        <v>45534</v>
      </c>
      <c r="J202" s="54" t="n">
        <v>45534</v>
      </c>
      <c r="K202" s="55" t="n">
        <v>135</v>
      </c>
    </row>
    <row r="203" ht="15" customHeight="1" s="28">
      <c r="A203" s="44" t="inlineStr">
        <is>
          <t>L-SB-0202</t>
        </is>
      </c>
      <c r="B203" s="44" t="inlineStr">
        <is>
          <t>R-SB-0201</t>
        </is>
      </c>
      <c r="C203" s="46" t="inlineStr">
        <is>
          <t>항공</t>
        </is>
      </c>
      <c r="D203" s="46" t="inlineStr">
        <is>
          <t>인천공항</t>
        </is>
      </c>
      <c r="E203" s="44" t="inlineStr">
        <is>
          <t>ICN</t>
        </is>
      </c>
      <c r="F203" s="46" t="inlineStr">
        <is>
          <t>뭄바이공항</t>
        </is>
      </c>
      <c r="G203" s="44" t="inlineStr">
        <is>
          <t>BOM</t>
        </is>
      </c>
      <c r="H203" s="45" t="n">
        <v>45538</v>
      </c>
      <c r="I203" s="54" t="n">
        <v>45540</v>
      </c>
      <c r="K203" s="55" t="n">
        <v>135</v>
      </c>
    </row>
    <row r="204" ht="15" customHeight="1" s="28">
      <c r="A204" s="44" t="inlineStr">
        <is>
          <t>L-SB-0203</t>
        </is>
      </c>
      <c r="B204" s="44" t="inlineStr">
        <is>
          <t>R-SB-0202</t>
        </is>
      </c>
      <c r="C204" s="46" t="inlineStr">
        <is>
          <t>항공</t>
        </is>
      </c>
      <c r="D204" s="46" t="inlineStr">
        <is>
          <t>인천공항</t>
        </is>
      </c>
      <c r="E204" s="44" t="inlineStr">
        <is>
          <t>ICN</t>
        </is>
      </c>
      <c r="F204" s="46" t="inlineStr">
        <is>
          <t>몬테레이공항</t>
        </is>
      </c>
      <c r="G204" s="44" t="inlineStr">
        <is>
          <t>MTY</t>
        </is>
      </c>
      <c r="H204" s="45" t="n">
        <v>45539</v>
      </c>
      <c r="I204" s="54" t="n">
        <v>45543</v>
      </c>
      <c r="J204" s="54" t="n">
        <v>45543</v>
      </c>
      <c r="K204" s="55" t="n">
        <v>135</v>
      </c>
    </row>
    <row r="205" ht="15" customHeight="1" s="28">
      <c r="A205" s="44" t="inlineStr">
        <is>
          <t>L-SB-0204</t>
        </is>
      </c>
      <c r="B205" s="44" t="inlineStr">
        <is>
          <t>R-SB-0203</t>
        </is>
      </c>
      <c r="C205" s="46" t="inlineStr">
        <is>
          <t>항공</t>
        </is>
      </c>
      <c r="D205" s="46" t="inlineStr">
        <is>
          <t>인천공항</t>
        </is>
      </c>
      <c r="E205" s="44" t="inlineStr">
        <is>
          <t>ICN</t>
        </is>
      </c>
      <c r="F205" s="46" t="inlineStr">
        <is>
          <t>몬테레이공항</t>
        </is>
      </c>
      <c r="G205" s="44" t="inlineStr">
        <is>
          <t>MTY</t>
        </is>
      </c>
      <c r="H205" s="45" t="n">
        <v>45542</v>
      </c>
      <c r="I205" s="54" t="n">
        <v>45546</v>
      </c>
      <c r="J205" s="54" t="n">
        <v>45546</v>
      </c>
      <c r="K205" s="55" t="n">
        <v>155.27</v>
      </c>
    </row>
    <row r="206" ht="15" customHeight="1" s="28">
      <c r="A206" s="44" t="inlineStr">
        <is>
          <t>L-SB-0205</t>
        </is>
      </c>
      <c r="B206" s="44" t="inlineStr">
        <is>
          <t>R-SB-0204</t>
        </is>
      </c>
      <c r="C206" s="46" t="inlineStr">
        <is>
          <t>항공</t>
        </is>
      </c>
      <c r="D206" s="46" t="inlineStr">
        <is>
          <t>인천공항</t>
        </is>
      </c>
      <c r="E206" s="44" t="inlineStr">
        <is>
          <t>ICN</t>
        </is>
      </c>
      <c r="F206" s="46" t="inlineStr">
        <is>
          <t>다낭공항</t>
        </is>
      </c>
      <c r="G206" s="44" t="inlineStr">
        <is>
          <t>DAD</t>
        </is>
      </c>
      <c r="H206" s="45" t="n">
        <v>45551</v>
      </c>
      <c r="I206" s="54" t="n">
        <v>45554</v>
      </c>
      <c r="J206" s="54" t="n">
        <v>45554</v>
      </c>
      <c r="K206" s="55" t="n">
        <v>135</v>
      </c>
    </row>
    <row r="207" ht="15" customHeight="1" s="28">
      <c r="A207" s="44" t="inlineStr">
        <is>
          <t>L-SB-0206</t>
        </is>
      </c>
      <c r="B207" s="44" t="inlineStr">
        <is>
          <t>R-SB-0205</t>
        </is>
      </c>
      <c r="C207" s="46" t="inlineStr">
        <is>
          <t>항공</t>
        </is>
      </c>
      <c r="D207" s="46" t="inlineStr">
        <is>
          <t>인천공항</t>
        </is>
      </c>
      <c r="E207" s="44" t="inlineStr">
        <is>
          <t>ICN</t>
        </is>
      </c>
      <c r="F207" s="46" t="inlineStr">
        <is>
          <t>댈러스공항</t>
        </is>
      </c>
      <c r="G207" s="44" t="inlineStr">
        <is>
          <t>DFW</t>
        </is>
      </c>
      <c r="H207" s="45" t="n">
        <v>45554</v>
      </c>
      <c r="I207" s="54" t="n">
        <v>45558</v>
      </c>
      <c r="J207" s="54" t="n">
        <v>45558</v>
      </c>
      <c r="K207" s="55" t="n">
        <v>136.02</v>
      </c>
    </row>
    <row r="208" ht="15" customHeight="1" s="28">
      <c r="A208" s="44" t="inlineStr">
        <is>
          <t>L-SB-0207</t>
        </is>
      </c>
      <c r="B208" s="44" t="inlineStr">
        <is>
          <t>R-SB-0206</t>
        </is>
      </c>
      <c r="C208" s="46" t="inlineStr">
        <is>
          <t>해상</t>
        </is>
      </c>
      <c r="D208" s="46" t="inlineStr">
        <is>
          <t>부산항</t>
        </is>
      </c>
      <c r="E208" s="44" t="inlineStr">
        <is>
          <t>KRPUS</t>
        </is>
      </c>
      <c r="F208" s="46" t="inlineStr">
        <is>
          <t>다낭항</t>
        </is>
      </c>
      <c r="G208" s="44" t="inlineStr">
        <is>
          <t>VNDAD</t>
        </is>
      </c>
      <c r="H208" s="45" t="n">
        <v>45555</v>
      </c>
      <c r="I208" s="54" t="n">
        <v>45576</v>
      </c>
      <c r="J208" s="54" t="n">
        <v>45576</v>
      </c>
      <c r="K208" s="55" t="n">
        <v>530</v>
      </c>
    </row>
    <row r="209" ht="15" customHeight="1" s="28">
      <c r="A209" s="44" t="inlineStr">
        <is>
          <t>L-SB-0208</t>
        </is>
      </c>
      <c r="B209" s="44" t="inlineStr">
        <is>
          <t>R-SB-0207</t>
        </is>
      </c>
      <c r="C209" s="46" t="inlineStr">
        <is>
          <t>항공</t>
        </is>
      </c>
      <c r="D209" s="46" t="inlineStr">
        <is>
          <t>인천공항</t>
        </is>
      </c>
      <c r="E209" s="44" t="inlineStr">
        <is>
          <t>ICN</t>
        </is>
      </c>
      <c r="F209" s="46" t="inlineStr">
        <is>
          <t>뭄바이공항</t>
        </is>
      </c>
      <c r="G209" s="44" t="inlineStr">
        <is>
          <t>BOM</t>
        </is>
      </c>
      <c r="H209" s="45" t="n">
        <v>45557</v>
      </c>
      <c r="I209" s="54" t="n">
        <v>45559</v>
      </c>
      <c r="J209" s="54" t="n">
        <v>45559</v>
      </c>
      <c r="K209" s="55" t="n">
        <v>135</v>
      </c>
    </row>
    <row r="210" ht="15" customHeight="1" s="28">
      <c r="A210" s="44" t="inlineStr">
        <is>
          <t>L-SB-0209</t>
        </is>
      </c>
      <c r="B210" s="44" t="inlineStr">
        <is>
          <t>R-SB-0208</t>
        </is>
      </c>
      <c r="C210" s="46" t="inlineStr">
        <is>
          <t>항공</t>
        </is>
      </c>
      <c r="D210" s="46" t="inlineStr">
        <is>
          <t>인천공항</t>
        </is>
      </c>
      <c r="E210" s="44" t="inlineStr">
        <is>
          <t>ICN</t>
        </is>
      </c>
      <c r="F210" s="46" t="inlineStr">
        <is>
          <t>댈러스공항</t>
        </is>
      </c>
      <c r="G210" s="44" t="inlineStr">
        <is>
          <t>DFW</t>
        </is>
      </c>
      <c r="H210" s="45" t="n">
        <v>45558</v>
      </c>
      <c r="I210" s="54" t="n">
        <v>45562</v>
      </c>
      <c r="J210" s="54" t="n">
        <v>45562</v>
      </c>
      <c r="K210" s="55" t="n">
        <v>458.86</v>
      </c>
    </row>
    <row r="211" ht="15" customHeight="1" s="28">
      <c r="A211" s="44" t="inlineStr">
        <is>
          <t>L-SB-0210</t>
        </is>
      </c>
      <c r="B211" s="44" t="inlineStr">
        <is>
          <t>R-SB-0209</t>
        </is>
      </c>
      <c r="C211" s="46" t="inlineStr">
        <is>
          <t>항공</t>
        </is>
      </c>
      <c r="D211" s="46" t="inlineStr">
        <is>
          <t>인천공항</t>
        </is>
      </c>
      <c r="E211" s="44" t="inlineStr">
        <is>
          <t>ICN</t>
        </is>
      </c>
      <c r="F211" s="46" t="inlineStr">
        <is>
          <t>댈러스공항</t>
        </is>
      </c>
      <c r="G211" s="44" t="inlineStr">
        <is>
          <t>DFW</t>
        </is>
      </c>
      <c r="H211" s="45" t="n">
        <v>45558</v>
      </c>
      <c r="I211" s="54" t="n">
        <v>45561</v>
      </c>
      <c r="J211" s="54" t="n">
        <v>45563</v>
      </c>
      <c r="K211" s="55" t="n">
        <v>284.14</v>
      </c>
    </row>
    <row r="212" ht="15" customHeight="1" s="28">
      <c r="A212" s="44" t="inlineStr">
        <is>
          <t>L-SB-0211</t>
        </is>
      </c>
      <c r="B212" s="44" t="inlineStr">
        <is>
          <t>R-SB-0210</t>
        </is>
      </c>
      <c r="C212" s="46" t="inlineStr">
        <is>
          <t>항공</t>
        </is>
      </c>
      <c r="D212" s="46" t="inlineStr">
        <is>
          <t>인천공항</t>
        </is>
      </c>
      <c r="E212" s="44" t="inlineStr">
        <is>
          <t>ICN</t>
        </is>
      </c>
      <c r="F212" s="46" t="inlineStr">
        <is>
          <t>몬테레이공항</t>
        </is>
      </c>
      <c r="G212" s="44" t="inlineStr">
        <is>
          <t>MTY</t>
        </is>
      </c>
      <c r="H212" s="45" t="n">
        <v>45559</v>
      </c>
      <c r="I212" s="54" t="n">
        <v>45563</v>
      </c>
      <c r="J212" s="54" t="n">
        <v>45563</v>
      </c>
      <c r="K212" s="55" t="n">
        <v>239.26</v>
      </c>
    </row>
    <row r="213" ht="15" customHeight="1" s="28">
      <c r="A213" s="44" t="inlineStr">
        <is>
          <t>L-SB-0212</t>
        </is>
      </c>
      <c r="B213" s="44" t="inlineStr">
        <is>
          <t>R-SB-0211</t>
        </is>
      </c>
      <c r="C213" s="46" t="inlineStr">
        <is>
          <t>항공</t>
        </is>
      </c>
      <c r="D213" s="46" t="inlineStr">
        <is>
          <t>인천공항</t>
        </is>
      </c>
      <c r="E213" s="44" t="inlineStr">
        <is>
          <t>ICN</t>
        </is>
      </c>
      <c r="F213" s="46" t="inlineStr">
        <is>
          <t>뭄바이공항</t>
        </is>
      </c>
      <c r="G213" s="44" t="inlineStr">
        <is>
          <t>BOM</t>
        </is>
      </c>
      <c r="H213" s="45" t="n">
        <v>45560</v>
      </c>
      <c r="I213" s="54" t="n">
        <v>45562</v>
      </c>
      <c r="J213" s="54" t="n">
        <v>45562</v>
      </c>
      <c r="K213" s="55" t="n">
        <v>135</v>
      </c>
    </row>
    <row r="214" ht="15" customHeight="1" s="28">
      <c r="A214" s="44" t="inlineStr">
        <is>
          <t>L-SB-0213</t>
        </is>
      </c>
      <c r="B214" s="44" t="inlineStr">
        <is>
          <t>R-SB-0212</t>
        </is>
      </c>
      <c r="C214" s="46" t="inlineStr">
        <is>
          <t>해상</t>
        </is>
      </c>
      <c r="D214" s="46" t="inlineStr">
        <is>
          <t>부산항</t>
        </is>
      </c>
      <c r="E214" s="44" t="inlineStr">
        <is>
          <t>KRPUS</t>
        </is>
      </c>
      <c r="F214" s="46" t="inlineStr">
        <is>
          <t>다낭항</t>
        </is>
      </c>
      <c r="G214" s="44" t="inlineStr">
        <is>
          <t>VNDAD</t>
        </is>
      </c>
      <c r="H214" s="45" t="n">
        <v>45573</v>
      </c>
      <c r="I214" s="54" t="n">
        <v>45594</v>
      </c>
      <c r="J214" s="54" t="n">
        <v>45593</v>
      </c>
      <c r="K214" s="55" t="n">
        <v>530</v>
      </c>
    </row>
    <row r="215" ht="15" customHeight="1" s="28">
      <c r="A215" s="44" t="inlineStr">
        <is>
          <t>L-SB-0214</t>
        </is>
      </c>
      <c r="B215" s="44" t="inlineStr">
        <is>
          <t>R-SB-0213</t>
        </is>
      </c>
      <c r="C215" s="46" t="inlineStr">
        <is>
          <t>항공</t>
        </is>
      </c>
      <c r="D215" s="46" t="inlineStr">
        <is>
          <t>인천공항</t>
        </is>
      </c>
      <c r="E215" s="44" t="inlineStr">
        <is>
          <t>ICN</t>
        </is>
      </c>
      <c r="F215" s="46" t="inlineStr">
        <is>
          <t>몬테레이공항</t>
        </is>
      </c>
      <c r="G215" s="44" t="inlineStr">
        <is>
          <t>MTY</t>
        </is>
      </c>
      <c r="H215" s="45" t="n">
        <v>45574</v>
      </c>
      <c r="I215" s="54" t="n">
        <v>45578</v>
      </c>
      <c r="J215" s="54" t="n">
        <v>45577</v>
      </c>
      <c r="K215" s="55" t="n">
        <v>167.53</v>
      </c>
    </row>
    <row r="216" ht="15" customHeight="1" s="28">
      <c r="A216" s="44" t="inlineStr">
        <is>
          <t>L-SB-0215</t>
        </is>
      </c>
      <c r="B216" s="44" t="inlineStr">
        <is>
          <t>R-SB-0214</t>
        </is>
      </c>
      <c r="C216" s="46" t="inlineStr">
        <is>
          <t>항공</t>
        </is>
      </c>
      <c r="D216" s="46" t="inlineStr">
        <is>
          <t>인천공항</t>
        </is>
      </c>
      <c r="E216" s="44" t="inlineStr">
        <is>
          <t>ICN</t>
        </is>
      </c>
      <c r="F216" s="46" t="inlineStr">
        <is>
          <t>댈러스공항</t>
        </is>
      </c>
      <c r="G216" s="44" t="inlineStr">
        <is>
          <t>DFW</t>
        </is>
      </c>
      <c r="H216" s="45" t="n">
        <v>45576</v>
      </c>
      <c r="I216" s="54" t="n">
        <v>45580</v>
      </c>
      <c r="J216" s="54" t="n">
        <v>45580</v>
      </c>
      <c r="K216" s="55" t="n">
        <v>257.07</v>
      </c>
    </row>
    <row r="217" ht="15" customHeight="1" s="28">
      <c r="A217" s="44" t="inlineStr">
        <is>
          <t>L-SB-0216</t>
        </is>
      </c>
      <c r="B217" s="44" t="inlineStr">
        <is>
          <t>R-SB-0215</t>
        </is>
      </c>
      <c r="C217" s="46" t="inlineStr">
        <is>
          <t>항공</t>
        </is>
      </c>
      <c r="D217" s="46" t="inlineStr">
        <is>
          <t>인천공항</t>
        </is>
      </c>
      <c r="E217" s="44" t="inlineStr">
        <is>
          <t>ICN</t>
        </is>
      </c>
      <c r="F217" s="46" t="inlineStr">
        <is>
          <t>뭄바이공항</t>
        </is>
      </c>
      <c r="G217" s="44" t="inlineStr">
        <is>
          <t>BOM</t>
        </is>
      </c>
      <c r="H217" s="45" t="n">
        <v>45576</v>
      </c>
      <c r="I217" s="54" t="n">
        <v>45579</v>
      </c>
      <c r="J217" s="54" t="n">
        <v>45582</v>
      </c>
      <c r="K217" s="55" t="n">
        <v>135</v>
      </c>
    </row>
    <row r="218" ht="15" customHeight="1" s="28">
      <c r="A218" s="44" t="inlineStr">
        <is>
          <t>L-SB-0217</t>
        </is>
      </c>
      <c r="B218" s="44" t="inlineStr">
        <is>
          <t>R-SB-0216</t>
        </is>
      </c>
      <c r="C218" s="46" t="inlineStr">
        <is>
          <t>항공</t>
        </is>
      </c>
      <c r="D218" s="46" t="inlineStr">
        <is>
          <t>인천공항</t>
        </is>
      </c>
      <c r="E218" s="44" t="inlineStr">
        <is>
          <t>ICN</t>
        </is>
      </c>
      <c r="F218" s="46" t="inlineStr">
        <is>
          <t>댈러스공항</t>
        </is>
      </c>
      <c r="G218" s="44" t="inlineStr">
        <is>
          <t>DFW</t>
        </is>
      </c>
      <c r="H218" s="45" t="n">
        <v>45577</v>
      </c>
      <c r="I218" s="54" t="n">
        <v>45581</v>
      </c>
      <c r="J218" s="54" t="n">
        <v>45581</v>
      </c>
      <c r="K218" s="55" t="n">
        <v>315.09</v>
      </c>
    </row>
    <row r="219" ht="15" customHeight="1" s="28">
      <c r="A219" s="44" t="inlineStr">
        <is>
          <t>L-SB-0218</t>
        </is>
      </c>
      <c r="B219" s="44" t="inlineStr">
        <is>
          <t>R-SB-0217</t>
        </is>
      </c>
      <c r="C219" s="46" t="inlineStr">
        <is>
          <t>항공</t>
        </is>
      </c>
      <c r="D219" s="46" t="inlineStr">
        <is>
          <t>인천공항</t>
        </is>
      </c>
      <c r="E219" s="44" t="inlineStr">
        <is>
          <t>ICN</t>
        </is>
      </c>
      <c r="F219" s="46" t="inlineStr">
        <is>
          <t>댈러스공항</t>
        </is>
      </c>
      <c r="G219" s="44" t="inlineStr">
        <is>
          <t>DFW</t>
        </is>
      </c>
      <c r="H219" s="45" t="n">
        <v>45579</v>
      </c>
      <c r="I219" s="54" t="n">
        <v>45584</v>
      </c>
      <c r="J219" s="54" t="n">
        <v>45584</v>
      </c>
      <c r="K219" s="55" t="n">
        <v>187.56</v>
      </c>
    </row>
    <row r="220" ht="15" customHeight="1" s="28">
      <c r="A220" s="44" t="inlineStr">
        <is>
          <t>L-SB-0219</t>
        </is>
      </c>
      <c r="B220" s="44" t="inlineStr">
        <is>
          <t>R-SB-0218</t>
        </is>
      </c>
      <c r="C220" s="46" t="inlineStr">
        <is>
          <t>항공</t>
        </is>
      </c>
      <c r="D220" s="46" t="inlineStr">
        <is>
          <t>인천공항</t>
        </is>
      </c>
      <c r="E220" s="44" t="inlineStr">
        <is>
          <t>ICN</t>
        </is>
      </c>
      <c r="F220" s="46" t="inlineStr">
        <is>
          <t>몬테레이공항</t>
        </is>
      </c>
      <c r="G220" s="44" t="inlineStr">
        <is>
          <t>MTY</t>
        </is>
      </c>
      <c r="H220" s="45" t="n">
        <v>45582</v>
      </c>
      <c r="I220" s="54" t="n">
        <v>45585</v>
      </c>
      <c r="J220" s="54" t="n">
        <v>45585</v>
      </c>
      <c r="K220" s="55" t="n">
        <v>245.9</v>
      </c>
    </row>
    <row r="221" ht="15" customHeight="1" s="28">
      <c r="A221" s="44" t="inlineStr">
        <is>
          <t>L-SB-0220</t>
        </is>
      </c>
      <c r="B221" s="44" t="inlineStr">
        <is>
          <t>R-SB-0219</t>
        </is>
      </c>
      <c r="C221" s="46" t="inlineStr">
        <is>
          <t>항공</t>
        </is>
      </c>
      <c r="D221" s="46" t="inlineStr">
        <is>
          <t>인천공항</t>
        </is>
      </c>
      <c r="E221" s="44" t="inlineStr">
        <is>
          <t>ICN</t>
        </is>
      </c>
      <c r="F221" s="46" t="inlineStr">
        <is>
          <t>다낭공항</t>
        </is>
      </c>
      <c r="G221" s="44" t="inlineStr">
        <is>
          <t>DAD</t>
        </is>
      </c>
      <c r="H221" s="45" t="n">
        <v>45582</v>
      </c>
      <c r="I221" s="54" t="n">
        <v>45585</v>
      </c>
      <c r="J221" s="54" t="n">
        <v>45585</v>
      </c>
      <c r="K221" s="55" t="n">
        <v>135</v>
      </c>
    </row>
    <row r="222" ht="15" customHeight="1" s="28">
      <c r="A222" s="44" t="inlineStr">
        <is>
          <t>L-SB-0221</t>
        </is>
      </c>
      <c r="B222" s="44" t="inlineStr">
        <is>
          <t>R-SB-0220</t>
        </is>
      </c>
      <c r="C222" s="46" t="inlineStr">
        <is>
          <t>항공</t>
        </is>
      </c>
      <c r="D222" s="46" t="inlineStr">
        <is>
          <t>인천공항</t>
        </is>
      </c>
      <c r="E222" s="44" t="inlineStr">
        <is>
          <t>ICN</t>
        </is>
      </c>
      <c r="F222" s="46" t="inlineStr">
        <is>
          <t>뭄바이공항</t>
        </is>
      </c>
      <c r="G222" s="44" t="inlineStr">
        <is>
          <t>BOM</t>
        </is>
      </c>
      <c r="H222" s="45" t="n">
        <v>45584</v>
      </c>
      <c r="I222" s="54" t="n">
        <v>45586</v>
      </c>
      <c r="J222" s="54" t="n">
        <v>45586</v>
      </c>
      <c r="K222" s="55" t="n">
        <v>135</v>
      </c>
    </row>
    <row r="223" ht="15" customHeight="1" s="28">
      <c r="A223" s="44" t="inlineStr">
        <is>
          <t>L-SB-0222</t>
        </is>
      </c>
      <c r="B223" s="44" t="inlineStr">
        <is>
          <t>R-SB-0221</t>
        </is>
      </c>
      <c r="C223" s="46" t="inlineStr">
        <is>
          <t>항공</t>
        </is>
      </c>
      <c r="D223" s="46" t="inlineStr">
        <is>
          <t>인천공항</t>
        </is>
      </c>
      <c r="E223" s="44" t="inlineStr">
        <is>
          <t>ICN</t>
        </is>
      </c>
      <c r="F223" s="46" t="inlineStr">
        <is>
          <t>몬테레이공항</t>
        </is>
      </c>
      <c r="G223" s="44" t="inlineStr">
        <is>
          <t>MTY</t>
        </is>
      </c>
      <c r="H223" s="45" t="n">
        <v>45588</v>
      </c>
      <c r="I223" s="54" t="n">
        <v>45591</v>
      </c>
      <c r="J223" s="54" t="n">
        <v>45594</v>
      </c>
      <c r="K223" s="55" t="n">
        <v>135</v>
      </c>
    </row>
    <row r="224" ht="15" customHeight="1" s="28">
      <c r="A224" s="44" t="inlineStr">
        <is>
          <t>L-SB-0223</t>
        </is>
      </c>
      <c r="B224" s="44" t="inlineStr">
        <is>
          <t>R-SB-0222</t>
        </is>
      </c>
      <c r="C224" s="46" t="inlineStr">
        <is>
          <t>항공</t>
        </is>
      </c>
      <c r="D224" s="46" t="inlineStr">
        <is>
          <t>인천공항</t>
        </is>
      </c>
      <c r="E224" s="44" t="inlineStr">
        <is>
          <t>ICN</t>
        </is>
      </c>
      <c r="F224" s="46" t="inlineStr">
        <is>
          <t>뭄바이공항</t>
        </is>
      </c>
      <c r="G224" s="44" t="inlineStr">
        <is>
          <t>BOM</t>
        </is>
      </c>
      <c r="H224" s="45" t="n">
        <v>45588</v>
      </c>
      <c r="I224" s="54" t="n">
        <v>45591</v>
      </c>
      <c r="J224" s="54" t="n">
        <v>45591</v>
      </c>
      <c r="K224" s="55" t="n">
        <v>135</v>
      </c>
    </row>
    <row r="225" ht="15" customHeight="1" s="28">
      <c r="A225" s="44" t="inlineStr">
        <is>
          <t>L-SB-0224</t>
        </is>
      </c>
      <c r="B225" s="44" t="inlineStr">
        <is>
          <t>R-SB-0223</t>
        </is>
      </c>
      <c r="C225" s="46" t="inlineStr">
        <is>
          <t>항공</t>
        </is>
      </c>
      <c r="D225" s="46" t="inlineStr">
        <is>
          <t>인천공항</t>
        </is>
      </c>
      <c r="E225" s="44" t="inlineStr">
        <is>
          <t>ICN</t>
        </is>
      </c>
      <c r="F225" s="46" t="inlineStr">
        <is>
          <t>다낭공항</t>
        </is>
      </c>
      <c r="G225" s="44" t="inlineStr">
        <is>
          <t>DAD</t>
        </is>
      </c>
      <c r="H225" s="45" t="n">
        <v>45589</v>
      </c>
      <c r="I225" s="54" t="n">
        <v>45592</v>
      </c>
      <c r="J225" s="54" t="n">
        <v>45592</v>
      </c>
      <c r="K225" s="55" t="n">
        <v>203.77</v>
      </c>
    </row>
    <row r="226" ht="15" customHeight="1" s="28">
      <c r="A226" s="44" t="inlineStr">
        <is>
          <t>L-SB-0225</t>
        </is>
      </c>
      <c r="B226" s="44" t="inlineStr">
        <is>
          <t>R-SB-0224</t>
        </is>
      </c>
      <c r="C226" s="46" t="inlineStr">
        <is>
          <t>항공</t>
        </is>
      </c>
      <c r="D226" s="46" t="inlineStr">
        <is>
          <t>인천공항</t>
        </is>
      </c>
      <c r="E226" s="44" t="inlineStr">
        <is>
          <t>ICN</t>
        </is>
      </c>
      <c r="F226" s="46" t="inlineStr">
        <is>
          <t>뭄바이공항</t>
        </is>
      </c>
      <c r="G226" s="44" t="inlineStr">
        <is>
          <t>BOM</t>
        </is>
      </c>
      <c r="H226" s="45" t="n">
        <v>45599</v>
      </c>
      <c r="I226" s="54" t="n">
        <v>45602</v>
      </c>
      <c r="J226" s="54" t="n">
        <v>45602</v>
      </c>
      <c r="K226" s="55" t="n">
        <v>135</v>
      </c>
    </row>
    <row r="227" ht="15" customHeight="1" s="28">
      <c r="A227" s="44" t="inlineStr">
        <is>
          <t>L-SB-0226</t>
        </is>
      </c>
      <c r="B227" s="44" t="inlineStr">
        <is>
          <t>R-SB-0225</t>
        </is>
      </c>
      <c r="C227" s="46" t="inlineStr">
        <is>
          <t>항공</t>
        </is>
      </c>
      <c r="D227" s="46" t="inlineStr">
        <is>
          <t>인천공항</t>
        </is>
      </c>
      <c r="E227" s="44" t="inlineStr">
        <is>
          <t>ICN</t>
        </is>
      </c>
      <c r="F227" s="46" t="inlineStr">
        <is>
          <t>몬테레이공항</t>
        </is>
      </c>
      <c r="G227" s="44" t="inlineStr">
        <is>
          <t>MTY</t>
        </is>
      </c>
      <c r="H227" s="45" t="n">
        <v>45600</v>
      </c>
      <c r="I227" s="54" t="n">
        <v>45603</v>
      </c>
      <c r="J227" s="54" t="n">
        <v>45602</v>
      </c>
      <c r="K227" s="55" t="n">
        <v>160.4</v>
      </c>
    </row>
    <row r="228" ht="15" customHeight="1" s="28">
      <c r="A228" s="44" t="inlineStr">
        <is>
          <t>L-SB-0227</t>
        </is>
      </c>
      <c r="B228" s="44" t="inlineStr">
        <is>
          <t>R-SB-0226</t>
        </is>
      </c>
      <c r="C228" s="46" t="inlineStr">
        <is>
          <t>항공</t>
        </is>
      </c>
      <c r="D228" s="46" t="inlineStr">
        <is>
          <t>인천공항</t>
        </is>
      </c>
      <c r="E228" s="44" t="inlineStr">
        <is>
          <t>ICN</t>
        </is>
      </c>
      <c r="F228" s="46" t="inlineStr">
        <is>
          <t>다낭공항</t>
        </is>
      </c>
      <c r="G228" s="44" t="inlineStr">
        <is>
          <t>DAD</t>
        </is>
      </c>
      <c r="H228" s="45" t="n">
        <v>45603</v>
      </c>
      <c r="I228" s="54" t="n">
        <v>45606</v>
      </c>
      <c r="J228" s="54" t="n">
        <v>45606</v>
      </c>
    </row>
    <row r="229" ht="15" customHeight="1" s="28">
      <c r="A229" s="44" t="inlineStr">
        <is>
          <t>L-SB-0228</t>
        </is>
      </c>
      <c r="B229" s="44" t="inlineStr">
        <is>
          <t>R-SB-0227</t>
        </is>
      </c>
      <c r="C229" s="46" t="inlineStr">
        <is>
          <t>항공</t>
        </is>
      </c>
      <c r="D229" s="46" t="inlineStr">
        <is>
          <t>인천공항</t>
        </is>
      </c>
      <c r="E229" s="44" t="inlineStr">
        <is>
          <t>ICN</t>
        </is>
      </c>
      <c r="F229" s="46" t="inlineStr">
        <is>
          <t>뭄바이공항</t>
        </is>
      </c>
      <c r="G229" s="44" t="inlineStr">
        <is>
          <t>BOM</t>
        </is>
      </c>
      <c r="H229" s="45" t="n">
        <v>45603</v>
      </c>
      <c r="I229" s="54" t="n">
        <v>45606</v>
      </c>
      <c r="J229" s="54" t="n">
        <v>45606</v>
      </c>
      <c r="K229" s="55" t="n">
        <v>135</v>
      </c>
    </row>
    <row r="230" ht="15" customHeight="1" s="28">
      <c r="A230" s="44" t="inlineStr">
        <is>
          <t>L-SB-0229</t>
        </is>
      </c>
      <c r="B230" s="44" t="inlineStr">
        <is>
          <t>R-SB-0228</t>
        </is>
      </c>
      <c r="C230" s="46" t="inlineStr">
        <is>
          <t>항공</t>
        </is>
      </c>
      <c r="D230" s="46" t="inlineStr">
        <is>
          <t>인천공항</t>
        </is>
      </c>
      <c r="E230" s="44" t="inlineStr">
        <is>
          <t>ICN</t>
        </is>
      </c>
      <c r="F230" s="46" t="inlineStr">
        <is>
          <t>뭄바이공항</t>
        </is>
      </c>
      <c r="G230" s="44" t="inlineStr">
        <is>
          <t>BOM</t>
        </is>
      </c>
      <c r="H230" s="45" t="n">
        <v>45613</v>
      </c>
      <c r="I230" s="54" t="n">
        <v>45615</v>
      </c>
      <c r="J230" s="54" t="n">
        <v>45615</v>
      </c>
      <c r="K230" s="55" t="n">
        <v>135</v>
      </c>
    </row>
    <row r="231" ht="15" customHeight="1" s="28">
      <c r="A231" s="44" t="inlineStr">
        <is>
          <t>L-SB-0230</t>
        </is>
      </c>
      <c r="B231" s="44" t="inlineStr">
        <is>
          <t>R-SB-0229</t>
        </is>
      </c>
      <c r="C231" s="46" t="inlineStr">
        <is>
          <t>항공</t>
        </is>
      </c>
      <c r="D231" s="46" t="inlineStr">
        <is>
          <t>인천공항</t>
        </is>
      </c>
      <c r="E231" s="44" t="inlineStr">
        <is>
          <t>ICN</t>
        </is>
      </c>
      <c r="F231" s="46" t="inlineStr">
        <is>
          <t>댈러스공항</t>
        </is>
      </c>
      <c r="G231" s="44" t="inlineStr">
        <is>
          <t>DFW</t>
        </is>
      </c>
      <c r="H231" s="45" t="n">
        <v>45617</v>
      </c>
      <c r="I231" s="54" t="n">
        <v>45621</v>
      </c>
      <c r="J231" s="54" t="n">
        <v>45621</v>
      </c>
      <c r="K231" s="55" t="n">
        <v>182.04</v>
      </c>
    </row>
    <row r="232" ht="15" customHeight="1" s="28">
      <c r="A232" s="44" t="inlineStr">
        <is>
          <t>L-SB-0231</t>
        </is>
      </c>
      <c r="B232" s="44" t="inlineStr">
        <is>
          <t>R-SB-0230</t>
        </is>
      </c>
      <c r="C232" s="46" t="inlineStr">
        <is>
          <t>항공</t>
        </is>
      </c>
      <c r="D232" s="46" t="inlineStr">
        <is>
          <t>인천공항</t>
        </is>
      </c>
      <c r="E232" s="44" t="inlineStr">
        <is>
          <t>ICN</t>
        </is>
      </c>
      <c r="F232" s="46" t="inlineStr">
        <is>
          <t>다낭공항</t>
        </is>
      </c>
      <c r="G232" s="44" t="inlineStr">
        <is>
          <t>DAD</t>
        </is>
      </c>
      <c r="H232" s="45" t="n">
        <v>45619</v>
      </c>
      <c r="I232" s="54" t="n">
        <v>45623</v>
      </c>
      <c r="J232" s="54" t="n">
        <v>45627</v>
      </c>
      <c r="K232" s="55" t="n">
        <v>160.53</v>
      </c>
    </row>
    <row r="233" ht="15" customHeight="1" s="28">
      <c r="A233" s="44" t="inlineStr">
        <is>
          <t>L-SB-0232</t>
        </is>
      </c>
      <c r="B233" s="44" t="inlineStr">
        <is>
          <t>R-SB-0231</t>
        </is>
      </c>
      <c r="C233" s="46" t="inlineStr">
        <is>
          <t>항공</t>
        </is>
      </c>
      <c r="D233" s="46" t="inlineStr">
        <is>
          <t>인천공항</t>
        </is>
      </c>
      <c r="E233" s="44" t="inlineStr">
        <is>
          <t>ICN</t>
        </is>
      </c>
      <c r="F233" s="46" t="inlineStr">
        <is>
          <t>몬테레이공항</t>
        </is>
      </c>
      <c r="G233" s="44" t="inlineStr">
        <is>
          <t>MTY</t>
        </is>
      </c>
      <c r="H233" s="45" t="n">
        <v>45620</v>
      </c>
      <c r="I233" s="54" t="n">
        <v>45625</v>
      </c>
      <c r="J233" s="54" t="n">
        <v>45625</v>
      </c>
      <c r="K233" s="55" t="n">
        <v>209.08</v>
      </c>
    </row>
    <row r="234" ht="15" customHeight="1" s="28">
      <c r="A234" s="44" t="inlineStr">
        <is>
          <t>L-SB-0233</t>
        </is>
      </c>
      <c r="B234" s="44" t="inlineStr">
        <is>
          <t>R-SB-0232</t>
        </is>
      </c>
      <c r="C234" s="46" t="inlineStr">
        <is>
          <t>항공</t>
        </is>
      </c>
      <c r="D234" s="46" t="inlineStr">
        <is>
          <t>인천공항</t>
        </is>
      </c>
      <c r="E234" s="44" t="inlineStr">
        <is>
          <t>ICN</t>
        </is>
      </c>
      <c r="F234" s="46" t="inlineStr">
        <is>
          <t>댈러스공항</t>
        </is>
      </c>
      <c r="G234" s="44" t="inlineStr">
        <is>
          <t>DFW</t>
        </is>
      </c>
      <c r="H234" s="45" t="n">
        <v>45622</v>
      </c>
      <c r="I234" s="54" t="n">
        <v>45626</v>
      </c>
      <c r="J234" s="54" t="n">
        <v>45629</v>
      </c>
      <c r="K234" s="55" t="n">
        <v>243.38</v>
      </c>
    </row>
    <row r="235" ht="15" customHeight="1" s="28">
      <c r="A235" s="44" t="inlineStr">
        <is>
          <t>L-SB-0234</t>
        </is>
      </c>
      <c r="B235" s="44" t="inlineStr">
        <is>
          <t>R-SB-0233</t>
        </is>
      </c>
      <c r="C235" s="46" t="inlineStr">
        <is>
          <t>항공</t>
        </is>
      </c>
      <c r="D235" s="46" t="inlineStr">
        <is>
          <t>인천공항</t>
        </is>
      </c>
      <c r="E235" s="44" t="inlineStr">
        <is>
          <t>ICN</t>
        </is>
      </c>
      <c r="F235" s="46" t="inlineStr">
        <is>
          <t>몬테레이공항</t>
        </is>
      </c>
      <c r="G235" s="44" t="inlineStr">
        <is>
          <t>MTY</t>
        </is>
      </c>
      <c r="H235" s="45" t="n">
        <v>45622</v>
      </c>
      <c r="I235" s="54" t="n">
        <v>45625</v>
      </c>
      <c r="J235" s="54" t="n">
        <v>45625</v>
      </c>
      <c r="K235" s="55" t="n">
        <v>135</v>
      </c>
    </row>
    <row r="236" ht="15" customHeight="1" s="28">
      <c r="A236" s="44" t="inlineStr">
        <is>
          <t>L-SB-0235</t>
        </is>
      </c>
      <c r="B236" s="44" t="inlineStr">
        <is>
          <t>R-SB-0234</t>
        </is>
      </c>
      <c r="C236" s="46" t="inlineStr">
        <is>
          <t>항공</t>
        </is>
      </c>
      <c r="D236" s="46" t="inlineStr">
        <is>
          <t>인천공항</t>
        </is>
      </c>
      <c r="E236" s="44" t="inlineStr">
        <is>
          <t>ICN</t>
        </is>
      </c>
      <c r="F236" s="46" t="inlineStr">
        <is>
          <t>댈러스공항</t>
        </is>
      </c>
      <c r="G236" s="44" t="inlineStr">
        <is>
          <t>DFW</t>
        </is>
      </c>
      <c r="H236" s="45" t="n">
        <v>45630</v>
      </c>
      <c r="I236" s="54" t="n">
        <v>45635</v>
      </c>
      <c r="J236" s="54" t="n">
        <v>45635</v>
      </c>
      <c r="K236" s="55" t="n">
        <v>377.76</v>
      </c>
    </row>
    <row r="237" ht="15" customHeight="1" s="28">
      <c r="A237" s="44" t="inlineStr">
        <is>
          <t>L-SB-0236</t>
        </is>
      </c>
      <c r="B237" s="44" t="inlineStr">
        <is>
          <t>R-SB-0235</t>
        </is>
      </c>
      <c r="C237" s="46" t="inlineStr">
        <is>
          <t>항공</t>
        </is>
      </c>
      <c r="D237" s="46" t="inlineStr">
        <is>
          <t>인천공항</t>
        </is>
      </c>
      <c r="E237" s="44" t="inlineStr">
        <is>
          <t>ICN</t>
        </is>
      </c>
      <c r="F237" s="46" t="inlineStr">
        <is>
          <t>뭄바이공항</t>
        </is>
      </c>
      <c r="G237" s="44" t="inlineStr">
        <is>
          <t>BOM</t>
        </is>
      </c>
      <c r="H237" s="45" t="n">
        <v>45633</v>
      </c>
      <c r="I237" s="54" t="n">
        <v>45635</v>
      </c>
      <c r="J237" s="54" t="n">
        <v>45635</v>
      </c>
      <c r="K237" s="55" t="n">
        <v>135</v>
      </c>
    </row>
    <row r="238" ht="15" customHeight="1" s="28">
      <c r="A238" s="44" t="inlineStr">
        <is>
          <t>L-SB-0237</t>
        </is>
      </c>
      <c r="B238" s="44" t="inlineStr">
        <is>
          <t>R-SB-0236</t>
        </is>
      </c>
      <c r="C238" s="46" t="inlineStr">
        <is>
          <t>항공</t>
        </is>
      </c>
      <c r="D238" s="46" t="inlineStr">
        <is>
          <t>인천공항</t>
        </is>
      </c>
      <c r="E238" s="44" t="inlineStr">
        <is>
          <t>ICN</t>
        </is>
      </c>
      <c r="F238" s="46" t="inlineStr">
        <is>
          <t>댈러스공항</t>
        </is>
      </c>
      <c r="G238" s="44" t="inlineStr">
        <is>
          <t>DFW</t>
        </is>
      </c>
      <c r="H238" s="45" t="n">
        <v>45634</v>
      </c>
      <c r="I238" s="54" t="n">
        <v>45638</v>
      </c>
      <c r="J238" s="54" t="n">
        <v>45638</v>
      </c>
      <c r="K238" s="55" t="n">
        <v>241.08</v>
      </c>
    </row>
    <row r="239" ht="15" customHeight="1" s="28">
      <c r="A239" s="44" t="inlineStr">
        <is>
          <t>L-SB-0238</t>
        </is>
      </c>
      <c r="B239" s="44" t="inlineStr">
        <is>
          <t>R-SB-0237</t>
        </is>
      </c>
      <c r="C239" s="46" t="inlineStr">
        <is>
          <t>항공</t>
        </is>
      </c>
      <c r="D239" s="46" t="inlineStr">
        <is>
          <t>인천공항</t>
        </is>
      </c>
      <c r="E239" s="44" t="inlineStr">
        <is>
          <t>ICN</t>
        </is>
      </c>
      <c r="F239" s="46" t="inlineStr">
        <is>
          <t>뭄바이공항</t>
        </is>
      </c>
      <c r="G239" s="44" t="inlineStr">
        <is>
          <t>BOM</t>
        </is>
      </c>
      <c r="H239" s="45" t="n">
        <v>45634</v>
      </c>
      <c r="I239" s="54" t="n">
        <v>45638</v>
      </c>
      <c r="J239" s="54" t="n">
        <v>45638</v>
      </c>
      <c r="K239" s="55" t="n">
        <v>135</v>
      </c>
    </row>
    <row r="240" ht="15" customHeight="1" s="28">
      <c r="A240" s="44" t="inlineStr">
        <is>
          <t>L-SB-0239</t>
        </is>
      </c>
      <c r="B240" s="44" t="inlineStr">
        <is>
          <t>R-SB-0238</t>
        </is>
      </c>
      <c r="C240" s="46" t="inlineStr">
        <is>
          <t>해상</t>
        </is>
      </c>
      <c r="D240" s="46" t="inlineStr">
        <is>
          <t>부산항</t>
        </is>
      </c>
      <c r="E240" s="44" t="inlineStr">
        <is>
          <t>KRPUS</t>
        </is>
      </c>
      <c r="F240" s="46" t="inlineStr">
        <is>
          <t>다낭항</t>
        </is>
      </c>
      <c r="G240" s="44" t="inlineStr">
        <is>
          <t>VNDAD</t>
        </is>
      </c>
      <c r="H240" s="45" t="n">
        <v>45636</v>
      </c>
      <c r="I240" s="54" t="n">
        <v>45658</v>
      </c>
      <c r="J240" s="54" t="n">
        <v>45657</v>
      </c>
      <c r="K240" s="55" t="n">
        <v>530</v>
      </c>
    </row>
    <row r="241" ht="15" customHeight="1" s="28">
      <c r="A241" s="44" t="inlineStr">
        <is>
          <t>L-SB-0240</t>
        </is>
      </c>
      <c r="B241" s="44" t="inlineStr">
        <is>
          <t>R-SB-0239</t>
        </is>
      </c>
      <c r="C241" s="46" t="inlineStr">
        <is>
          <t>항공</t>
        </is>
      </c>
      <c r="D241" s="46" t="inlineStr">
        <is>
          <t>인천공항</t>
        </is>
      </c>
      <c r="E241" s="44" t="inlineStr">
        <is>
          <t>ICN</t>
        </is>
      </c>
      <c r="F241" s="46" t="inlineStr">
        <is>
          <t>몬테레이공항</t>
        </is>
      </c>
      <c r="G241" s="44" t="inlineStr">
        <is>
          <t>MTY</t>
        </is>
      </c>
      <c r="H241" s="45" t="n">
        <v>45640</v>
      </c>
      <c r="I241" s="54" t="n">
        <v>45644</v>
      </c>
      <c r="J241" s="54" t="n">
        <v>45646</v>
      </c>
    </row>
    <row r="242" ht="15" customHeight="1" s="28">
      <c r="A242" s="44" t="inlineStr">
        <is>
          <t>L-SB-0241</t>
        </is>
      </c>
      <c r="B242" s="44" t="inlineStr">
        <is>
          <t>R-SB-0240</t>
        </is>
      </c>
      <c r="C242" s="46" t="inlineStr">
        <is>
          <t>항공</t>
        </is>
      </c>
      <c r="D242" s="46" t="inlineStr">
        <is>
          <t>인천공항</t>
        </is>
      </c>
      <c r="E242" s="44" t="inlineStr">
        <is>
          <t>ICN</t>
        </is>
      </c>
      <c r="F242" s="46" t="inlineStr">
        <is>
          <t>댈러스공항</t>
        </is>
      </c>
      <c r="G242" s="44" t="inlineStr">
        <is>
          <t>DFW</t>
        </is>
      </c>
      <c r="H242" s="45" t="n">
        <v>45646</v>
      </c>
      <c r="I242" s="54" t="n">
        <v>45650</v>
      </c>
      <c r="J242" s="54" t="n">
        <v>45650</v>
      </c>
      <c r="K242" s="55" t="n">
        <v>149.31</v>
      </c>
    </row>
    <row r="243" ht="15" customHeight="1" s="28">
      <c r="A243" s="44" t="inlineStr">
        <is>
          <t>L-SB-0242</t>
        </is>
      </c>
      <c r="B243" s="44" t="inlineStr">
        <is>
          <t>R-SB-0241</t>
        </is>
      </c>
      <c r="C243" s="46" t="inlineStr">
        <is>
          <t>항공</t>
        </is>
      </c>
      <c r="D243" s="46" t="inlineStr">
        <is>
          <t>인천공항</t>
        </is>
      </c>
      <c r="E243" s="44" t="inlineStr">
        <is>
          <t>ICN</t>
        </is>
      </c>
      <c r="F243" s="46" t="inlineStr">
        <is>
          <t>다낭공항</t>
        </is>
      </c>
      <c r="G243" s="44" t="inlineStr">
        <is>
          <t>DAD</t>
        </is>
      </c>
      <c r="H243" s="45" t="n">
        <v>45646</v>
      </c>
      <c r="I243" s="54" t="n">
        <v>45650</v>
      </c>
      <c r="J243" s="54" t="n">
        <v>45650</v>
      </c>
      <c r="K243" s="55" t="n">
        <v>135</v>
      </c>
    </row>
    <row r="244" ht="15" customHeight="1" s="28">
      <c r="A244" s="44" t="inlineStr">
        <is>
          <t>L-SB-0243</t>
        </is>
      </c>
      <c r="B244" s="44" t="inlineStr">
        <is>
          <t>R-SB-0242</t>
        </is>
      </c>
      <c r="C244" s="46" t="inlineStr">
        <is>
          <t>항공</t>
        </is>
      </c>
      <c r="D244" s="46" t="inlineStr">
        <is>
          <t>인천공항</t>
        </is>
      </c>
      <c r="E244" s="44" t="inlineStr">
        <is>
          <t>ICN</t>
        </is>
      </c>
      <c r="F244" s="46" t="inlineStr">
        <is>
          <t>다낭공항</t>
        </is>
      </c>
      <c r="G244" s="44" t="inlineStr">
        <is>
          <t>DAD</t>
        </is>
      </c>
      <c r="H244" s="45" t="n">
        <v>45647</v>
      </c>
      <c r="I244" s="54" t="n">
        <v>45650</v>
      </c>
      <c r="J244" s="54" t="n">
        <v>45650</v>
      </c>
      <c r="K244" s="55" t="n">
        <v>181.43</v>
      </c>
    </row>
    <row r="245" ht="15" customHeight="1" s="28">
      <c r="A245" s="44" t="inlineStr">
        <is>
          <t>L-SB-0244</t>
        </is>
      </c>
      <c r="B245" s="44" t="inlineStr">
        <is>
          <t>R-SB-0243</t>
        </is>
      </c>
      <c r="C245" s="46" t="inlineStr">
        <is>
          <t>항공</t>
        </is>
      </c>
      <c r="D245" s="46" t="inlineStr">
        <is>
          <t>인천공항</t>
        </is>
      </c>
      <c r="E245" s="44" t="inlineStr">
        <is>
          <t>ICN</t>
        </is>
      </c>
      <c r="F245" s="46" t="inlineStr">
        <is>
          <t>다낭공항</t>
        </is>
      </c>
      <c r="G245" s="44" t="inlineStr">
        <is>
          <t>DAD</t>
        </is>
      </c>
      <c r="H245" s="45" t="n">
        <v>45662</v>
      </c>
      <c r="I245" s="54" t="n">
        <v>45667</v>
      </c>
      <c r="J245" s="54" t="n">
        <v>45667</v>
      </c>
      <c r="K245" s="55" t="n">
        <v>174.78</v>
      </c>
    </row>
    <row r="246" ht="15" customHeight="1" s="28">
      <c r="A246" s="44" t="inlineStr">
        <is>
          <t>L-SB-0245</t>
        </is>
      </c>
      <c r="B246" s="44" t="inlineStr">
        <is>
          <t>R-SB-0244</t>
        </is>
      </c>
      <c r="C246" s="46" t="inlineStr">
        <is>
          <t>해상</t>
        </is>
      </c>
      <c r="D246" s="46" t="inlineStr">
        <is>
          <t>부산항</t>
        </is>
      </c>
      <c r="E246" s="44" t="inlineStr">
        <is>
          <t>KRPUS</t>
        </is>
      </c>
      <c r="F246" s="46" t="inlineStr">
        <is>
          <t>다낭항</t>
        </is>
      </c>
      <c r="G246" s="44" t="inlineStr">
        <is>
          <t>VNDAD</t>
        </is>
      </c>
      <c r="H246" s="45" t="n">
        <v>45664</v>
      </c>
      <c r="I246" s="54" t="n">
        <v>45686</v>
      </c>
      <c r="J246" s="54" t="n">
        <v>45685</v>
      </c>
      <c r="K246" s="55" t="n">
        <v>530</v>
      </c>
    </row>
    <row r="247" ht="15" customHeight="1" s="28">
      <c r="A247" s="44" t="inlineStr">
        <is>
          <t>L-SB-0246</t>
        </is>
      </c>
      <c r="B247" s="44" t="inlineStr">
        <is>
          <t>R-SB-0245</t>
        </is>
      </c>
      <c r="C247" s="46" t="inlineStr">
        <is>
          <t>항공</t>
        </is>
      </c>
      <c r="D247" s="46" t="inlineStr">
        <is>
          <t>인천공항</t>
        </is>
      </c>
      <c r="E247" s="44" t="inlineStr">
        <is>
          <t>ICN</t>
        </is>
      </c>
      <c r="F247" s="46" t="inlineStr">
        <is>
          <t>뭄바이공항</t>
        </is>
      </c>
      <c r="G247" s="44" t="inlineStr">
        <is>
          <t>BOM</t>
        </is>
      </c>
      <c r="H247" s="45" t="n">
        <v>45665</v>
      </c>
      <c r="I247" s="54" t="n">
        <v>45668</v>
      </c>
      <c r="J247" s="54" t="n">
        <v>45668</v>
      </c>
      <c r="K247" s="55" t="n">
        <v>135</v>
      </c>
    </row>
    <row r="248" ht="15" customHeight="1" s="28">
      <c r="A248" s="44" t="inlineStr">
        <is>
          <t>L-SB-0247</t>
        </is>
      </c>
      <c r="B248" s="44" t="inlineStr">
        <is>
          <t>R-SB-0246</t>
        </is>
      </c>
      <c r="C248" s="46" t="inlineStr">
        <is>
          <t>항공</t>
        </is>
      </c>
      <c r="D248" s="46" t="inlineStr">
        <is>
          <t>인천공항</t>
        </is>
      </c>
      <c r="E248" s="44" t="inlineStr">
        <is>
          <t>ICN</t>
        </is>
      </c>
      <c r="F248" s="46" t="inlineStr">
        <is>
          <t>댈러스공항</t>
        </is>
      </c>
      <c r="G248" s="44" t="inlineStr">
        <is>
          <t>DFW</t>
        </is>
      </c>
      <c r="H248" s="45" t="n">
        <v>45668</v>
      </c>
      <c r="I248" s="54" t="n">
        <v>45672</v>
      </c>
      <c r="J248" s="54" t="n">
        <v>45674</v>
      </c>
      <c r="K248" s="55" t="n">
        <v>142.69</v>
      </c>
    </row>
    <row r="249" ht="15" customHeight="1" s="28">
      <c r="A249" s="44" t="inlineStr">
        <is>
          <t>L-SB-0248</t>
        </is>
      </c>
      <c r="B249" s="44" t="inlineStr">
        <is>
          <t>R-SB-0247</t>
        </is>
      </c>
      <c r="C249" s="46" t="inlineStr">
        <is>
          <t>항공</t>
        </is>
      </c>
      <c r="D249" s="46" t="inlineStr">
        <is>
          <t>인천공항</t>
        </is>
      </c>
      <c r="E249" s="44" t="inlineStr">
        <is>
          <t>ICN</t>
        </is>
      </c>
      <c r="F249" s="46" t="inlineStr">
        <is>
          <t>몬테레이공항</t>
        </is>
      </c>
      <c r="G249" s="44" t="inlineStr">
        <is>
          <t>MTY</t>
        </is>
      </c>
      <c r="H249" s="45" t="n">
        <v>45673</v>
      </c>
      <c r="I249" s="54" t="n">
        <v>45676</v>
      </c>
      <c r="J249" s="54" t="n">
        <v>45676</v>
      </c>
      <c r="K249" s="55" t="n">
        <v>192.22</v>
      </c>
    </row>
    <row r="250" ht="15" customHeight="1" s="28">
      <c r="A250" s="44" t="inlineStr">
        <is>
          <t>L-SB-0249</t>
        </is>
      </c>
      <c r="B250" s="44" t="inlineStr">
        <is>
          <t>R-SB-0248</t>
        </is>
      </c>
      <c r="C250" s="46" t="inlineStr">
        <is>
          <t>항공</t>
        </is>
      </c>
      <c r="D250" s="46" t="inlineStr">
        <is>
          <t>인천공항</t>
        </is>
      </c>
      <c r="E250" s="44" t="inlineStr">
        <is>
          <t>ICN</t>
        </is>
      </c>
      <c r="F250" s="46" t="inlineStr">
        <is>
          <t>몬테레이공항</t>
        </is>
      </c>
      <c r="G250" s="44" t="inlineStr">
        <is>
          <t>MTY</t>
        </is>
      </c>
      <c r="H250" s="45" t="n">
        <v>45678</v>
      </c>
      <c r="I250" s="54" t="n">
        <v>45681</v>
      </c>
      <c r="J250" s="54" t="n">
        <v>45681</v>
      </c>
      <c r="K250" s="55" t="n">
        <v>147.39</v>
      </c>
    </row>
    <row r="251" ht="15" customHeight="1" s="28">
      <c r="A251" s="44" t="inlineStr">
        <is>
          <t>L-SB-0250</t>
        </is>
      </c>
      <c r="B251" s="44" t="inlineStr">
        <is>
          <t>R-SB-0249</t>
        </is>
      </c>
      <c r="C251" s="46" t="inlineStr">
        <is>
          <t>항공</t>
        </is>
      </c>
      <c r="D251" s="46" t="inlineStr">
        <is>
          <t>인천공항</t>
        </is>
      </c>
      <c r="E251" s="44" t="inlineStr">
        <is>
          <t>ICN</t>
        </is>
      </c>
      <c r="F251" s="46" t="inlineStr">
        <is>
          <t>뭄바이공항</t>
        </is>
      </c>
      <c r="G251" s="44" t="inlineStr">
        <is>
          <t>BOM</t>
        </is>
      </c>
      <c r="H251" s="45" t="n">
        <v>45680</v>
      </c>
      <c r="I251" s="54" t="n">
        <v>45683</v>
      </c>
      <c r="J251" s="54" t="n">
        <v>45683</v>
      </c>
      <c r="K251" s="55" t="n">
        <v>135</v>
      </c>
    </row>
    <row r="252" ht="15" customHeight="1" s="28">
      <c r="A252" s="44" t="inlineStr">
        <is>
          <t>L-SB-0251</t>
        </is>
      </c>
      <c r="B252" s="44" t="inlineStr">
        <is>
          <t>R-SB-0250</t>
        </is>
      </c>
      <c r="C252" s="46" t="inlineStr">
        <is>
          <t>항공</t>
        </is>
      </c>
      <c r="D252" s="46" t="inlineStr">
        <is>
          <t>인천공항</t>
        </is>
      </c>
      <c r="E252" s="44" t="inlineStr">
        <is>
          <t>ICN</t>
        </is>
      </c>
      <c r="F252" s="46" t="inlineStr">
        <is>
          <t>댈러스공항</t>
        </is>
      </c>
      <c r="G252" s="44" t="inlineStr">
        <is>
          <t>DFW</t>
        </is>
      </c>
      <c r="H252" s="45" t="n">
        <v>45681</v>
      </c>
      <c r="I252" s="54" t="n">
        <v>45686</v>
      </c>
      <c r="J252" s="54" t="n">
        <v>45686</v>
      </c>
      <c r="K252" s="55" t="n">
        <v>327.33</v>
      </c>
    </row>
    <row r="253" ht="15" customHeight="1" s="28">
      <c r="A253" s="44" t="inlineStr">
        <is>
          <t>L-SB-0252</t>
        </is>
      </c>
      <c r="B253" s="44" t="inlineStr">
        <is>
          <t>R-SB-0251</t>
        </is>
      </c>
      <c r="C253" s="46" t="inlineStr">
        <is>
          <t>항공</t>
        </is>
      </c>
      <c r="D253" s="46" t="inlineStr">
        <is>
          <t>인천공항</t>
        </is>
      </c>
      <c r="E253" s="44" t="inlineStr">
        <is>
          <t>ICN</t>
        </is>
      </c>
      <c r="F253" s="46" t="inlineStr">
        <is>
          <t>댈러스공항</t>
        </is>
      </c>
      <c r="G253" s="44" t="inlineStr">
        <is>
          <t>DFW</t>
        </is>
      </c>
      <c r="H253" s="45" t="n">
        <v>45681</v>
      </c>
      <c r="I253" s="54" t="n">
        <v>45686</v>
      </c>
      <c r="J253" s="54" t="n">
        <v>45686</v>
      </c>
      <c r="K253" s="55" t="n">
        <v>238.6</v>
      </c>
    </row>
    <row r="254" ht="15" customHeight="1" s="28">
      <c r="A254" s="44" t="inlineStr">
        <is>
          <t>L-SB-0253</t>
        </is>
      </c>
      <c r="B254" s="44" t="inlineStr">
        <is>
          <t>R-SB-0252</t>
        </is>
      </c>
      <c r="C254" s="46" t="inlineStr">
        <is>
          <t>항공</t>
        </is>
      </c>
      <c r="D254" s="46" t="inlineStr">
        <is>
          <t>인천공항</t>
        </is>
      </c>
      <c r="E254" s="44" t="inlineStr">
        <is>
          <t>ICN</t>
        </is>
      </c>
      <c r="F254" s="46" t="inlineStr">
        <is>
          <t>몬테레이공항</t>
        </is>
      </c>
      <c r="G254" s="44" t="inlineStr">
        <is>
          <t>MTY</t>
        </is>
      </c>
      <c r="H254" s="45" t="n">
        <v>45681</v>
      </c>
      <c r="I254" s="54" t="n">
        <v>45685</v>
      </c>
      <c r="J254" s="54" t="n">
        <v>45685</v>
      </c>
      <c r="K254" s="55" t="n">
        <v>135</v>
      </c>
    </row>
    <row r="255" ht="15" customHeight="1" s="28">
      <c r="A255" s="44" t="inlineStr">
        <is>
          <t>L-SB-0254</t>
        </is>
      </c>
      <c r="B255" s="44" t="inlineStr">
        <is>
          <t>R-SB-0253</t>
        </is>
      </c>
      <c r="C255" s="46" t="inlineStr">
        <is>
          <t>항공</t>
        </is>
      </c>
      <c r="D255" s="46" t="inlineStr">
        <is>
          <t>인천공항</t>
        </is>
      </c>
      <c r="E255" s="44" t="inlineStr">
        <is>
          <t>ICN</t>
        </is>
      </c>
      <c r="F255" s="46" t="inlineStr">
        <is>
          <t>뭄바이공항</t>
        </is>
      </c>
      <c r="G255" s="44" t="inlineStr">
        <is>
          <t>BOM</t>
        </is>
      </c>
      <c r="H255" s="45" t="n">
        <v>45681</v>
      </c>
      <c r="I255" s="54" t="n">
        <v>45684</v>
      </c>
      <c r="J255" s="54" t="n">
        <v>45684</v>
      </c>
      <c r="K255" s="55" t="n">
        <v>135</v>
      </c>
    </row>
    <row r="256" ht="15" customHeight="1" s="28">
      <c r="A256" s="44" t="inlineStr">
        <is>
          <t>L-SB-0255</t>
        </is>
      </c>
      <c r="B256" s="44" t="inlineStr">
        <is>
          <t>R-SB-0254</t>
        </is>
      </c>
      <c r="C256" s="46" t="inlineStr">
        <is>
          <t>항공</t>
        </is>
      </c>
      <c r="D256" s="46" t="inlineStr">
        <is>
          <t>인천공항</t>
        </is>
      </c>
      <c r="E256" s="44" t="inlineStr">
        <is>
          <t>ICN</t>
        </is>
      </c>
      <c r="F256" s="46" t="inlineStr">
        <is>
          <t>다낭공항</t>
        </is>
      </c>
      <c r="G256" s="44" t="inlineStr">
        <is>
          <t>DAD</t>
        </is>
      </c>
      <c r="H256" s="45" t="n">
        <v>45683</v>
      </c>
      <c r="I256" s="54" t="n">
        <v>45688</v>
      </c>
      <c r="J256" s="54" t="n">
        <v>45688</v>
      </c>
      <c r="K256" s="55" t="n">
        <v>135</v>
      </c>
    </row>
    <row r="257" ht="15" customHeight="1" s="28">
      <c r="A257" s="44" t="inlineStr">
        <is>
          <t>L-SB-0256</t>
        </is>
      </c>
      <c r="B257" s="44" t="inlineStr">
        <is>
          <t>R-SB-0255</t>
        </is>
      </c>
      <c r="C257" s="46" t="inlineStr">
        <is>
          <t>항공</t>
        </is>
      </c>
      <c r="D257" s="46" t="inlineStr">
        <is>
          <t>인천공항</t>
        </is>
      </c>
      <c r="E257" s="44" t="inlineStr">
        <is>
          <t>ICN</t>
        </is>
      </c>
      <c r="F257" s="46" t="inlineStr">
        <is>
          <t>몬테레이공항</t>
        </is>
      </c>
      <c r="G257" s="44" t="inlineStr">
        <is>
          <t>MTY</t>
        </is>
      </c>
      <c r="H257" s="45" t="n">
        <v>45722</v>
      </c>
      <c r="I257" s="54" t="n">
        <v>45726</v>
      </c>
      <c r="J257" s="54" t="n">
        <v>45725</v>
      </c>
      <c r="K257" s="55" t="n">
        <v>175.89</v>
      </c>
    </row>
    <row r="258" ht="15" customHeight="1" s="28">
      <c r="A258" s="44" t="inlineStr">
        <is>
          <t>L-SB-0257</t>
        </is>
      </c>
      <c r="B258" s="44" t="inlineStr">
        <is>
          <t>R-SB-0256</t>
        </is>
      </c>
      <c r="C258" s="46" t="inlineStr">
        <is>
          <t>항공</t>
        </is>
      </c>
      <c r="D258" s="46" t="inlineStr">
        <is>
          <t>인천공항</t>
        </is>
      </c>
      <c r="E258" s="44" t="inlineStr">
        <is>
          <t>ICN</t>
        </is>
      </c>
      <c r="F258" s="46" t="inlineStr">
        <is>
          <t>다낭공항</t>
        </is>
      </c>
      <c r="G258" s="44" t="inlineStr">
        <is>
          <t>DAD</t>
        </is>
      </c>
      <c r="H258" s="45" t="n">
        <v>45722</v>
      </c>
      <c r="I258" s="54" t="n">
        <v>45725</v>
      </c>
      <c r="J258" s="54" t="n">
        <v>45725</v>
      </c>
      <c r="K258" s="55" t="n">
        <v>135</v>
      </c>
    </row>
    <row r="259" ht="15" customHeight="1" s="28">
      <c r="A259" s="44" t="inlineStr">
        <is>
          <t>L-SB-0258</t>
        </is>
      </c>
      <c r="B259" s="44" t="inlineStr">
        <is>
          <t>R-SB-0257</t>
        </is>
      </c>
      <c r="C259" s="46" t="inlineStr">
        <is>
          <t>항공</t>
        </is>
      </c>
      <c r="D259" s="46" t="inlineStr">
        <is>
          <t>인천공항</t>
        </is>
      </c>
      <c r="E259" s="44" t="inlineStr">
        <is>
          <t>ICN</t>
        </is>
      </c>
      <c r="F259" s="46" t="inlineStr">
        <is>
          <t>뭄바이공항</t>
        </is>
      </c>
      <c r="G259" s="44" t="inlineStr">
        <is>
          <t>BOM</t>
        </is>
      </c>
      <c r="H259" s="45" t="n">
        <v>45722</v>
      </c>
      <c r="I259" s="54" t="n">
        <v>45725</v>
      </c>
      <c r="J259" s="54" t="n">
        <v>45725</v>
      </c>
      <c r="K259" s="55" t="n">
        <v>135</v>
      </c>
    </row>
    <row r="260" ht="15" customHeight="1" s="28">
      <c r="A260" s="44" t="inlineStr">
        <is>
          <t>L-SB-0259</t>
        </is>
      </c>
      <c r="B260" s="44" t="inlineStr">
        <is>
          <t>R-SB-0258</t>
        </is>
      </c>
      <c r="C260" s="46" t="inlineStr">
        <is>
          <t>항공</t>
        </is>
      </c>
      <c r="D260" s="46" t="inlineStr">
        <is>
          <t>인천공항</t>
        </is>
      </c>
      <c r="E260" s="44" t="inlineStr">
        <is>
          <t>ICN</t>
        </is>
      </c>
      <c r="F260" s="46" t="inlineStr">
        <is>
          <t>다낭공항</t>
        </is>
      </c>
      <c r="G260" s="44" t="inlineStr">
        <is>
          <t>DAD</t>
        </is>
      </c>
      <c r="H260" s="45" t="n">
        <v>45724</v>
      </c>
      <c r="I260" s="54" t="n">
        <v>45727</v>
      </c>
      <c r="J260" s="54" t="n">
        <v>45727</v>
      </c>
      <c r="K260" s="55" t="n">
        <v>189.93</v>
      </c>
    </row>
    <row r="261" ht="15" customHeight="1" s="28">
      <c r="A261" s="44" t="inlineStr">
        <is>
          <t>L-SB-0260</t>
        </is>
      </c>
      <c r="B261" s="44" t="inlineStr">
        <is>
          <t>R-SB-0259</t>
        </is>
      </c>
      <c r="C261" s="46" t="inlineStr">
        <is>
          <t>해상</t>
        </is>
      </c>
      <c r="D261" s="46" t="inlineStr">
        <is>
          <t>부산항</t>
        </is>
      </c>
      <c r="E261" s="44" t="inlineStr">
        <is>
          <t>KRPUS</t>
        </is>
      </c>
      <c r="F261" s="46" t="inlineStr">
        <is>
          <t>다낭항</t>
        </is>
      </c>
      <c r="G261" s="44" t="inlineStr">
        <is>
          <t>VNDAD</t>
        </is>
      </c>
      <c r="H261" s="45" t="n">
        <v>45727</v>
      </c>
      <c r="I261" s="54" t="n">
        <v>45748</v>
      </c>
      <c r="K261" s="55" t="n">
        <v>530</v>
      </c>
    </row>
    <row r="262" ht="15" customHeight="1" s="28">
      <c r="A262" s="44" t="inlineStr">
        <is>
          <t>L-SB-0261</t>
        </is>
      </c>
      <c r="B262" s="44" t="inlineStr">
        <is>
          <t>R-SB-0260</t>
        </is>
      </c>
      <c r="C262" s="46" t="inlineStr">
        <is>
          <t>항공</t>
        </is>
      </c>
      <c r="D262" s="46" t="inlineStr">
        <is>
          <t>인천공항</t>
        </is>
      </c>
      <c r="E262" s="44" t="inlineStr">
        <is>
          <t>ICN</t>
        </is>
      </c>
      <c r="F262" s="46" t="inlineStr">
        <is>
          <t>뭄바이공항</t>
        </is>
      </c>
      <c r="G262" s="44" t="inlineStr">
        <is>
          <t>BOM</t>
        </is>
      </c>
      <c r="H262" s="45" t="n">
        <v>45730</v>
      </c>
      <c r="I262" s="54" t="n">
        <v>45732</v>
      </c>
      <c r="J262" s="54" t="n">
        <v>45731</v>
      </c>
      <c r="K262" s="55" t="n">
        <v>135</v>
      </c>
    </row>
    <row r="263" ht="15" customHeight="1" s="28">
      <c r="A263" s="44" t="inlineStr">
        <is>
          <t>L-SB-0262</t>
        </is>
      </c>
      <c r="B263" s="44" t="inlineStr">
        <is>
          <t>R-SB-0261</t>
        </is>
      </c>
      <c r="C263" s="46" t="inlineStr">
        <is>
          <t>항공</t>
        </is>
      </c>
      <c r="D263" s="46" t="inlineStr">
        <is>
          <t>인천공항</t>
        </is>
      </c>
      <c r="E263" s="44" t="inlineStr">
        <is>
          <t>ICN</t>
        </is>
      </c>
      <c r="F263" s="46" t="inlineStr">
        <is>
          <t>몬테레이공항</t>
        </is>
      </c>
      <c r="G263" s="44" t="inlineStr">
        <is>
          <t>MTY</t>
        </is>
      </c>
      <c r="H263" s="45" t="n">
        <v>45737</v>
      </c>
      <c r="I263" s="54" t="n">
        <v>45742</v>
      </c>
      <c r="J263" s="54" t="n">
        <v>45742</v>
      </c>
      <c r="K263" s="55" t="n">
        <v>150.42</v>
      </c>
    </row>
    <row r="264" ht="15" customHeight="1" s="28">
      <c r="A264" s="44" t="inlineStr">
        <is>
          <t>L-SB-0263</t>
        </is>
      </c>
      <c r="B264" s="44" t="inlineStr">
        <is>
          <t>R-SB-0262</t>
        </is>
      </c>
      <c r="C264" s="46" t="inlineStr">
        <is>
          <t>항공</t>
        </is>
      </c>
      <c r="D264" s="46" t="inlineStr">
        <is>
          <t>인천공항</t>
        </is>
      </c>
      <c r="E264" s="44" t="inlineStr">
        <is>
          <t>ICN</t>
        </is>
      </c>
      <c r="F264" s="46" t="inlineStr">
        <is>
          <t>몬테레이공항</t>
        </is>
      </c>
      <c r="G264" s="44" t="inlineStr">
        <is>
          <t>MTY</t>
        </is>
      </c>
      <c r="H264" s="45" t="n">
        <v>45737</v>
      </c>
      <c r="I264" s="54" t="n">
        <v>45740</v>
      </c>
      <c r="J264" s="54" t="n">
        <v>45740</v>
      </c>
      <c r="K264" s="55" t="n">
        <v>135</v>
      </c>
    </row>
    <row r="265" ht="15" customHeight="1" s="28">
      <c r="A265" s="44" t="inlineStr">
        <is>
          <t>L-SB-0264</t>
        </is>
      </c>
      <c r="B265" s="44" t="inlineStr">
        <is>
          <t>R-SB-0263</t>
        </is>
      </c>
      <c r="C265" s="46" t="inlineStr">
        <is>
          <t>항공</t>
        </is>
      </c>
      <c r="D265" s="46" t="inlineStr">
        <is>
          <t>인천공항</t>
        </is>
      </c>
      <c r="E265" s="44" t="inlineStr">
        <is>
          <t>ICN</t>
        </is>
      </c>
      <c r="F265" s="46" t="inlineStr">
        <is>
          <t>댈러스공항</t>
        </is>
      </c>
      <c r="G265" s="44" t="inlineStr">
        <is>
          <t>DFW</t>
        </is>
      </c>
      <c r="H265" s="45" t="n">
        <v>45738</v>
      </c>
      <c r="I265" s="54" t="n">
        <v>45743</v>
      </c>
      <c r="J265" s="54" t="n">
        <v>45743</v>
      </c>
      <c r="K265" s="55" t="n">
        <v>239.75</v>
      </c>
    </row>
    <row r="266" ht="15" customHeight="1" s="28">
      <c r="A266" s="44" t="inlineStr">
        <is>
          <t>L-SB-0265</t>
        </is>
      </c>
      <c r="B266" s="44" t="inlineStr">
        <is>
          <t>R-SB-0264</t>
        </is>
      </c>
      <c r="C266" s="46" t="inlineStr">
        <is>
          <t>항공</t>
        </is>
      </c>
      <c r="D266" s="46" t="inlineStr">
        <is>
          <t>인천공항</t>
        </is>
      </c>
      <c r="E266" s="44" t="inlineStr">
        <is>
          <t>ICN</t>
        </is>
      </c>
      <c r="F266" s="46" t="inlineStr">
        <is>
          <t>댈러스공항</t>
        </is>
      </c>
      <c r="G266" s="44" t="inlineStr">
        <is>
          <t>DFW</t>
        </is>
      </c>
      <c r="H266" s="45" t="n">
        <v>45739</v>
      </c>
      <c r="I266" s="54" t="n">
        <v>45742</v>
      </c>
      <c r="J266" s="54" t="n">
        <v>45742</v>
      </c>
      <c r="K266" s="55" t="n">
        <v>192.08</v>
      </c>
    </row>
    <row r="267" ht="15" customHeight="1" s="28">
      <c r="A267" s="44" t="inlineStr">
        <is>
          <t>L-SB-0266</t>
        </is>
      </c>
      <c r="B267" s="44" t="inlineStr">
        <is>
          <t>R-SB-0265</t>
        </is>
      </c>
      <c r="C267" s="46" t="inlineStr">
        <is>
          <t>항공</t>
        </is>
      </c>
      <c r="D267" s="46" t="inlineStr">
        <is>
          <t>인천공항</t>
        </is>
      </c>
      <c r="E267" s="44" t="inlineStr">
        <is>
          <t>ICN</t>
        </is>
      </c>
      <c r="F267" s="46" t="inlineStr">
        <is>
          <t>뭄바이공항</t>
        </is>
      </c>
      <c r="G267" s="44" t="inlineStr">
        <is>
          <t>BOM</t>
        </is>
      </c>
      <c r="H267" s="45" t="n">
        <v>45740</v>
      </c>
      <c r="I267" s="54" t="n">
        <v>45742</v>
      </c>
      <c r="J267" s="54" t="n">
        <v>45742</v>
      </c>
      <c r="K267" s="55" t="n">
        <v>135</v>
      </c>
    </row>
    <row r="268" ht="15" customHeight="1" s="28">
      <c r="A268" s="44" t="inlineStr">
        <is>
          <t>L-SB-0267</t>
        </is>
      </c>
      <c r="B268" s="44" t="inlineStr">
        <is>
          <t>R-SB-0266</t>
        </is>
      </c>
      <c r="C268" s="46" t="inlineStr">
        <is>
          <t>항공</t>
        </is>
      </c>
      <c r="D268" s="46" t="inlineStr">
        <is>
          <t>인천공항</t>
        </is>
      </c>
      <c r="E268" s="44" t="inlineStr">
        <is>
          <t>ICN</t>
        </is>
      </c>
      <c r="F268" s="46" t="inlineStr">
        <is>
          <t>몬테레이공항</t>
        </is>
      </c>
      <c r="G268" s="44" t="inlineStr">
        <is>
          <t>MTY</t>
        </is>
      </c>
      <c r="H268" s="45" t="n">
        <v>45750</v>
      </c>
      <c r="I268" s="54" t="n">
        <v>45753</v>
      </c>
      <c r="J268" s="54" t="n">
        <v>45753</v>
      </c>
      <c r="K268" s="55" t="n">
        <v>198.98</v>
      </c>
    </row>
    <row r="269" ht="15" customHeight="1" s="28">
      <c r="A269" s="44" t="inlineStr">
        <is>
          <t>L-SB-0268</t>
        </is>
      </c>
      <c r="B269" s="44" t="inlineStr">
        <is>
          <t>R-SB-0267</t>
        </is>
      </c>
      <c r="C269" s="46" t="inlineStr">
        <is>
          <t>항공</t>
        </is>
      </c>
      <c r="D269" s="46" t="inlineStr">
        <is>
          <t>인천공항</t>
        </is>
      </c>
      <c r="E269" s="44" t="inlineStr">
        <is>
          <t>ICN</t>
        </is>
      </c>
      <c r="F269" s="46" t="inlineStr">
        <is>
          <t>댈러스공항</t>
        </is>
      </c>
      <c r="G269" s="44" t="inlineStr">
        <is>
          <t>DFW</t>
        </is>
      </c>
      <c r="H269" s="45" t="n">
        <v>45754</v>
      </c>
      <c r="I269" s="54" t="n">
        <v>45759</v>
      </c>
      <c r="J269" s="54" t="n">
        <v>45759</v>
      </c>
      <c r="K269" s="55" t="n">
        <v>325.88</v>
      </c>
    </row>
    <row r="270" ht="15" customHeight="1" s="28">
      <c r="A270" s="44" t="inlineStr">
        <is>
          <t>L-SB-0269</t>
        </is>
      </c>
      <c r="B270" s="44" t="inlineStr">
        <is>
          <t>R-SB-0268</t>
        </is>
      </c>
      <c r="C270" s="46" t="inlineStr">
        <is>
          <t>항공</t>
        </is>
      </c>
      <c r="D270" s="46" t="inlineStr">
        <is>
          <t>인천공항</t>
        </is>
      </c>
      <c r="E270" s="44" t="inlineStr">
        <is>
          <t>ICN</t>
        </is>
      </c>
      <c r="F270" s="46" t="inlineStr">
        <is>
          <t>댈러스공항</t>
        </is>
      </c>
      <c r="G270" s="44" t="inlineStr">
        <is>
          <t>DFW</t>
        </is>
      </c>
      <c r="H270" s="45" t="n">
        <v>45757</v>
      </c>
      <c r="I270" s="54" t="n">
        <v>45760</v>
      </c>
      <c r="J270" s="54" t="n">
        <v>45760</v>
      </c>
      <c r="K270" s="55" t="n">
        <v>144.98</v>
      </c>
    </row>
    <row r="271" ht="15" customHeight="1" s="28">
      <c r="A271" s="44" t="inlineStr">
        <is>
          <t>L-SB-0270</t>
        </is>
      </c>
      <c r="B271" s="44" t="inlineStr">
        <is>
          <t>R-SB-0269</t>
        </is>
      </c>
      <c r="C271" s="46" t="inlineStr">
        <is>
          <t>항공</t>
        </is>
      </c>
      <c r="D271" s="46" t="inlineStr">
        <is>
          <t>인천공항</t>
        </is>
      </c>
      <c r="E271" s="44" t="inlineStr">
        <is>
          <t>ICN</t>
        </is>
      </c>
      <c r="F271" s="46" t="inlineStr">
        <is>
          <t>몬테레이공항</t>
        </is>
      </c>
      <c r="G271" s="44" t="inlineStr">
        <is>
          <t>MTY</t>
        </is>
      </c>
      <c r="H271" s="45" t="n">
        <v>45760</v>
      </c>
      <c r="I271" s="54" t="n">
        <v>45764</v>
      </c>
      <c r="J271" s="54" t="n">
        <v>45764</v>
      </c>
      <c r="K271" s="55" t="n">
        <v>146.8</v>
      </c>
    </row>
    <row r="272" ht="15" customHeight="1" s="28">
      <c r="A272" s="44" t="inlineStr">
        <is>
          <t>L-SB-0271</t>
        </is>
      </c>
      <c r="B272" s="44" t="inlineStr">
        <is>
          <t>R-SB-0270</t>
        </is>
      </c>
      <c r="C272" s="46" t="inlineStr">
        <is>
          <t>항공</t>
        </is>
      </c>
      <c r="D272" s="46" t="inlineStr">
        <is>
          <t>인천공항</t>
        </is>
      </c>
      <c r="E272" s="44" t="inlineStr">
        <is>
          <t>ICN</t>
        </is>
      </c>
      <c r="F272" s="46" t="inlineStr">
        <is>
          <t>다낭공항</t>
        </is>
      </c>
      <c r="G272" s="44" t="inlineStr">
        <is>
          <t>DAD</t>
        </is>
      </c>
      <c r="H272" s="45" t="n">
        <v>45760</v>
      </c>
      <c r="I272" s="54" t="n">
        <v>45763</v>
      </c>
      <c r="J272" s="54" t="n">
        <v>45763</v>
      </c>
      <c r="K272" s="55" t="n">
        <v>156.34</v>
      </c>
    </row>
    <row r="273" ht="15" customHeight="1" s="28">
      <c r="A273" s="44" t="inlineStr">
        <is>
          <t>L-SB-0272</t>
        </is>
      </c>
      <c r="B273" s="44" t="inlineStr">
        <is>
          <t>R-SB-0271</t>
        </is>
      </c>
      <c r="C273" s="46" t="inlineStr">
        <is>
          <t>항공</t>
        </is>
      </c>
      <c r="D273" s="46" t="inlineStr">
        <is>
          <t>인천공항</t>
        </is>
      </c>
      <c r="E273" s="44" t="inlineStr">
        <is>
          <t>ICN</t>
        </is>
      </c>
      <c r="F273" s="46" t="inlineStr">
        <is>
          <t>뭄바이공항</t>
        </is>
      </c>
      <c r="G273" s="44" t="inlineStr">
        <is>
          <t>BOM</t>
        </is>
      </c>
      <c r="H273" s="45" t="n">
        <v>45763</v>
      </c>
      <c r="I273" s="54" t="n">
        <v>45765</v>
      </c>
      <c r="J273" s="54" t="n">
        <v>45764</v>
      </c>
      <c r="K273" s="55" t="n">
        <v>135</v>
      </c>
    </row>
    <row r="274" ht="15" customHeight="1" s="28">
      <c r="A274" s="44" t="inlineStr">
        <is>
          <t>L-SB-0273</t>
        </is>
      </c>
      <c r="B274" s="44" t="inlineStr">
        <is>
          <t>R-SB-0272</t>
        </is>
      </c>
      <c r="C274" s="46" t="inlineStr">
        <is>
          <t>항공</t>
        </is>
      </c>
      <c r="D274" s="46" t="inlineStr">
        <is>
          <t>인천공항</t>
        </is>
      </c>
      <c r="E274" s="44" t="inlineStr">
        <is>
          <t>ICN</t>
        </is>
      </c>
      <c r="F274" s="46" t="inlineStr">
        <is>
          <t>다낭공항</t>
        </is>
      </c>
      <c r="G274" s="44" t="inlineStr">
        <is>
          <t>DAD</t>
        </is>
      </c>
      <c r="H274" s="45" t="n">
        <v>45766</v>
      </c>
      <c r="I274" s="54" t="n">
        <v>45769</v>
      </c>
      <c r="J274" s="54" t="n">
        <v>45769</v>
      </c>
      <c r="K274" s="55" t="n">
        <v>135</v>
      </c>
    </row>
    <row r="275" ht="15" customHeight="1" s="28">
      <c r="A275" s="44" t="inlineStr">
        <is>
          <t>L-SB-0274</t>
        </is>
      </c>
      <c r="B275" s="44" t="inlineStr">
        <is>
          <t>R-SB-0273</t>
        </is>
      </c>
      <c r="C275" s="46" t="inlineStr">
        <is>
          <t>항공</t>
        </is>
      </c>
      <c r="D275" s="46" t="inlineStr">
        <is>
          <t>인천공항</t>
        </is>
      </c>
      <c r="E275" s="44" t="inlineStr">
        <is>
          <t>ICN</t>
        </is>
      </c>
      <c r="F275" s="46" t="inlineStr">
        <is>
          <t>뭄바이공항</t>
        </is>
      </c>
      <c r="G275" s="44" t="inlineStr">
        <is>
          <t>BOM</t>
        </is>
      </c>
      <c r="H275" s="45" t="n">
        <v>45772</v>
      </c>
      <c r="I275" s="54" t="n">
        <v>45776</v>
      </c>
      <c r="J275" s="54" t="n">
        <v>45777</v>
      </c>
      <c r="K275" s="55" t="n">
        <v>135</v>
      </c>
    </row>
    <row r="276" ht="15" customHeight="1" s="28">
      <c r="A276" s="44" t="inlineStr">
        <is>
          <t>L-SB-0275</t>
        </is>
      </c>
      <c r="B276" s="44" t="inlineStr">
        <is>
          <t>R-SB-0274</t>
        </is>
      </c>
      <c r="C276" s="46" t="inlineStr">
        <is>
          <t>항공</t>
        </is>
      </c>
      <c r="D276" s="46" t="inlineStr">
        <is>
          <t>인천공항</t>
        </is>
      </c>
      <c r="E276" s="44" t="inlineStr">
        <is>
          <t>ICN</t>
        </is>
      </c>
      <c r="F276" s="46" t="inlineStr">
        <is>
          <t>몬테레이공항</t>
        </is>
      </c>
      <c r="G276" s="44" t="inlineStr">
        <is>
          <t>MTY</t>
        </is>
      </c>
      <c r="H276" s="45" t="n">
        <v>45774</v>
      </c>
      <c r="I276" s="54" t="n">
        <v>45778</v>
      </c>
      <c r="J276" s="54" t="n">
        <v>45778</v>
      </c>
      <c r="K276" s="55" t="n">
        <v>135</v>
      </c>
    </row>
    <row r="277" ht="15" customHeight="1" s="28">
      <c r="A277" s="44" t="inlineStr">
        <is>
          <t>L-SB-0276</t>
        </is>
      </c>
      <c r="B277" s="44" t="inlineStr">
        <is>
          <t>R-SB-0275</t>
        </is>
      </c>
      <c r="C277" s="46" t="inlineStr">
        <is>
          <t>항공</t>
        </is>
      </c>
      <c r="D277" s="46" t="inlineStr">
        <is>
          <t>인천공항</t>
        </is>
      </c>
      <c r="E277" s="44" t="inlineStr">
        <is>
          <t>ICN</t>
        </is>
      </c>
      <c r="F277" s="46" t="inlineStr">
        <is>
          <t>뭄바이공항</t>
        </is>
      </c>
      <c r="G277" s="44" t="inlineStr">
        <is>
          <t>BOM</t>
        </is>
      </c>
      <c r="H277" s="45" t="n">
        <v>45781</v>
      </c>
      <c r="I277" s="54" t="n">
        <v>45784</v>
      </c>
      <c r="J277" s="54" t="n">
        <v>45784</v>
      </c>
      <c r="K277" s="55" t="n">
        <v>135</v>
      </c>
    </row>
    <row r="278" ht="15" customHeight="1" s="28">
      <c r="A278" s="44" t="inlineStr">
        <is>
          <t>L-SB-0277</t>
        </is>
      </c>
      <c r="B278" s="44" t="inlineStr">
        <is>
          <t>R-SB-0276</t>
        </is>
      </c>
      <c r="C278" s="46" t="inlineStr">
        <is>
          <t>항공</t>
        </is>
      </c>
      <c r="D278" s="46" t="inlineStr">
        <is>
          <t>인천공항</t>
        </is>
      </c>
      <c r="E278" s="44" t="inlineStr">
        <is>
          <t>ICN</t>
        </is>
      </c>
      <c r="F278" s="46" t="inlineStr">
        <is>
          <t>댈러스공항</t>
        </is>
      </c>
      <c r="G278" s="44" t="inlineStr">
        <is>
          <t>DFW</t>
        </is>
      </c>
      <c r="H278" s="45" t="n">
        <v>45786</v>
      </c>
      <c r="I278" s="54" t="n">
        <v>45789</v>
      </c>
      <c r="J278" s="54" t="n">
        <v>45789</v>
      </c>
      <c r="K278" s="55" t="n">
        <v>429.34</v>
      </c>
    </row>
    <row r="279" ht="15" customHeight="1" s="28">
      <c r="A279" s="44" t="inlineStr">
        <is>
          <t>L-SB-0278</t>
        </is>
      </c>
      <c r="B279" s="44" t="inlineStr">
        <is>
          <t>R-SB-0277</t>
        </is>
      </c>
      <c r="C279" s="46" t="inlineStr">
        <is>
          <t>항공</t>
        </is>
      </c>
      <c r="D279" s="46" t="inlineStr">
        <is>
          <t>인천공항</t>
        </is>
      </c>
      <c r="E279" s="44" t="inlineStr">
        <is>
          <t>ICN</t>
        </is>
      </c>
      <c r="F279" s="46" t="inlineStr">
        <is>
          <t>몬테레이공항</t>
        </is>
      </c>
      <c r="G279" s="44" t="inlineStr">
        <is>
          <t>MTY</t>
        </is>
      </c>
      <c r="H279" s="45" t="n">
        <v>45789</v>
      </c>
      <c r="I279" s="54" t="n">
        <v>45793</v>
      </c>
      <c r="J279" s="54" t="n">
        <v>45793</v>
      </c>
      <c r="K279" s="55" t="n">
        <v>200.76</v>
      </c>
    </row>
    <row r="280" ht="15" customHeight="1" s="28">
      <c r="A280" s="44" t="inlineStr">
        <is>
          <t>L-SB-0279</t>
        </is>
      </c>
      <c r="B280" s="44" t="inlineStr">
        <is>
          <t>R-SB-0278</t>
        </is>
      </c>
      <c r="C280" s="46" t="inlineStr">
        <is>
          <t>항공</t>
        </is>
      </c>
      <c r="D280" s="46" t="inlineStr">
        <is>
          <t>인천공항</t>
        </is>
      </c>
      <c r="E280" s="44" t="inlineStr">
        <is>
          <t>ICN</t>
        </is>
      </c>
      <c r="F280" s="46" t="inlineStr">
        <is>
          <t>댈러스공항</t>
        </is>
      </c>
      <c r="G280" s="44" t="inlineStr">
        <is>
          <t>DFW</t>
        </is>
      </c>
      <c r="H280" s="45" t="n">
        <v>45791</v>
      </c>
      <c r="I280" s="54" t="n">
        <v>45795</v>
      </c>
      <c r="J280" s="54" t="n">
        <v>45795</v>
      </c>
      <c r="K280" s="55" t="n">
        <v>171.84</v>
      </c>
    </row>
    <row r="281" ht="15" customHeight="1" s="28">
      <c r="A281" s="44" t="inlineStr">
        <is>
          <t>L-SB-0280</t>
        </is>
      </c>
      <c r="B281" s="44" t="inlineStr">
        <is>
          <t>R-SB-0279</t>
        </is>
      </c>
      <c r="C281" s="46" t="inlineStr">
        <is>
          <t>항공</t>
        </is>
      </c>
      <c r="D281" s="46" t="inlineStr">
        <is>
          <t>인천공항</t>
        </is>
      </c>
      <c r="E281" s="44" t="inlineStr">
        <is>
          <t>ICN</t>
        </is>
      </c>
      <c r="F281" s="46" t="inlineStr">
        <is>
          <t>뭄바이공항</t>
        </is>
      </c>
      <c r="G281" s="44" t="inlineStr">
        <is>
          <t>BOM</t>
        </is>
      </c>
      <c r="H281" s="45" t="n">
        <v>45792</v>
      </c>
      <c r="I281" s="54" t="n">
        <v>45794</v>
      </c>
      <c r="J281" s="54" t="n">
        <v>45794</v>
      </c>
      <c r="K281" s="55" t="n">
        <v>135</v>
      </c>
    </row>
    <row r="282" ht="15" customHeight="1" s="28">
      <c r="A282" s="44" t="inlineStr">
        <is>
          <t>L-SB-0281</t>
        </is>
      </c>
      <c r="B282" s="44" t="inlineStr">
        <is>
          <t>R-SB-0280</t>
        </is>
      </c>
      <c r="C282" s="46" t="inlineStr">
        <is>
          <t>항공</t>
        </is>
      </c>
      <c r="D282" s="46" t="inlineStr">
        <is>
          <t>인천공항</t>
        </is>
      </c>
      <c r="E282" s="44" t="inlineStr">
        <is>
          <t>ICN</t>
        </is>
      </c>
      <c r="F282" s="46" t="inlineStr">
        <is>
          <t>몬테레이공항</t>
        </is>
      </c>
      <c r="G282" s="44" t="inlineStr">
        <is>
          <t>MTY</t>
        </is>
      </c>
      <c r="H282" s="45" t="n">
        <v>45793</v>
      </c>
      <c r="I282" s="54" t="n">
        <v>45797</v>
      </c>
      <c r="J282" s="54" t="n">
        <v>45797</v>
      </c>
      <c r="K282" s="55" t="n">
        <v>165.45</v>
      </c>
    </row>
    <row r="283" ht="15" customHeight="1" s="28">
      <c r="A283" s="44" t="inlineStr">
        <is>
          <t>L-SB-0282</t>
        </is>
      </c>
      <c r="B283" s="44" t="inlineStr">
        <is>
          <t>R-SB-0281</t>
        </is>
      </c>
      <c r="C283" s="46" t="inlineStr">
        <is>
          <t>해상</t>
        </is>
      </c>
      <c r="D283" s="46" t="inlineStr">
        <is>
          <t>부산항</t>
        </is>
      </c>
      <c r="E283" s="44" t="inlineStr">
        <is>
          <t>KRPUS</t>
        </is>
      </c>
      <c r="F283" s="46" t="inlineStr">
        <is>
          <t>다낭항</t>
        </is>
      </c>
      <c r="G283" s="44" t="inlineStr">
        <is>
          <t>VNDAD</t>
        </is>
      </c>
      <c r="H283" s="45" t="n">
        <v>45794</v>
      </c>
      <c r="I283" s="54" t="n">
        <v>45816</v>
      </c>
      <c r="J283" s="54" t="n">
        <v>45816</v>
      </c>
      <c r="K283" s="55" t="n">
        <v>530</v>
      </c>
    </row>
    <row r="284" ht="15" customHeight="1" s="28">
      <c r="A284" s="44" t="inlineStr">
        <is>
          <t>L-SB-0283</t>
        </is>
      </c>
      <c r="B284" s="44" t="inlineStr">
        <is>
          <t>R-SB-0282</t>
        </is>
      </c>
      <c r="C284" s="46" t="inlineStr">
        <is>
          <t>항공</t>
        </is>
      </c>
      <c r="D284" s="46" t="inlineStr">
        <is>
          <t>인천공항</t>
        </is>
      </c>
      <c r="E284" s="44" t="inlineStr">
        <is>
          <t>ICN</t>
        </is>
      </c>
      <c r="F284" s="46" t="inlineStr">
        <is>
          <t>다낭공항</t>
        </is>
      </c>
      <c r="G284" s="44" t="inlineStr">
        <is>
          <t>DAD</t>
        </is>
      </c>
      <c r="H284" s="45" t="n">
        <v>45796</v>
      </c>
      <c r="I284" s="54" t="n">
        <v>45799</v>
      </c>
      <c r="J284" s="54" t="n">
        <v>45799</v>
      </c>
      <c r="K284" s="55" t="n">
        <v>207.88</v>
      </c>
    </row>
    <row r="285" ht="15" customHeight="1" s="28">
      <c r="A285" s="44" t="inlineStr">
        <is>
          <t>L-SB-0284</t>
        </is>
      </c>
      <c r="B285" s="44" t="inlineStr">
        <is>
          <t>R-SB-0283</t>
        </is>
      </c>
      <c r="C285" s="46" t="inlineStr">
        <is>
          <t>항공</t>
        </is>
      </c>
      <c r="D285" s="46" t="inlineStr">
        <is>
          <t>인천공항</t>
        </is>
      </c>
      <c r="E285" s="44" t="inlineStr">
        <is>
          <t>ICN</t>
        </is>
      </c>
      <c r="F285" s="46" t="inlineStr">
        <is>
          <t>몬테레이공항</t>
        </is>
      </c>
      <c r="G285" s="44" t="inlineStr">
        <is>
          <t>MTY</t>
        </is>
      </c>
      <c r="H285" s="45" t="n">
        <v>45797</v>
      </c>
      <c r="I285" s="54" t="n">
        <v>45800</v>
      </c>
      <c r="J285" s="54" t="n">
        <v>45800</v>
      </c>
      <c r="K285" s="55" t="n">
        <v>135</v>
      </c>
    </row>
    <row r="286" ht="15" customHeight="1" s="28">
      <c r="A286" s="44" t="inlineStr">
        <is>
          <t>L-SB-0285</t>
        </is>
      </c>
      <c r="B286" s="44" t="inlineStr">
        <is>
          <t>R-SB-0284</t>
        </is>
      </c>
      <c r="C286" s="46" t="inlineStr">
        <is>
          <t>항공</t>
        </is>
      </c>
      <c r="D286" s="46" t="inlineStr">
        <is>
          <t>인천공항</t>
        </is>
      </c>
      <c r="E286" s="44" t="inlineStr">
        <is>
          <t>ICN</t>
        </is>
      </c>
      <c r="F286" s="46" t="inlineStr">
        <is>
          <t>뭄바이공항</t>
        </is>
      </c>
      <c r="G286" s="44" t="inlineStr">
        <is>
          <t>BOM</t>
        </is>
      </c>
      <c r="H286" s="45" t="n">
        <v>45802</v>
      </c>
      <c r="I286" s="54" t="n">
        <v>45804</v>
      </c>
      <c r="J286" s="54" t="n">
        <v>45804</v>
      </c>
      <c r="K286" s="55" t="n">
        <v>135</v>
      </c>
    </row>
    <row r="287" ht="15" customHeight="1" s="28">
      <c r="A287" s="44" t="inlineStr">
        <is>
          <t>L-SB-0286</t>
        </is>
      </c>
      <c r="B287" s="44" t="inlineStr">
        <is>
          <t>R-SB-0285</t>
        </is>
      </c>
      <c r="C287" s="46" t="inlineStr">
        <is>
          <t>항공</t>
        </is>
      </c>
      <c r="D287" s="46" t="inlineStr">
        <is>
          <t>인천공항</t>
        </is>
      </c>
      <c r="E287" s="44" t="inlineStr">
        <is>
          <t>ICN</t>
        </is>
      </c>
      <c r="F287" s="46" t="inlineStr">
        <is>
          <t>댈러스공항</t>
        </is>
      </c>
      <c r="G287" s="44" t="inlineStr">
        <is>
          <t>DFW</t>
        </is>
      </c>
      <c r="H287" s="45" t="n">
        <v>45803</v>
      </c>
      <c r="I287" s="54" t="n">
        <v>45807</v>
      </c>
      <c r="J287" s="54" t="n">
        <v>45807</v>
      </c>
      <c r="K287" s="55" t="n">
        <v>239.75</v>
      </c>
    </row>
    <row r="288" ht="15" customHeight="1" s="28">
      <c r="A288" s="44" t="inlineStr">
        <is>
          <t>L-SB-0287</t>
        </is>
      </c>
      <c r="B288" s="44" t="inlineStr">
        <is>
          <t>R-SB-0286</t>
        </is>
      </c>
      <c r="C288" s="46" t="inlineStr">
        <is>
          <t>항공</t>
        </is>
      </c>
      <c r="D288" s="46" t="inlineStr">
        <is>
          <t>인천공항</t>
        </is>
      </c>
      <c r="E288" s="44" t="inlineStr">
        <is>
          <t>ICN</t>
        </is>
      </c>
      <c r="F288" s="46" t="inlineStr">
        <is>
          <t>댈러스공항</t>
        </is>
      </c>
      <c r="G288" s="44" t="inlineStr">
        <is>
          <t>DFW</t>
        </is>
      </c>
      <c r="H288" s="45" t="n">
        <v>45812</v>
      </c>
      <c r="I288" s="54" t="n">
        <v>45816</v>
      </c>
      <c r="J288" s="54" t="n">
        <v>45816</v>
      </c>
      <c r="K288" s="55" t="n">
        <v>181.4</v>
      </c>
    </row>
    <row r="289" ht="15" customHeight="1" s="28">
      <c r="A289" s="44" t="inlineStr">
        <is>
          <t>L-SB-0288</t>
        </is>
      </c>
      <c r="B289" s="44" t="inlineStr">
        <is>
          <t>R-SB-0287</t>
        </is>
      </c>
      <c r="C289" s="46" t="inlineStr">
        <is>
          <t>항공</t>
        </is>
      </c>
      <c r="D289" s="46" t="inlineStr">
        <is>
          <t>인천공항</t>
        </is>
      </c>
      <c r="E289" s="44" t="inlineStr">
        <is>
          <t>ICN</t>
        </is>
      </c>
      <c r="F289" s="46" t="inlineStr">
        <is>
          <t>뭄바이공항</t>
        </is>
      </c>
      <c r="G289" s="44" t="inlineStr">
        <is>
          <t>BOM</t>
        </is>
      </c>
      <c r="H289" s="45" t="n">
        <v>45821</v>
      </c>
      <c r="I289" s="54" t="n">
        <v>45823</v>
      </c>
      <c r="J289" s="54" t="n">
        <v>45823</v>
      </c>
      <c r="K289" s="55" t="n">
        <v>135</v>
      </c>
    </row>
    <row r="290" ht="15" customHeight="1" s="28">
      <c r="A290" s="44" t="inlineStr">
        <is>
          <t>L-SB-0289</t>
        </is>
      </c>
      <c r="B290" s="44" t="inlineStr">
        <is>
          <t>R-SB-0288</t>
        </is>
      </c>
      <c r="C290" s="46" t="inlineStr">
        <is>
          <t>항공</t>
        </is>
      </c>
      <c r="D290" s="46" t="inlineStr">
        <is>
          <t>인천공항</t>
        </is>
      </c>
      <c r="E290" s="44" t="inlineStr">
        <is>
          <t>ICN</t>
        </is>
      </c>
      <c r="F290" s="46" t="inlineStr">
        <is>
          <t>몬테레이공항</t>
        </is>
      </c>
      <c r="G290" s="44" t="inlineStr">
        <is>
          <t>MTY</t>
        </is>
      </c>
      <c r="H290" s="45" t="n">
        <v>45825</v>
      </c>
      <c r="I290" s="54" t="n">
        <v>45829</v>
      </c>
      <c r="J290" s="54" t="n">
        <v>45829</v>
      </c>
      <c r="K290" s="55" t="n">
        <v>209.43</v>
      </c>
    </row>
    <row r="291" ht="15" customHeight="1" s="28">
      <c r="A291" s="44" t="inlineStr">
        <is>
          <t>L-SB-0290</t>
        </is>
      </c>
      <c r="B291" s="44" t="inlineStr">
        <is>
          <t>R-SB-0289</t>
        </is>
      </c>
      <c r="C291" s="46" t="inlineStr">
        <is>
          <t>항공</t>
        </is>
      </c>
      <c r="D291" s="46" t="inlineStr">
        <is>
          <t>인천공항</t>
        </is>
      </c>
      <c r="E291" s="44" t="inlineStr">
        <is>
          <t>ICN</t>
        </is>
      </c>
      <c r="F291" s="46" t="inlineStr">
        <is>
          <t>몬테레이공항</t>
        </is>
      </c>
      <c r="G291" s="44" t="inlineStr">
        <is>
          <t>MTY</t>
        </is>
      </c>
      <c r="H291" s="45" t="n">
        <v>45826</v>
      </c>
      <c r="I291" s="54" t="n">
        <v>45830</v>
      </c>
      <c r="J291" s="54" t="n">
        <v>45830</v>
      </c>
      <c r="K291" s="55" t="n">
        <v>135</v>
      </c>
    </row>
    <row r="292" ht="15" customHeight="1" s="28">
      <c r="A292" s="44" t="inlineStr">
        <is>
          <t>L-SB-0291</t>
        </is>
      </c>
      <c r="B292" s="44" t="inlineStr">
        <is>
          <t>R-SB-0290</t>
        </is>
      </c>
      <c r="C292" s="46" t="inlineStr">
        <is>
          <t>항공</t>
        </is>
      </c>
      <c r="D292" s="46" t="inlineStr">
        <is>
          <t>인천공항</t>
        </is>
      </c>
      <c r="E292" s="44" t="inlineStr">
        <is>
          <t>ICN</t>
        </is>
      </c>
      <c r="F292" s="46" t="inlineStr">
        <is>
          <t>다낭공항</t>
        </is>
      </c>
      <c r="G292" s="44" t="inlineStr">
        <is>
          <t>DAD</t>
        </is>
      </c>
      <c r="H292" s="45" t="n">
        <v>45829</v>
      </c>
      <c r="I292" s="54" t="n">
        <v>45832</v>
      </c>
      <c r="J292" s="54" t="n">
        <v>45832</v>
      </c>
      <c r="K292" s="55" t="n">
        <v>206.05</v>
      </c>
    </row>
    <row r="293" ht="15" customHeight="1" s="28">
      <c r="A293" s="44" t="inlineStr">
        <is>
          <t>L-SB-0292</t>
        </is>
      </c>
      <c r="B293" s="44" t="inlineStr">
        <is>
          <t>R-SB-0291</t>
        </is>
      </c>
      <c r="C293" s="46" t="inlineStr">
        <is>
          <t>항공</t>
        </is>
      </c>
      <c r="D293" s="46" t="inlineStr">
        <is>
          <t>인천공항</t>
        </is>
      </c>
      <c r="E293" s="44" t="inlineStr">
        <is>
          <t>ICN</t>
        </is>
      </c>
      <c r="F293" s="46" t="inlineStr">
        <is>
          <t>뭄바이공항</t>
        </is>
      </c>
      <c r="G293" s="44" t="inlineStr">
        <is>
          <t>BOM</t>
        </is>
      </c>
      <c r="H293" s="45" t="n">
        <v>45830</v>
      </c>
      <c r="I293" s="54" t="n">
        <v>45832</v>
      </c>
      <c r="J293" s="54" t="n">
        <v>45832</v>
      </c>
      <c r="K293" s="55" t="n">
        <v>135</v>
      </c>
    </row>
    <row r="294" ht="15" customHeight="1" s="28">
      <c r="A294" s="44" t="inlineStr">
        <is>
          <t>L-SB-0293</t>
        </is>
      </c>
      <c r="B294" s="44" t="inlineStr">
        <is>
          <t>R-SB-0292</t>
        </is>
      </c>
      <c r="C294" s="46" t="inlineStr">
        <is>
          <t>항공</t>
        </is>
      </c>
      <c r="D294" s="46" t="inlineStr">
        <is>
          <t>인천공항</t>
        </is>
      </c>
      <c r="E294" s="44" t="inlineStr">
        <is>
          <t>ICN</t>
        </is>
      </c>
      <c r="F294" s="46" t="inlineStr">
        <is>
          <t>댈러스공항</t>
        </is>
      </c>
      <c r="G294" s="44" t="inlineStr">
        <is>
          <t>DFW</t>
        </is>
      </c>
      <c r="H294" s="45" t="n">
        <v>45832</v>
      </c>
      <c r="I294" s="54" t="n">
        <v>45837</v>
      </c>
      <c r="J294" s="54" t="n">
        <v>45839</v>
      </c>
      <c r="K294" s="55" t="n">
        <v>430.47</v>
      </c>
    </row>
    <row r="295" ht="15" customHeight="1" s="28">
      <c r="A295" s="44" t="inlineStr">
        <is>
          <t>L-SB-0294</t>
        </is>
      </c>
      <c r="B295" s="44" t="inlineStr">
        <is>
          <t>R-SB-0293</t>
        </is>
      </c>
      <c r="C295" s="46" t="inlineStr">
        <is>
          <t>항공</t>
        </is>
      </c>
      <c r="D295" s="46" t="inlineStr">
        <is>
          <t>인천공항</t>
        </is>
      </c>
      <c r="E295" s="44" t="inlineStr">
        <is>
          <t>ICN</t>
        </is>
      </c>
      <c r="F295" s="46" t="inlineStr">
        <is>
          <t>다낭공항</t>
        </is>
      </c>
      <c r="G295" s="44" t="inlineStr">
        <is>
          <t>DAD</t>
        </is>
      </c>
      <c r="H295" s="45" t="n">
        <v>45833</v>
      </c>
      <c r="I295" s="54" t="n">
        <v>45836</v>
      </c>
      <c r="J295" s="54" t="n">
        <v>45836</v>
      </c>
      <c r="K295" s="55" t="n">
        <v>135</v>
      </c>
    </row>
    <row r="296" ht="15" customHeight="1" s="28">
      <c r="A296" s="44" t="inlineStr">
        <is>
          <t>L-SB-0295</t>
        </is>
      </c>
      <c r="B296" s="44" t="inlineStr">
        <is>
          <t>R-SB-0294</t>
        </is>
      </c>
      <c r="C296" s="46" t="inlineStr">
        <is>
          <t>항공</t>
        </is>
      </c>
      <c r="D296" s="46" t="inlineStr">
        <is>
          <t>인천공항</t>
        </is>
      </c>
      <c r="E296" s="44" t="inlineStr">
        <is>
          <t>ICN</t>
        </is>
      </c>
      <c r="F296" s="46" t="inlineStr">
        <is>
          <t>댈러스공항</t>
        </is>
      </c>
      <c r="G296" s="44" t="inlineStr">
        <is>
          <t>DFW</t>
        </is>
      </c>
      <c r="H296" s="45" t="n">
        <v>45847</v>
      </c>
      <c r="I296" s="54" t="n">
        <v>45850</v>
      </c>
      <c r="J296" s="54" t="n">
        <v>45852</v>
      </c>
      <c r="K296" s="55" t="n">
        <v>376.31</v>
      </c>
    </row>
    <row r="297" ht="15" customHeight="1" s="28">
      <c r="A297" s="44" t="inlineStr">
        <is>
          <t>L-SB-0296</t>
        </is>
      </c>
      <c r="B297" s="44" t="inlineStr">
        <is>
          <t>R-SB-0295</t>
        </is>
      </c>
      <c r="C297" s="46" t="inlineStr">
        <is>
          <t>항공</t>
        </is>
      </c>
      <c r="D297" s="46" t="inlineStr">
        <is>
          <t>인천공항</t>
        </is>
      </c>
      <c r="E297" s="44" t="inlineStr">
        <is>
          <t>ICN</t>
        </is>
      </c>
      <c r="F297" s="46" t="inlineStr">
        <is>
          <t>댈러스공항</t>
        </is>
      </c>
      <c r="G297" s="44" t="inlineStr">
        <is>
          <t>DFW</t>
        </is>
      </c>
      <c r="H297" s="45" t="n">
        <v>45850</v>
      </c>
      <c r="I297" s="54" t="n">
        <v>45853</v>
      </c>
      <c r="J297" s="54" t="n">
        <v>45852</v>
      </c>
      <c r="K297" s="55" t="n">
        <v>169.35</v>
      </c>
    </row>
    <row r="298" ht="15" customHeight="1" s="28">
      <c r="A298" s="44" t="inlineStr">
        <is>
          <t>L-SB-0297</t>
        </is>
      </c>
      <c r="B298" s="44" t="inlineStr">
        <is>
          <t>R-SB-0296</t>
        </is>
      </c>
      <c r="C298" s="46" t="inlineStr">
        <is>
          <t>항공</t>
        </is>
      </c>
      <c r="D298" s="46" t="inlineStr">
        <is>
          <t>인천공항</t>
        </is>
      </c>
      <c r="E298" s="44" t="inlineStr">
        <is>
          <t>ICN</t>
        </is>
      </c>
      <c r="F298" s="46" t="inlineStr">
        <is>
          <t>몬테레이공항</t>
        </is>
      </c>
      <c r="G298" s="44" t="inlineStr">
        <is>
          <t>MTY</t>
        </is>
      </c>
      <c r="H298" s="45" t="n">
        <v>45850</v>
      </c>
      <c r="I298" s="54" t="n">
        <v>45853</v>
      </c>
      <c r="J298" s="54" t="n">
        <v>45855</v>
      </c>
      <c r="K298" s="55" t="n">
        <v>156.55</v>
      </c>
    </row>
    <row r="299" ht="15" customHeight="1" s="28">
      <c r="A299" s="44" t="inlineStr">
        <is>
          <t>L-SB-0298</t>
        </is>
      </c>
      <c r="B299" s="44" t="inlineStr">
        <is>
          <t>R-SB-0297</t>
        </is>
      </c>
      <c r="C299" s="46" t="inlineStr">
        <is>
          <t>항공</t>
        </is>
      </c>
      <c r="D299" s="46" t="inlineStr">
        <is>
          <t>인천공항</t>
        </is>
      </c>
      <c r="E299" s="44" t="inlineStr">
        <is>
          <t>ICN</t>
        </is>
      </c>
      <c r="F299" s="46" t="inlineStr">
        <is>
          <t>몬테레이공항</t>
        </is>
      </c>
      <c r="G299" s="44" t="inlineStr">
        <is>
          <t>MTY</t>
        </is>
      </c>
      <c r="H299" s="45" t="n">
        <v>45850</v>
      </c>
      <c r="I299" s="54" t="n">
        <v>45854</v>
      </c>
      <c r="J299" s="54" t="n">
        <v>45854</v>
      </c>
      <c r="K299" s="55" t="n">
        <v>135</v>
      </c>
    </row>
    <row r="300" ht="15" customHeight="1" s="28">
      <c r="A300" s="44" t="inlineStr">
        <is>
          <t>L-SB-0299</t>
        </is>
      </c>
      <c r="B300" s="44" t="inlineStr">
        <is>
          <t>R-SB-0298</t>
        </is>
      </c>
      <c r="C300" s="46" t="inlineStr">
        <is>
          <t>항공</t>
        </is>
      </c>
      <c r="D300" s="46" t="inlineStr">
        <is>
          <t>인천공항</t>
        </is>
      </c>
      <c r="E300" s="44" t="inlineStr">
        <is>
          <t>ICN</t>
        </is>
      </c>
      <c r="F300" s="46" t="inlineStr">
        <is>
          <t>다낭공항</t>
        </is>
      </c>
      <c r="G300" s="44" t="inlineStr">
        <is>
          <t>DAD</t>
        </is>
      </c>
      <c r="H300" s="45" t="n">
        <v>45851</v>
      </c>
      <c r="I300" s="54" t="n">
        <v>45855</v>
      </c>
      <c r="J300" s="54" t="n">
        <v>45855</v>
      </c>
      <c r="K300" s="55" t="n">
        <v>206.96</v>
      </c>
    </row>
    <row r="301" ht="15" customHeight="1" s="28">
      <c r="A301" s="44" t="inlineStr">
        <is>
          <t>L-SB-0300</t>
        </is>
      </c>
      <c r="B301" s="44" t="inlineStr">
        <is>
          <t>R-SB-0299</t>
        </is>
      </c>
      <c r="C301" s="46" t="inlineStr">
        <is>
          <t>항공</t>
        </is>
      </c>
      <c r="D301" s="46" t="inlineStr">
        <is>
          <t>인천공항</t>
        </is>
      </c>
      <c r="E301" s="44" t="inlineStr">
        <is>
          <t>ICN</t>
        </is>
      </c>
      <c r="F301" s="46" t="inlineStr">
        <is>
          <t>뭄바이공항</t>
        </is>
      </c>
      <c r="G301" s="44" t="inlineStr">
        <is>
          <t>BOM</t>
        </is>
      </c>
      <c r="H301" s="45" t="n">
        <v>45852</v>
      </c>
      <c r="I301" s="54" t="n">
        <v>45854</v>
      </c>
      <c r="J301" s="54" t="n">
        <v>45854</v>
      </c>
      <c r="K301" s="55" t="n">
        <v>135</v>
      </c>
    </row>
    <row r="302" ht="15" customHeight="1" s="28">
      <c r="A302" s="44" t="inlineStr">
        <is>
          <t>L-SB-0301</t>
        </is>
      </c>
      <c r="B302" s="44" t="inlineStr">
        <is>
          <t>R-SB-0300</t>
        </is>
      </c>
      <c r="C302" s="46" t="inlineStr">
        <is>
          <t>항공</t>
        </is>
      </c>
      <c r="D302" s="46" t="inlineStr">
        <is>
          <t>인천공항</t>
        </is>
      </c>
      <c r="E302" s="44" t="inlineStr">
        <is>
          <t>ICN</t>
        </is>
      </c>
      <c r="F302" s="46" t="inlineStr">
        <is>
          <t>다낭공항</t>
        </is>
      </c>
      <c r="G302" s="44" t="inlineStr">
        <is>
          <t>DAD</t>
        </is>
      </c>
      <c r="H302" s="45" t="n">
        <v>45854</v>
      </c>
      <c r="I302" s="54" t="n">
        <v>45857</v>
      </c>
      <c r="J302" s="54" t="n">
        <v>45857</v>
      </c>
      <c r="K302" s="55" t="n">
        <v>135</v>
      </c>
    </row>
    <row r="303" ht="15" customHeight="1" s="28">
      <c r="A303" s="44" t="inlineStr">
        <is>
          <t>L-SB-0302</t>
        </is>
      </c>
      <c r="B303" s="44" t="inlineStr">
        <is>
          <t>R-SB-0301</t>
        </is>
      </c>
      <c r="C303" s="46" t="inlineStr">
        <is>
          <t>항공</t>
        </is>
      </c>
      <c r="D303" s="46" t="inlineStr">
        <is>
          <t>인천공항</t>
        </is>
      </c>
      <c r="E303" s="44" t="inlineStr">
        <is>
          <t>ICN</t>
        </is>
      </c>
      <c r="F303" s="46" t="inlineStr">
        <is>
          <t>몬테레이공항</t>
        </is>
      </c>
      <c r="G303" s="44" t="inlineStr">
        <is>
          <t>MTY</t>
        </is>
      </c>
      <c r="H303" s="45" t="n">
        <v>45860</v>
      </c>
      <c r="I303" s="54" t="n">
        <v>45864</v>
      </c>
      <c r="J303" s="54" t="n">
        <v>45864</v>
      </c>
    </row>
    <row r="304" ht="15" customHeight="1" s="28">
      <c r="A304" s="44" t="inlineStr">
        <is>
          <t>L-SB-0303</t>
        </is>
      </c>
      <c r="B304" s="44" t="inlineStr">
        <is>
          <t>R-SB-0302</t>
        </is>
      </c>
      <c r="C304" s="46" t="inlineStr">
        <is>
          <t>항공</t>
        </is>
      </c>
      <c r="D304" s="46" t="inlineStr">
        <is>
          <t>인천공항</t>
        </is>
      </c>
      <c r="E304" s="44" t="inlineStr">
        <is>
          <t>ICN</t>
        </is>
      </c>
      <c r="F304" s="46" t="inlineStr">
        <is>
          <t>뭄바이공항</t>
        </is>
      </c>
      <c r="G304" s="44" t="inlineStr">
        <is>
          <t>BOM</t>
        </is>
      </c>
      <c r="H304" s="45" t="n">
        <v>45861</v>
      </c>
      <c r="I304" s="54" t="n">
        <v>45865</v>
      </c>
      <c r="J304" s="54" t="n">
        <v>45865</v>
      </c>
      <c r="K304" s="55" t="n">
        <v>135</v>
      </c>
    </row>
    <row r="305" ht="15" customHeight="1" s="28">
      <c r="A305" s="44" t="inlineStr">
        <is>
          <t>L-SB-0304</t>
        </is>
      </c>
      <c r="B305" s="44" t="inlineStr">
        <is>
          <t>R-SB-0303</t>
        </is>
      </c>
      <c r="C305" s="46" t="inlineStr">
        <is>
          <t>항공</t>
        </is>
      </c>
      <c r="D305" s="46" t="inlineStr">
        <is>
          <t>인천공항</t>
        </is>
      </c>
      <c r="E305" s="44" t="inlineStr">
        <is>
          <t>ICN</t>
        </is>
      </c>
      <c r="F305" s="46" t="inlineStr">
        <is>
          <t>댈러스공항</t>
        </is>
      </c>
      <c r="G305" s="44" t="inlineStr">
        <is>
          <t>DFW</t>
        </is>
      </c>
      <c r="H305" s="45" t="n">
        <v>45863</v>
      </c>
      <c r="I305" s="54" t="n">
        <v>45866</v>
      </c>
      <c r="J305" s="54" t="n">
        <v>45866</v>
      </c>
      <c r="K305" s="55" t="n">
        <v>302.76</v>
      </c>
    </row>
    <row r="306" ht="15" customHeight="1" s="28">
      <c r="A306" s="44" t="inlineStr">
        <is>
          <t>L-SB-0305</t>
        </is>
      </c>
      <c r="B306" s="44" t="inlineStr">
        <is>
          <t>R-SB-0304</t>
        </is>
      </c>
      <c r="C306" s="46" t="inlineStr">
        <is>
          <t>항공</t>
        </is>
      </c>
      <c r="D306" s="46" t="inlineStr">
        <is>
          <t>인천공항</t>
        </is>
      </c>
      <c r="E306" s="44" t="inlineStr">
        <is>
          <t>ICN</t>
        </is>
      </c>
      <c r="F306" s="46" t="inlineStr">
        <is>
          <t>뭄바이공항</t>
        </is>
      </c>
      <c r="G306" s="44" t="inlineStr">
        <is>
          <t>BOM</t>
        </is>
      </c>
      <c r="H306" s="45" t="n">
        <v>45873</v>
      </c>
      <c r="I306" s="54" t="n">
        <v>45876</v>
      </c>
      <c r="J306" s="54" t="n">
        <v>45875</v>
      </c>
      <c r="K306" s="55" t="n">
        <v>135</v>
      </c>
    </row>
    <row r="307" ht="15" customHeight="1" s="28">
      <c r="A307" s="44" t="inlineStr">
        <is>
          <t>L-SB-0306</t>
        </is>
      </c>
      <c r="B307" s="44" t="inlineStr">
        <is>
          <t>R-SB-0305</t>
        </is>
      </c>
      <c r="C307" s="46" t="inlineStr">
        <is>
          <t>해상</t>
        </is>
      </c>
      <c r="D307" s="46" t="inlineStr">
        <is>
          <t>부산항</t>
        </is>
      </c>
      <c r="E307" s="44" t="inlineStr">
        <is>
          <t>KRPUS</t>
        </is>
      </c>
      <c r="F307" s="46" t="inlineStr">
        <is>
          <t>다낭항</t>
        </is>
      </c>
      <c r="G307" s="44" t="inlineStr">
        <is>
          <t>VNDAD</t>
        </is>
      </c>
      <c r="H307" s="45" t="n">
        <v>45874</v>
      </c>
      <c r="I307" s="54" t="n">
        <v>45894</v>
      </c>
      <c r="J307" s="54" t="n">
        <v>45894</v>
      </c>
      <c r="K307" s="55" t="n">
        <v>530</v>
      </c>
    </row>
    <row r="308" ht="15" customHeight="1" s="28">
      <c r="A308" s="44" t="inlineStr">
        <is>
          <t>L-SB-0307</t>
        </is>
      </c>
      <c r="B308" s="44" t="inlineStr">
        <is>
          <t>R-SB-0306</t>
        </is>
      </c>
      <c r="C308" s="46" t="inlineStr">
        <is>
          <t>항공</t>
        </is>
      </c>
      <c r="D308" s="46" t="inlineStr">
        <is>
          <t>인천공항</t>
        </is>
      </c>
      <c r="E308" s="44" t="inlineStr">
        <is>
          <t>ICN</t>
        </is>
      </c>
      <c r="F308" s="46" t="inlineStr">
        <is>
          <t>몬테레이공항</t>
        </is>
      </c>
      <c r="G308" s="44" t="inlineStr">
        <is>
          <t>MTY</t>
        </is>
      </c>
      <c r="H308" s="45" t="n">
        <v>45876</v>
      </c>
      <c r="I308" s="54" t="n">
        <v>45879</v>
      </c>
      <c r="J308" s="54" t="n">
        <v>45883</v>
      </c>
      <c r="K308" s="55" t="n">
        <v>199.22</v>
      </c>
    </row>
    <row r="309" ht="15" customHeight="1" s="28">
      <c r="A309" s="44" t="inlineStr">
        <is>
          <t>L-SB-0308</t>
        </is>
      </c>
      <c r="B309" s="44" t="inlineStr">
        <is>
          <t>R-SB-0307</t>
        </is>
      </c>
      <c r="C309" s="46" t="inlineStr">
        <is>
          <t>항공</t>
        </is>
      </c>
      <c r="D309" s="46" t="inlineStr">
        <is>
          <t>인천공항</t>
        </is>
      </c>
      <c r="E309" s="44" t="inlineStr">
        <is>
          <t>ICN</t>
        </is>
      </c>
      <c r="F309" s="46" t="inlineStr">
        <is>
          <t>뭄바이공항</t>
        </is>
      </c>
      <c r="G309" s="44" t="inlineStr">
        <is>
          <t>BOM</t>
        </is>
      </c>
      <c r="H309" s="45" t="n">
        <v>45880</v>
      </c>
      <c r="I309" s="54" t="n">
        <v>45883</v>
      </c>
      <c r="J309" s="54" t="n">
        <v>45885</v>
      </c>
      <c r="K309" s="55" t="n">
        <v>135</v>
      </c>
    </row>
    <row r="310" ht="15" customHeight="1" s="28">
      <c r="A310" s="44" t="inlineStr">
        <is>
          <t>L-SB-0309</t>
        </is>
      </c>
      <c r="B310" s="44" t="inlineStr">
        <is>
          <t>R-SB-0308</t>
        </is>
      </c>
      <c r="C310" s="46" t="inlineStr">
        <is>
          <t>항공</t>
        </is>
      </c>
      <c r="D310" s="46" t="inlineStr">
        <is>
          <t>인천공항</t>
        </is>
      </c>
      <c r="E310" s="44" t="inlineStr">
        <is>
          <t>ICN</t>
        </is>
      </c>
      <c r="F310" s="46" t="inlineStr">
        <is>
          <t>다낭공항</t>
        </is>
      </c>
      <c r="G310" s="44" t="inlineStr">
        <is>
          <t>DAD</t>
        </is>
      </c>
      <c r="H310" s="45" t="n">
        <v>45881</v>
      </c>
      <c r="I310" s="54" t="n">
        <v>45884</v>
      </c>
      <c r="J310" s="54" t="n">
        <v>45883</v>
      </c>
      <c r="K310" s="55" t="n">
        <v>204.2</v>
      </c>
    </row>
    <row r="311" ht="15" customHeight="1" s="28">
      <c r="A311" s="44" t="inlineStr">
        <is>
          <t>L-SB-0310</t>
        </is>
      </c>
      <c r="B311" s="44" t="inlineStr">
        <is>
          <t>R-SB-0309</t>
        </is>
      </c>
      <c r="C311" s="46" t="inlineStr">
        <is>
          <t>항공</t>
        </is>
      </c>
      <c r="D311" s="46" t="inlineStr">
        <is>
          <t>인천공항</t>
        </is>
      </c>
      <c r="E311" s="44" t="inlineStr">
        <is>
          <t>ICN</t>
        </is>
      </c>
      <c r="F311" s="46" t="inlineStr">
        <is>
          <t>댈러스공항</t>
        </is>
      </c>
      <c r="G311" s="44" t="inlineStr">
        <is>
          <t>DFW</t>
        </is>
      </c>
      <c r="H311" s="45" t="n">
        <v>45884</v>
      </c>
      <c r="I311" s="54" t="n">
        <v>45887</v>
      </c>
      <c r="K311" s="55" t="n">
        <v>478.75</v>
      </c>
    </row>
    <row r="312" ht="15" customHeight="1" s="28">
      <c r="A312" s="44" t="inlineStr">
        <is>
          <t>L-SB-0311</t>
        </is>
      </c>
      <c r="B312" s="44" t="inlineStr">
        <is>
          <t>R-SB-0310</t>
        </is>
      </c>
      <c r="C312" s="46" t="inlineStr">
        <is>
          <t>항공</t>
        </is>
      </c>
      <c r="D312" s="46" t="inlineStr">
        <is>
          <t>인천공항</t>
        </is>
      </c>
      <c r="E312" s="44" t="inlineStr">
        <is>
          <t>ICN</t>
        </is>
      </c>
      <c r="F312" s="46" t="inlineStr">
        <is>
          <t>몬테레이공항</t>
        </is>
      </c>
      <c r="G312" s="44" t="inlineStr">
        <is>
          <t>MTY</t>
        </is>
      </c>
      <c r="H312" s="45" t="n">
        <v>45884</v>
      </c>
      <c r="I312" s="54" t="n">
        <v>45888</v>
      </c>
      <c r="J312" s="54" t="n">
        <v>45890</v>
      </c>
      <c r="K312" s="55" t="n">
        <v>169.5</v>
      </c>
    </row>
    <row r="313" ht="15" customHeight="1" s="28">
      <c r="A313" s="44" t="inlineStr">
        <is>
          <t>L-SB-0312</t>
        </is>
      </c>
      <c r="B313" s="44" t="inlineStr">
        <is>
          <t>R-SB-0311</t>
        </is>
      </c>
      <c r="C313" s="46" t="inlineStr">
        <is>
          <t>항공</t>
        </is>
      </c>
      <c r="D313" s="46" t="inlineStr">
        <is>
          <t>인천공항</t>
        </is>
      </c>
      <c r="E313" s="44" t="inlineStr">
        <is>
          <t>ICN</t>
        </is>
      </c>
      <c r="F313" s="46" t="inlineStr">
        <is>
          <t>댈러스공항</t>
        </is>
      </c>
      <c r="G313" s="44" t="inlineStr">
        <is>
          <t>DFW</t>
        </is>
      </c>
      <c r="H313" s="45" t="n">
        <v>45889</v>
      </c>
      <c r="I313" s="54" t="n">
        <v>45894</v>
      </c>
      <c r="J313" s="54" t="n">
        <v>45893</v>
      </c>
      <c r="K313" s="55" t="n">
        <v>304.81</v>
      </c>
    </row>
    <row r="314" ht="15" customHeight="1" s="28">
      <c r="A314" s="44" t="inlineStr">
        <is>
          <t>L-SB-0313</t>
        </is>
      </c>
      <c r="B314" s="44" t="inlineStr">
        <is>
          <t>R-SB-0312</t>
        </is>
      </c>
      <c r="C314" s="46" t="inlineStr">
        <is>
          <t>항공</t>
        </is>
      </c>
      <c r="D314" s="46" t="inlineStr">
        <is>
          <t>인천공항</t>
        </is>
      </c>
      <c r="E314" s="44" t="inlineStr">
        <is>
          <t>ICN</t>
        </is>
      </c>
      <c r="F314" s="46" t="inlineStr">
        <is>
          <t>뭄바이공항</t>
        </is>
      </c>
      <c r="G314" s="44" t="inlineStr">
        <is>
          <t>BOM</t>
        </is>
      </c>
      <c r="H314" s="45" t="n">
        <v>45890</v>
      </c>
      <c r="I314" s="54" t="n">
        <v>45892</v>
      </c>
      <c r="J314" s="54" t="n">
        <v>45893</v>
      </c>
      <c r="K314" s="55" t="n">
        <v>135</v>
      </c>
    </row>
    <row r="315" ht="15" customHeight="1" s="28">
      <c r="A315" s="44" t="inlineStr">
        <is>
          <t>L-SB-0314</t>
        </is>
      </c>
      <c r="B315" s="44" t="inlineStr">
        <is>
          <t>R-SB-0313</t>
        </is>
      </c>
      <c r="C315" s="46" t="inlineStr">
        <is>
          <t>항공</t>
        </is>
      </c>
      <c r="D315" s="46" t="inlineStr">
        <is>
          <t>인천공항</t>
        </is>
      </c>
      <c r="E315" s="44" t="inlineStr">
        <is>
          <t>ICN</t>
        </is>
      </c>
      <c r="F315" s="46" t="inlineStr">
        <is>
          <t>댈러스공항</t>
        </is>
      </c>
      <c r="G315" s="44" t="inlineStr">
        <is>
          <t>DFW</t>
        </is>
      </c>
      <c r="H315" s="45" t="n">
        <v>45893</v>
      </c>
      <c r="I315" s="54" t="n">
        <v>45896</v>
      </c>
      <c r="J315" s="54" t="n">
        <v>45896</v>
      </c>
      <c r="K315" s="55" t="n">
        <v>172.4</v>
      </c>
    </row>
    <row r="316" ht="15" customHeight="1" s="28">
      <c r="A316" s="44" t="inlineStr">
        <is>
          <t>L-SB-0315</t>
        </is>
      </c>
      <c r="B316" s="44" t="inlineStr">
        <is>
          <t>R-SB-0314</t>
        </is>
      </c>
      <c r="C316" s="46" t="inlineStr">
        <is>
          <t>항공</t>
        </is>
      </c>
      <c r="D316" s="46" t="inlineStr">
        <is>
          <t>인천공항</t>
        </is>
      </c>
      <c r="E316" s="44" t="inlineStr">
        <is>
          <t>ICN</t>
        </is>
      </c>
      <c r="F316" s="46" t="inlineStr">
        <is>
          <t>몬테레이공항</t>
        </is>
      </c>
      <c r="G316" s="44" t="inlineStr">
        <is>
          <t>MTY</t>
        </is>
      </c>
      <c r="H316" s="45" t="n">
        <v>45895</v>
      </c>
      <c r="I316" s="54" t="n">
        <v>45898</v>
      </c>
      <c r="J316" s="54" t="n">
        <v>45897</v>
      </c>
      <c r="K316" s="55" t="n">
        <v>135</v>
      </c>
    </row>
    <row r="317" ht="15" customHeight="1" s="28">
      <c r="A317" s="44" t="inlineStr">
        <is>
          <t>L-SB-0316</t>
        </is>
      </c>
      <c r="B317" s="44" t="inlineStr">
        <is>
          <t>R-SB-0315</t>
        </is>
      </c>
      <c r="C317" s="46" t="inlineStr">
        <is>
          <t>항공</t>
        </is>
      </c>
      <c r="D317" s="46" t="inlineStr">
        <is>
          <t>인천공항</t>
        </is>
      </c>
      <c r="E317" s="44" t="inlineStr">
        <is>
          <t>ICN</t>
        </is>
      </c>
      <c r="F317" s="46" t="inlineStr">
        <is>
          <t>댈러스공항</t>
        </is>
      </c>
      <c r="G317" s="44" t="inlineStr">
        <is>
          <t>DFW</t>
        </is>
      </c>
      <c r="H317" s="45" t="n">
        <v>45908</v>
      </c>
      <c r="I317" s="54" t="n">
        <v>45911</v>
      </c>
      <c r="J317" s="54" t="n">
        <v>45913</v>
      </c>
      <c r="K317" s="55" t="n">
        <v>184.61</v>
      </c>
    </row>
    <row r="318" ht="15" customHeight="1" s="28">
      <c r="A318" s="44" t="inlineStr">
        <is>
          <t>L-SB-0317</t>
        </is>
      </c>
      <c r="B318" s="44" t="inlineStr">
        <is>
          <t>R-SB-0316</t>
        </is>
      </c>
      <c r="C318" s="46" t="inlineStr">
        <is>
          <t>항공</t>
        </is>
      </c>
      <c r="D318" s="46" t="inlineStr">
        <is>
          <t>인천공항</t>
        </is>
      </c>
      <c r="E318" s="44" t="inlineStr">
        <is>
          <t>ICN</t>
        </is>
      </c>
      <c r="F318" s="46" t="inlineStr">
        <is>
          <t>뭄바이공항</t>
        </is>
      </c>
      <c r="G318" s="44" t="inlineStr">
        <is>
          <t>BOM</t>
        </is>
      </c>
      <c r="H318" s="45" t="n">
        <v>45909</v>
      </c>
      <c r="I318" s="54" t="n">
        <v>45913</v>
      </c>
      <c r="J318" s="54" t="n">
        <v>45913</v>
      </c>
      <c r="K318" s="55" t="n">
        <v>135</v>
      </c>
    </row>
    <row r="319" ht="15" customHeight="1" s="28">
      <c r="A319" s="44" t="inlineStr">
        <is>
          <t>L-SB-0318</t>
        </is>
      </c>
      <c r="B319" s="44" t="inlineStr">
        <is>
          <t>R-SB-0317</t>
        </is>
      </c>
      <c r="C319" s="46" t="inlineStr">
        <is>
          <t>항공</t>
        </is>
      </c>
      <c r="D319" s="46" t="inlineStr">
        <is>
          <t>인천공항</t>
        </is>
      </c>
      <c r="E319" s="44" t="inlineStr">
        <is>
          <t>ICN</t>
        </is>
      </c>
      <c r="F319" s="46" t="inlineStr">
        <is>
          <t>몬테레이공항</t>
        </is>
      </c>
      <c r="G319" s="44" t="inlineStr">
        <is>
          <t>MTY</t>
        </is>
      </c>
      <c r="H319" s="45" t="n">
        <v>45916</v>
      </c>
      <c r="I319" s="54" t="n">
        <v>45920</v>
      </c>
      <c r="J319" s="54" t="n">
        <v>45921</v>
      </c>
      <c r="K319" s="55" t="n">
        <v>184.3</v>
      </c>
    </row>
    <row r="320" ht="15" customHeight="1" s="28">
      <c r="A320" s="44" t="inlineStr">
        <is>
          <t>L-SB-0319</t>
        </is>
      </c>
      <c r="B320" s="44" t="inlineStr">
        <is>
          <t>R-SB-0318</t>
        </is>
      </c>
      <c r="C320" s="46" t="inlineStr">
        <is>
          <t>항공</t>
        </is>
      </c>
      <c r="D320" s="46" t="inlineStr">
        <is>
          <t>인천공항</t>
        </is>
      </c>
      <c r="E320" s="44" t="inlineStr">
        <is>
          <t>ICN</t>
        </is>
      </c>
      <c r="F320" s="46" t="inlineStr">
        <is>
          <t>뭄바이공항</t>
        </is>
      </c>
      <c r="G320" s="44" t="inlineStr">
        <is>
          <t>BOM</t>
        </is>
      </c>
      <c r="H320" s="45" t="n">
        <v>45917</v>
      </c>
      <c r="I320" s="54" t="n">
        <v>45919</v>
      </c>
      <c r="J320" s="54" t="n">
        <v>45919</v>
      </c>
      <c r="K320" s="55" t="n">
        <v>135</v>
      </c>
    </row>
    <row r="321" ht="15" customHeight="1" s="28">
      <c r="A321" s="44" t="inlineStr">
        <is>
          <t>L-SB-0320</t>
        </is>
      </c>
      <c r="B321" s="44" t="inlineStr">
        <is>
          <t>R-SB-0319</t>
        </is>
      </c>
      <c r="C321" s="46" t="inlineStr">
        <is>
          <t>항공</t>
        </is>
      </c>
      <c r="D321" s="46" t="inlineStr">
        <is>
          <t>인천공항</t>
        </is>
      </c>
      <c r="E321" s="44" t="inlineStr">
        <is>
          <t>ICN</t>
        </is>
      </c>
      <c r="F321" s="46" t="inlineStr">
        <is>
          <t>댈러스공항</t>
        </is>
      </c>
      <c r="G321" s="44" t="inlineStr">
        <is>
          <t>DFW</t>
        </is>
      </c>
      <c r="H321" s="45" t="n">
        <v>45918</v>
      </c>
      <c r="I321" s="54" t="n">
        <v>45921</v>
      </c>
      <c r="J321" s="54" t="n">
        <v>45920</v>
      </c>
      <c r="K321" s="55" t="n">
        <v>348.8</v>
      </c>
    </row>
    <row r="322" ht="15" customHeight="1" s="28">
      <c r="A322" s="44" t="inlineStr">
        <is>
          <t>L-SB-0321</t>
        </is>
      </c>
      <c r="B322" s="44" t="inlineStr">
        <is>
          <t>R-SB-0320</t>
        </is>
      </c>
      <c r="C322" s="46" t="inlineStr">
        <is>
          <t>항공</t>
        </is>
      </c>
      <c r="D322" s="46" t="inlineStr">
        <is>
          <t>인천공항</t>
        </is>
      </c>
      <c r="E322" s="44" t="inlineStr">
        <is>
          <t>ICN</t>
        </is>
      </c>
      <c r="F322" s="46" t="inlineStr">
        <is>
          <t>다낭공항</t>
        </is>
      </c>
      <c r="G322" s="44" t="inlineStr">
        <is>
          <t>DAD</t>
        </is>
      </c>
      <c r="H322" s="45" t="n">
        <v>45921</v>
      </c>
      <c r="I322" s="54" t="n">
        <v>45925</v>
      </c>
      <c r="J322" s="54" t="n">
        <v>45925</v>
      </c>
      <c r="K322" s="55" t="n">
        <v>192.21</v>
      </c>
    </row>
    <row r="323" ht="15" customHeight="1" s="28">
      <c r="A323" s="44" t="inlineStr">
        <is>
          <t>L-SB-0322</t>
        </is>
      </c>
      <c r="B323" s="44" t="inlineStr">
        <is>
          <t>R-SB-0321</t>
        </is>
      </c>
      <c r="C323" s="46" t="inlineStr">
        <is>
          <t>해상</t>
        </is>
      </c>
      <c r="D323" s="46" t="inlineStr">
        <is>
          <t>부산항</t>
        </is>
      </c>
      <c r="E323" s="44" t="inlineStr">
        <is>
          <t>KRPUS</t>
        </is>
      </c>
      <c r="F323" s="46" t="inlineStr">
        <is>
          <t>다낭항</t>
        </is>
      </c>
      <c r="G323" s="44" t="inlineStr">
        <is>
          <t>VNDAD</t>
        </is>
      </c>
      <c r="H323" s="45" t="n">
        <v>45921</v>
      </c>
      <c r="I323" s="54" t="n">
        <v>45943</v>
      </c>
      <c r="J323" s="54" t="n">
        <v>45952</v>
      </c>
      <c r="K323" s="55" t="n">
        <v>530</v>
      </c>
    </row>
    <row r="324" ht="15" customHeight="1" s="28">
      <c r="A324" s="44" t="inlineStr">
        <is>
          <t>L-SB-0323</t>
        </is>
      </c>
      <c r="B324" s="44" t="inlineStr">
        <is>
          <t>R-SB-0322</t>
        </is>
      </c>
      <c r="C324" s="46" t="inlineStr">
        <is>
          <t>항공</t>
        </is>
      </c>
      <c r="D324" s="46" t="inlineStr">
        <is>
          <t>인천공항</t>
        </is>
      </c>
      <c r="E324" s="44" t="inlineStr">
        <is>
          <t>ICN</t>
        </is>
      </c>
      <c r="F324" s="46" t="inlineStr">
        <is>
          <t>다낭공항</t>
        </is>
      </c>
      <c r="G324" s="44" t="inlineStr">
        <is>
          <t>DAD</t>
        </is>
      </c>
      <c r="H324" s="45" t="n">
        <v>45923</v>
      </c>
      <c r="I324" s="54" t="n">
        <v>45927</v>
      </c>
      <c r="J324" s="54" t="n">
        <v>45928</v>
      </c>
      <c r="K324" s="55" t="n">
        <v>135</v>
      </c>
    </row>
    <row r="325" ht="15" customHeight="1" s="28">
      <c r="A325" s="44" t="inlineStr">
        <is>
          <t>L-SB-0324</t>
        </is>
      </c>
      <c r="B325" s="44" t="inlineStr">
        <is>
          <t>R-SB-0323</t>
        </is>
      </c>
      <c r="C325" s="46" t="inlineStr">
        <is>
          <t>항공</t>
        </is>
      </c>
      <c r="D325" s="46" t="inlineStr">
        <is>
          <t>인천공항</t>
        </is>
      </c>
      <c r="E325" s="44" t="inlineStr">
        <is>
          <t>ICN</t>
        </is>
      </c>
      <c r="F325" s="46" t="inlineStr">
        <is>
          <t>뭄바이공항</t>
        </is>
      </c>
      <c r="G325" s="44" t="inlineStr">
        <is>
          <t>BOM</t>
        </is>
      </c>
      <c r="H325" s="45" t="n">
        <v>45923</v>
      </c>
      <c r="I325" s="54" t="n">
        <v>45926</v>
      </c>
      <c r="J325" s="54" t="n">
        <v>45926</v>
      </c>
      <c r="K325" s="55" t="n">
        <v>135</v>
      </c>
    </row>
    <row r="326" ht="15" customHeight="1" s="28">
      <c r="A326" s="44" t="inlineStr">
        <is>
          <t>L-SB-0325</t>
        </is>
      </c>
      <c r="B326" s="44" t="inlineStr">
        <is>
          <t>R-SB-0324</t>
        </is>
      </c>
      <c r="C326" s="46" t="inlineStr">
        <is>
          <t>항공</t>
        </is>
      </c>
      <c r="D326" s="46" t="inlineStr">
        <is>
          <t>인천공항</t>
        </is>
      </c>
      <c r="E326" s="44" t="inlineStr">
        <is>
          <t>ICN</t>
        </is>
      </c>
      <c r="F326" s="46" t="inlineStr">
        <is>
          <t>댈러스공항</t>
        </is>
      </c>
      <c r="G326" s="44" t="inlineStr">
        <is>
          <t>DFW</t>
        </is>
      </c>
      <c r="H326" s="45" t="n">
        <v>45925</v>
      </c>
      <c r="I326" s="54" t="n">
        <v>45930</v>
      </c>
      <c r="J326" s="54" t="n">
        <v>45930</v>
      </c>
      <c r="K326" s="55" t="n">
        <v>245.39</v>
      </c>
    </row>
    <row r="327" ht="15" customHeight="1" s="28">
      <c r="A327" s="44" t="inlineStr">
        <is>
          <t>L-SB-0326</t>
        </is>
      </c>
      <c r="B327" s="44" t="inlineStr">
        <is>
          <t>R-SB-0325</t>
        </is>
      </c>
      <c r="C327" s="46" t="inlineStr">
        <is>
          <t>항공</t>
        </is>
      </c>
      <c r="D327" s="46" t="inlineStr">
        <is>
          <t>인천공항</t>
        </is>
      </c>
      <c r="E327" s="44" t="inlineStr">
        <is>
          <t>ICN</t>
        </is>
      </c>
      <c r="F327" s="46" t="inlineStr">
        <is>
          <t>몬테레이공항</t>
        </is>
      </c>
      <c r="G327" s="44" t="inlineStr">
        <is>
          <t>MTY</t>
        </is>
      </c>
      <c r="H327" s="45" t="n">
        <v>45925</v>
      </c>
      <c r="I327" s="54" t="n">
        <v>45929</v>
      </c>
      <c r="J327" s="54" t="n">
        <v>45929</v>
      </c>
      <c r="K327" s="55" t="n">
        <v>187.87</v>
      </c>
    </row>
    <row r="328" ht="15" customHeight="1" s="28">
      <c r="A328" s="44" t="inlineStr">
        <is>
          <t>L-SB-0327</t>
        </is>
      </c>
      <c r="B328" s="44" t="inlineStr">
        <is>
          <t>R-SB-0326</t>
        </is>
      </c>
      <c r="C328" s="46" t="inlineStr">
        <is>
          <t>항공</t>
        </is>
      </c>
      <c r="D328" s="46" t="inlineStr">
        <is>
          <t>인천공항</t>
        </is>
      </c>
      <c r="E328" s="44" t="inlineStr">
        <is>
          <t>ICN</t>
        </is>
      </c>
      <c r="F328" s="46" t="inlineStr">
        <is>
          <t>몬테레이공항</t>
        </is>
      </c>
      <c r="G328" s="44" t="inlineStr">
        <is>
          <t>MTY</t>
        </is>
      </c>
      <c r="H328" s="45" t="n">
        <v>45935</v>
      </c>
      <c r="I328" s="54" t="n">
        <v>45939</v>
      </c>
      <c r="J328" s="54" t="n">
        <v>45939</v>
      </c>
      <c r="K328" s="55" t="n">
        <v>196.88</v>
      </c>
    </row>
    <row r="329" ht="15" customHeight="1" s="28">
      <c r="A329" s="44" t="inlineStr">
        <is>
          <t>L-SB-0328</t>
        </is>
      </c>
      <c r="B329" s="44" t="inlineStr">
        <is>
          <t>R-SB-0327</t>
        </is>
      </c>
      <c r="C329" s="46" t="inlineStr">
        <is>
          <t>해상</t>
        </is>
      </c>
      <c r="D329" s="46" t="inlineStr">
        <is>
          <t>부산항</t>
        </is>
      </c>
      <c r="E329" s="44" t="inlineStr">
        <is>
          <t>KRPUS</t>
        </is>
      </c>
      <c r="F329" s="46" t="inlineStr">
        <is>
          <t>다낭항</t>
        </is>
      </c>
      <c r="G329" s="44" t="inlineStr">
        <is>
          <t>VNDAD</t>
        </is>
      </c>
      <c r="H329" s="45" t="n">
        <v>45935</v>
      </c>
      <c r="I329" s="54" t="n">
        <v>45958</v>
      </c>
      <c r="J329" s="54" t="n">
        <v>45958</v>
      </c>
      <c r="K329" s="55" t="n">
        <v>530</v>
      </c>
    </row>
    <row r="330" ht="15" customHeight="1" s="28">
      <c r="A330" s="44" t="inlineStr">
        <is>
          <t>L-SB-0329</t>
        </is>
      </c>
      <c r="B330" s="44" t="inlineStr">
        <is>
          <t>R-SB-0328</t>
        </is>
      </c>
      <c r="C330" s="46" t="inlineStr">
        <is>
          <t>항공</t>
        </is>
      </c>
      <c r="D330" s="46" t="inlineStr">
        <is>
          <t>인천공항</t>
        </is>
      </c>
      <c r="E330" s="44" t="inlineStr">
        <is>
          <t>ICN</t>
        </is>
      </c>
      <c r="F330" s="46" t="inlineStr">
        <is>
          <t>다낭공항</t>
        </is>
      </c>
      <c r="G330" s="44" t="inlineStr">
        <is>
          <t>DAD</t>
        </is>
      </c>
      <c r="H330" s="45" t="n">
        <v>45935</v>
      </c>
      <c r="I330" s="54" t="n">
        <v>45940</v>
      </c>
      <c r="J330" s="54" t="n">
        <v>45939</v>
      </c>
      <c r="K330" s="55" t="n">
        <v>135</v>
      </c>
    </row>
    <row r="331" ht="15" customHeight="1" s="28">
      <c r="A331" s="44" t="inlineStr">
        <is>
          <t>L-SB-0330</t>
        </is>
      </c>
      <c r="B331" s="44" t="inlineStr">
        <is>
          <t>R-SB-0329</t>
        </is>
      </c>
      <c r="C331" s="46" t="inlineStr">
        <is>
          <t>항공</t>
        </is>
      </c>
      <c r="D331" s="46" t="inlineStr">
        <is>
          <t>인천공항</t>
        </is>
      </c>
      <c r="E331" s="44" t="inlineStr">
        <is>
          <t>ICN</t>
        </is>
      </c>
      <c r="F331" s="46" t="inlineStr">
        <is>
          <t>뭄바이공항</t>
        </is>
      </c>
      <c r="G331" s="44" t="inlineStr">
        <is>
          <t>BOM</t>
        </is>
      </c>
      <c r="H331" s="45" t="n">
        <v>45937</v>
      </c>
      <c r="I331" s="54" t="n">
        <v>45940</v>
      </c>
      <c r="J331" s="54" t="n">
        <v>45940</v>
      </c>
      <c r="K331" s="55" t="n">
        <v>135</v>
      </c>
    </row>
    <row r="332" ht="15" customHeight="1" s="28">
      <c r="A332" s="44" t="inlineStr">
        <is>
          <t>L-SB-0331</t>
        </is>
      </c>
      <c r="B332" s="44" t="inlineStr">
        <is>
          <t>R-SB-0330</t>
        </is>
      </c>
      <c r="C332" s="46" t="inlineStr">
        <is>
          <t>항공</t>
        </is>
      </c>
      <c r="D332" s="46" t="inlineStr">
        <is>
          <t>인천공항</t>
        </is>
      </c>
      <c r="E332" s="44" t="inlineStr">
        <is>
          <t>ICN</t>
        </is>
      </c>
      <c r="F332" s="46" t="inlineStr">
        <is>
          <t>댈러스공항</t>
        </is>
      </c>
      <c r="G332" s="44" t="inlineStr">
        <is>
          <t>DFW</t>
        </is>
      </c>
      <c r="H332" s="45" t="n">
        <v>45940</v>
      </c>
      <c r="I332" s="54" t="n">
        <v>45944</v>
      </c>
      <c r="J332" s="54" t="n">
        <v>45943</v>
      </c>
      <c r="K332" s="55" t="n">
        <v>187.88</v>
      </c>
    </row>
    <row r="333" ht="15" customHeight="1" s="28">
      <c r="A333" s="44" t="inlineStr">
        <is>
          <t>L-SB-0332</t>
        </is>
      </c>
      <c r="B333" s="44" t="inlineStr">
        <is>
          <t>R-SB-0331</t>
        </is>
      </c>
      <c r="C333" s="46" t="inlineStr">
        <is>
          <t>항공</t>
        </is>
      </c>
      <c r="D333" s="46" t="inlineStr">
        <is>
          <t>인천공항</t>
        </is>
      </c>
      <c r="E333" s="44" t="inlineStr">
        <is>
          <t>ICN</t>
        </is>
      </c>
      <c r="F333" s="46" t="inlineStr">
        <is>
          <t>몬테레이공항</t>
        </is>
      </c>
      <c r="G333" s="44" t="inlineStr">
        <is>
          <t>MTY</t>
        </is>
      </c>
      <c r="H333" s="45" t="n">
        <v>45941</v>
      </c>
      <c r="I333" s="54" t="n">
        <v>45946</v>
      </c>
      <c r="J333" s="54" t="n">
        <v>45949</v>
      </c>
      <c r="K333" s="55" t="n">
        <v>161.6</v>
      </c>
    </row>
    <row r="334" ht="15" customHeight="1" s="28">
      <c r="A334" s="44" t="inlineStr">
        <is>
          <t>L-SB-0333</t>
        </is>
      </c>
      <c r="B334" s="44" t="inlineStr">
        <is>
          <t>R-SB-0332</t>
        </is>
      </c>
      <c r="C334" s="46" t="inlineStr">
        <is>
          <t>항공</t>
        </is>
      </c>
      <c r="D334" s="46" t="inlineStr">
        <is>
          <t>인천공항</t>
        </is>
      </c>
      <c r="E334" s="44" t="inlineStr">
        <is>
          <t>ICN</t>
        </is>
      </c>
      <c r="F334" s="46" t="inlineStr">
        <is>
          <t>댈러스공항</t>
        </is>
      </c>
      <c r="G334" s="44" t="inlineStr">
        <is>
          <t>DFW</t>
        </is>
      </c>
      <c r="H334" s="45" t="n">
        <v>45942</v>
      </c>
      <c r="I334" s="54" t="n">
        <v>45945</v>
      </c>
      <c r="J334" s="54" t="n">
        <v>45945</v>
      </c>
    </row>
    <row r="335" ht="15" customHeight="1" s="28">
      <c r="A335" s="44" t="inlineStr">
        <is>
          <t>L-SB-0334</t>
        </is>
      </c>
      <c r="B335" s="44" t="inlineStr">
        <is>
          <t>R-SB-0333</t>
        </is>
      </c>
      <c r="C335" s="46" t="inlineStr">
        <is>
          <t>항공</t>
        </is>
      </c>
      <c r="D335" s="46" t="inlineStr">
        <is>
          <t>인천공항</t>
        </is>
      </c>
      <c r="E335" s="44" t="inlineStr">
        <is>
          <t>ICN</t>
        </is>
      </c>
      <c r="F335" s="46" t="inlineStr">
        <is>
          <t>몬테레이공항</t>
        </is>
      </c>
      <c r="G335" s="44" t="inlineStr">
        <is>
          <t>MTY</t>
        </is>
      </c>
      <c r="H335" s="45" t="n">
        <v>45946</v>
      </c>
      <c r="I335" s="54" t="n">
        <v>45951</v>
      </c>
      <c r="J335" s="54" t="n">
        <v>45951</v>
      </c>
      <c r="K335" s="55" t="n">
        <v>135</v>
      </c>
    </row>
    <row r="336" ht="15" customHeight="1" s="28">
      <c r="A336" s="44" t="inlineStr">
        <is>
          <t>L-SB-0335</t>
        </is>
      </c>
      <c r="B336" s="44" t="inlineStr">
        <is>
          <t>R-SB-0334</t>
        </is>
      </c>
      <c r="C336" s="46" t="inlineStr">
        <is>
          <t>항공</t>
        </is>
      </c>
      <c r="D336" s="46" t="inlineStr">
        <is>
          <t>인천공항</t>
        </is>
      </c>
      <c r="E336" s="44" t="inlineStr">
        <is>
          <t>ICN</t>
        </is>
      </c>
      <c r="F336" s="46" t="inlineStr">
        <is>
          <t>다낭공항</t>
        </is>
      </c>
      <c r="G336" s="44" t="inlineStr">
        <is>
          <t>DAD</t>
        </is>
      </c>
      <c r="H336" s="45" t="n">
        <v>45946</v>
      </c>
      <c r="I336" s="54" t="n">
        <v>45949</v>
      </c>
      <c r="J336" s="54" t="n">
        <v>45948</v>
      </c>
      <c r="K336" s="55" t="n">
        <v>209.68</v>
      </c>
    </row>
    <row r="337" ht="15" customHeight="1" s="28">
      <c r="A337" s="44" t="inlineStr">
        <is>
          <t>L-SB-0336</t>
        </is>
      </c>
      <c r="B337" s="44" t="inlineStr">
        <is>
          <t>R-SB-0335</t>
        </is>
      </c>
      <c r="C337" s="46" t="inlineStr">
        <is>
          <t>항공</t>
        </is>
      </c>
      <c r="D337" s="46" t="inlineStr">
        <is>
          <t>인천공항</t>
        </is>
      </c>
      <c r="E337" s="44" t="inlineStr">
        <is>
          <t>ICN</t>
        </is>
      </c>
      <c r="F337" s="46" t="inlineStr">
        <is>
          <t>뭄바이공항</t>
        </is>
      </c>
      <c r="G337" s="44" t="inlineStr">
        <is>
          <t>BOM</t>
        </is>
      </c>
      <c r="H337" s="45" t="n">
        <v>45955</v>
      </c>
      <c r="I337" s="54" t="n">
        <v>45958</v>
      </c>
      <c r="J337" s="54" t="n">
        <v>45958</v>
      </c>
      <c r="K337" s="55" t="n">
        <v>135</v>
      </c>
    </row>
    <row r="338" ht="15" customHeight="1" s="28">
      <c r="A338" s="44" t="inlineStr">
        <is>
          <t>L-SB-0337</t>
        </is>
      </c>
      <c r="B338" s="44" t="inlineStr">
        <is>
          <t>R-SB-0336</t>
        </is>
      </c>
      <c r="C338" s="46" t="inlineStr">
        <is>
          <t>항공</t>
        </is>
      </c>
      <c r="D338" s="46" t="inlineStr">
        <is>
          <t>인천공항</t>
        </is>
      </c>
      <c r="E338" s="44" t="inlineStr">
        <is>
          <t>ICN</t>
        </is>
      </c>
      <c r="F338" s="46" t="inlineStr">
        <is>
          <t>뭄바이공항</t>
        </is>
      </c>
      <c r="G338" s="44" t="inlineStr">
        <is>
          <t>BOM</t>
        </is>
      </c>
      <c r="H338" s="45" t="n">
        <v>45955</v>
      </c>
      <c r="I338" s="54" t="n">
        <v>45958</v>
      </c>
      <c r="J338" s="54" t="n">
        <v>45958</v>
      </c>
      <c r="K338" s="55" t="n">
        <v>135</v>
      </c>
    </row>
    <row r="339" ht="15" customHeight="1" s="28">
      <c r="A339" s="44" t="inlineStr">
        <is>
          <t>L-SB-0338</t>
        </is>
      </c>
      <c r="B339" s="44" t="inlineStr">
        <is>
          <t>R-SB-0337</t>
        </is>
      </c>
      <c r="C339" s="46" t="inlineStr">
        <is>
          <t>항공</t>
        </is>
      </c>
      <c r="D339" s="46" t="inlineStr">
        <is>
          <t>인천공항</t>
        </is>
      </c>
      <c r="E339" s="44" t="inlineStr">
        <is>
          <t>ICN</t>
        </is>
      </c>
      <c r="F339" s="46" t="inlineStr">
        <is>
          <t>댈러스공항</t>
        </is>
      </c>
      <c r="G339" s="44" t="inlineStr">
        <is>
          <t>DFW</t>
        </is>
      </c>
      <c r="H339" s="45" t="n">
        <v>45965</v>
      </c>
      <c r="I339" s="54" t="n">
        <v>45969</v>
      </c>
      <c r="J339" s="54" t="n">
        <v>45968</v>
      </c>
      <c r="K339" s="55" t="n">
        <v>159.93</v>
      </c>
    </row>
    <row r="340" ht="15" customHeight="1" s="28">
      <c r="A340" s="44" t="inlineStr">
        <is>
          <t>L-SB-0339</t>
        </is>
      </c>
      <c r="B340" s="44" t="inlineStr">
        <is>
          <t>R-SB-0338</t>
        </is>
      </c>
      <c r="C340" s="46" t="inlineStr">
        <is>
          <t>항공</t>
        </is>
      </c>
      <c r="D340" s="46" t="inlineStr">
        <is>
          <t>인천공항</t>
        </is>
      </c>
      <c r="E340" s="44" t="inlineStr">
        <is>
          <t>ICN</t>
        </is>
      </c>
      <c r="F340" s="46" t="inlineStr">
        <is>
          <t>뭄바이공항</t>
        </is>
      </c>
      <c r="G340" s="44" t="inlineStr">
        <is>
          <t>BOM</t>
        </is>
      </c>
      <c r="H340" s="45" t="n">
        <v>45965</v>
      </c>
      <c r="I340" s="54" t="n">
        <v>45969</v>
      </c>
      <c r="J340" s="54" t="n">
        <v>45969</v>
      </c>
      <c r="K340" s="55" t="n">
        <v>135</v>
      </c>
    </row>
    <row r="341" ht="15" customHeight="1" s="28">
      <c r="A341" s="44" t="inlineStr">
        <is>
          <t>L-SB-0340</t>
        </is>
      </c>
      <c r="B341" s="44" t="inlineStr">
        <is>
          <t>R-SB-0339</t>
        </is>
      </c>
      <c r="C341" s="46" t="inlineStr">
        <is>
          <t>항공</t>
        </is>
      </c>
      <c r="D341" s="46" t="inlineStr">
        <is>
          <t>인천공항</t>
        </is>
      </c>
      <c r="E341" s="44" t="inlineStr">
        <is>
          <t>ICN</t>
        </is>
      </c>
      <c r="F341" s="46" t="inlineStr">
        <is>
          <t>몬테레이공항</t>
        </is>
      </c>
      <c r="G341" s="44" t="inlineStr">
        <is>
          <t>MTY</t>
        </is>
      </c>
      <c r="H341" s="45" t="n">
        <v>45967</v>
      </c>
      <c r="I341" s="54" t="n">
        <v>45971</v>
      </c>
      <c r="J341" s="54" t="n">
        <v>45971</v>
      </c>
      <c r="K341" s="55" t="n">
        <v>258.31</v>
      </c>
    </row>
    <row r="342" ht="15" customHeight="1" s="28">
      <c r="A342" s="44" t="inlineStr">
        <is>
          <t>L-SB-0341</t>
        </is>
      </c>
      <c r="B342" s="44" t="inlineStr">
        <is>
          <t>R-SB-0340</t>
        </is>
      </c>
      <c r="C342" s="46" t="inlineStr">
        <is>
          <t>항공</t>
        </is>
      </c>
      <c r="D342" s="46" t="inlineStr">
        <is>
          <t>인천공항</t>
        </is>
      </c>
      <c r="E342" s="44" t="inlineStr">
        <is>
          <t>ICN</t>
        </is>
      </c>
      <c r="F342" s="46" t="inlineStr">
        <is>
          <t>다낭공항</t>
        </is>
      </c>
      <c r="G342" s="44" t="inlineStr">
        <is>
          <t>DAD</t>
        </is>
      </c>
      <c r="H342" s="45" t="n">
        <v>45972</v>
      </c>
      <c r="I342" s="54" t="n">
        <v>45976</v>
      </c>
      <c r="J342" s="54" t="n">
        <v>45976</v>
      </c>
      <c r="K342" s="55" t="n">
        <v>158.22</v>
      </c>
    </row>
    <row r="343" ht="15" customHeight="1" s="28">
      <c r="A343" s="44" t="inlineStr">
        <is>
          <t>L-SB-0342</t>
        </is>
      </c>
      <c r="B343" s="44" t="inlineStr">
        <is>
          <t>R-SB-0341</t>
        </is>
      </c>
      <c r="C343" s="46" t="inlineStr">
        <is>
          <t>항공</t>
        </is>
      </c>
      <c r="D343" s="46" t="inlineStr">
        <is>
          <t>인천공항</t>
        </is>
      </c>
      <c r="E343" s="44" t="inlineStr">
        <is>
          <t>ICN</t>
        </is>
      </c>
      <c r="F343" s="46" t="inlineStr">
        <is>
          <t>뭄바이공항</t>
        </is>
      </c>
      <c r="G343" s="44" t="inlineStr">
        <is>
          <t>BOM</t>
        </is>
      </c>
      <c r="H343" s="45" t="n">
        <v>45972</v>
      </c>
      <c r="I343" s="54" t="n">
        <v>45976</v>
      </c>
      <c r="J343" s="54" t="n">
        <v>45979</v>
      </c>
      <c r="K343" s="55" t="n">
        <v>135</v>
      </c>
    </row>
    <row r="344" ht="15" customHeight="1" s="28">
      <c r="A344" s="44" t="inlineStr">
        <is>
          <t>L-SB-0343</t>
        </is>
      </c>
      <c r="B344" s="44" t="inlineStr">
        <is>
          <t>R-SB-0342</t>
        </is>
      </c>
      <c r="C344" s="46" t="inlineStr">
        <is>
          <t>항공</t>
        </is>
      </c>
      <c r="D344" s="46" t="inlineStr">
        <is>
          <t>인천공항</t>
        </is>
      </c>
      <c r="E344" s="44" t="inlineStr">
        <is>
          <t>ICN</t>
        </is>
      </c>
      <c r="F344" s="46" t="inlineStr">
        <is>
          <t>댈러스공항</t>
        </is>
      </c>
      <c r="G344" s="44" t="inlineStr">
        <is>
          <t>DFW</t>
        </is>
      </c>
      <c r="H344" s="45" t="n">
        <v>45978</v>
      </c>
      <c r="I344" s="54" t="n">
        <v>45983</v>
      </c>
      <c r="J344" s="54" t="n">
        <v>45983</v>
      </c>
      <c r="K344" s="55" t="n">
        <v>327.74</v>
      </c>
    </row>
    <row r="345" ht="15" customHeight="1" s="28">
      <c r="A345" s="44" t="inlineStr">
        <is>
          <t>L-SB-0344</t>
        </is>
      </c>
      <c r="B345" s="44" t="inlineStr">
        <is>
          <t>R-SB-0343</t>
        </is>
      </c>
      <c r="C345" s="46" t="inlineStr">
        <is>
          <t>항공</t>
        </is>
      </c>
      <c r="D345" s="46" t="inlineStr">
        <is>
          <t>인천공항</t>
        </is>
      </c>
      <c r="E345" s="44" t="inlineStr">
        <is>
          <t>ICN</t>
        </is>
      </c>
      <c r="F345" s="46" t="inlineStr">
        <is>
          <t>뭄바이공항</t>
        </is>
      </c>
      <c r="G345" s="44" t="inlineStr">
        <is>
          <t>BOM</t>
        </is>
      </c>
      <c r="H345" s="45" t="n">
        <v>45978</v>
      </c>
      <c r="I345" s="54" t="n">
        <v>45982</v>
      </c>
      <c r="J345" s="54" t="n">
        <v>45982</v>
      </c>
      <c r="K345" s="55" t="n">
        <v>135</v>
      </c>
    </row>
    <row r="346" ht="15" customHeight="1" s="28">
      <c r="A346" s="44" t="inlineStr">
        <is>
          <t>L-SB-0345</t>
        </is>
      </c>
      <c r="B346" s="44" t="inlineStr">
        <is>
          <t>R-SB-0344</t>
        </is>
      </c>
      <c r="C346" s="46" t="inlineStr">
        <is>
          <t>항공</t>
        </is>
      </c>
      <c r="D346" s="46" t="inlineStr">
        <is>
          <t>인천공항</t>
        </is>
      </c>
      <c r="E346" s="44" t="inlineStr">
        <is>
          <t>ICN</t>
        </is>
      </c>
      <c r="F346" s="46" t="inlineStr">
        <is>
          <t>몬테레이공항</t>
        </is>
      </c>
      <c r="G346" s="44" t="inlineStr">
        <is>
          <t>MTY</t>
        </is>
      </c>
      <c r="H346" s="45" t="n">
        <v>45979</v>
      </c>
      <c r="I346" s="54" t="n">
        <v>45982</v>
      </c>
      <c r="J346" s="54" t="n">
        <v>45982</v>
      </c>
      <c r="K346" s="55" t="n">
        <v>194.83</v>
      </c>
    </row>
    <row r="347" ht="15" customHeight="1" s="28">
      <c r="A347" s="44" t="inlineStr">
        <is>
          <t>L-SB-0346</t>
        </is>
      </c>
      <c r="B347" s="44" t="inlineStr">
        <is>
          <t>R-SB-0345</t>
        </is>
      </c>
      <c r="C347" s="46" t="inlineStr">
        <is>
          <t>항공</t>
        </is>
      </c>
      <c r="D347" s="46" t="inlineStr">
        <is>
          <t>인천공항</t>
        </is>
      </c>
      <c r="E347" s="44" t="inlineStr">
        <is>
          <t>ICN</t>
        </is>
      </c>
      <c r="F347" s="46" t="inlineStr">
        <is>
          <t>다낭공항</t>
        </is>
      </c>
      <c r="G347" s="44" t="inlineStr">
        <is>
          <t>DAD</t>
        </is>
      </c>
      <c r="H347" s="45" t="n">
        <v>45979</v>
      </c>
      <c r="I347" s="54" t="n">
        <v>45982</v>
      </c>
      <c r="J347" s="54" t="n">
        <v>45981</v>
      </c>
      <c r="K347" s="55" t="n">
        <v>135</v>
      </c>
    </row>
    <row r="348" ht="15" customHeight="1" s="28">
      <c r="A348" s="44" t="inlineStr">
        <is>
          <t>L-SB-0347</t>
        </is>
      </c>
      <c r="B348" s="44" t="inlineStr">
        <is>
          <t>R-SB-0346</t>
        </is>
      </c>
      <c r="C348" s="46" t="inlineStr">
        <is>
          <t>항공</t>
        </is>
      </c>
      <c r="D348" s="46" t="inlineStr">
        <is>
          <t>인천공항</t>
        </is>
      </c>
      <c r="E348" s="44" t="inlineStr">
        <is>
          <t>ICN</t>
        </is>
      </c>
      <c r="F348" s="46" t="inlineStr">
        <is>
          <t>몬테레이공항</t>
        </is>
      </c>
      <c r="G348" s="44" t="inlineStr">
        <is>
          <t>MTY</t>
        </is>
      </c>
      <c r="H348" s="45" t="n">
        <v>45981</v>
      </c>
      <c r="I348" s="54" t="n">
        <v>45985</v>
      </c>
      <c r="J348" s="54" t="n">
        <v>45985</v>
      </c>
      <c r="K348" s="55" t="n">
        <v>135</v>
      </c>
    </row>
    <row r="349" ht="15" customHeight="1" s="28">
      <c r="A349" s="44" t="inlineStr">
        <is>
          <t>L-SB-0348</t>
        </is>
      </c>
      <c r="B349" s="44" t="inlineStr">
        <is>
          <t>R-SB-0347</t>
        </is>
      </c>
      <c r="C349" s="46" t="inlineStr">
        <is>
          <t>해상</t>
        </is>
      </c>
      <c r="D349" s="46" t="inlineStr">
        <is>
          <t>부산항</t>
        </is>
      </c>
      <c r="E349" s="44" t="inlineStr">
        <is>
          <t>KRPUS</t>
        </is>
      </c>
      <c r="F349" s="46" t="inlineStr">
        <is>
          <t>다낭항</t>
        </is>
      </c>
      <c r="G349" s="44" t="inlineStr">
        <is>
          <t>VNDAD</t>
        </is>
      </c>
      <c r="H349" s="45" t="n">
        <v>45984</v>
      </c>
      <c r="I349" s="54" t="n">
        <v>46004</v>
      </c>
      <c r="J349" s="54" t="n">
        <v>46004</v>
      </c>
      <c r="K349" s="55" t="n">
        <v>530</v>
      </c>
    </row>
    <row r="350" ht="15" customHeight="1" s="28">
      <c r="A350" s="44" t="inlineStr">
        <is>
          <t>L-SB-0349</t>
        </is>
      </c>
      <c r="B350" s="44" t="inlineStr">
        <is>
          <t>R-SB-0348</t>
        </is>
      </c>
      <c r="C350" s="46" t="inlineStr">
        <is>
          <t>항공</t>
        </is>
      </c>
      <c r="D350" s="46" t="inlineStr">
        <is>
          <t>인천공항</t>
        </is>
      </c>
      <c r="E350" s="44" t="inlineStr">
        <is>
          <t>ICN</t>
        </is>
      </c>
      <c r="F350" s="46" t="inlineStr">
        <is>
          <t>댈러스공항</t>
        </is>
      </c>
      <c r="G350" s="44" t="inlineStr">
        <is>
          <t>DFW</t>
        </is>
      </c>
      <c r="H350" s="45" t="n">
        <v>45994</v>
      </c>
      <c r="I350" s="54" t="n">
        <v>45997</v>
      </c>
      <c r="J350" s="54" t="n">
        <v>45997</v>
      </c>
      <c r="K350" s="55" t="n">
        <v>159.71</v>
      </c>
    </row>
    <row r="351" ht="15" customHeight="1" s="28">
      <c r="A351" s="44" t="inlineStr">
        <is>
          <t>L-SB-0350</t>
        </is>
      </c>
      <c r="B351" s="44" t="inlineStr">
        <is>
          <t>R-SB-0349</t>
        </is>
      </c>
      <c r="C351" s="46" t="inlineStr">
        <is>
          <t>항공</t>
        </is>
      </c>
      <c r="D351" s="46" t="inlineStr">
        <is>
          <t>인천공항</t>
        </is>
      </c>
      <c r="E351" s="44" t="inlineStr">
        <is>
          <t>ICN</t>
        </is>
      </c>
      <c r="F351" s="46" t="inlineStr">
        <is>
          <t>몬테레이공항</t>
        </is>
      </c>
      <c r="G351" s="44" t="inlineStr">
        <is>
          <t>MTY</t>
        </is>
      </c>
      <c r="H351" s="45" t="n">
        <v>45995</v>
      </c>
      <c r="I351" s="54" t="n">
        <v>45998</v>
      </c>
      <c r="J351" s="54" t="n">
        <v>45998</v>
      </c>
      <c r="K351" s="55" t="n">
        <v>135</v>
      </c>
    </row>
    <row r="352" ht="15" customHeight="1" s="28">
      <c r="A352" s="44" t="inlineStr">
        <is>
          <t>L-SB-0351</t>
        </is>
      </c>
      <c r="B352" s="44" t="inlineStr">
        <is>
          <t>R-SB-0350</t>
        </is>
      </c>
      <c r="C352" s="46" t="inlineStr">
        <is>
          <t>항공</t>
        </is>
      </c>
      <c r="D352" s="46" t="inlineStr">
        <is>
          <t>인천공항</t>
        </is>
      </c>
      <c r="E352" s="44" t="inlineStr">
        <is>
          <t>ICN</t>
        </is>
      </c>
      <c r="F352" s="46" t="inlineStr">
        <is>
          <t>뭄바이공항</t>
        </is>
      </c>
      <c r="G352" s="44" t="inlineStr">
        <is>
          <t>BOM</t>
        </is>
      </c>
      <c r="H352" s="45" t="n">
        <v>46006</v>
      </c>
      <c r="I352" s="54" t="n">
        <v>46008</v>
      </c>
      <c r="J352" s="54" t="n">
        <v>46008</v>
      </c>
      <c r="K352" s="55" t="n">
        <v>135</v>
      </c>
    </row>
    <row r="353" ht="15" customHeight="1" s="28">
      <c r="A353" s="44" t="inlineStr">
        <is>
          <t>L-SB-0352</t>
        </is>
      </c>
      <c r="B353" s="44" t="inlineStr">
        <is>
          <t>R-SB-0351</t>
        </is>
      </c>
      <c r="C353" s="46" t="inlineStr">
        <is>
          <t>항공</t>
        </is>
      </c>
      <c r="D353" s="46" t="inlineStr">
        <is>
          <t>인천공항</t>
        </is>
      </c>
      <c r="E353" s="44" t="inlineStr">
        <is>
          <t>ICN</t>
        </is>
      </c>
      <c r="F353" s="46" t="inlineStr">
        <is>
          <t>몬테레이공항</t>
        </is>
      </c>
      <c r="G353" s="44" t="inlineStr">
        <is>
          <t>MTY</t>
        </is>
      </c>
      <c r="H353" s="45" t="n">
        <v>46007</v>
      </c>
      <c r="I353" s="54" t="n">
        <v>46011</v>
      </c>
      <c r="J353" s="54" t="n">
        <v>46011</v>
      </c>
      <c r="K353" s="55" t="n">
        <v>232.25</v>
      </c>
    </row>
    <row r="354" ht="15" customHeight="1" s="28">
      <c r="A354" s="44" t="inlineStr">
        <is>
          <t>L-SB-0353</t>
        </is>
      </c>
      <c r="B354" s="44" t="inlineStr">
        <is>
          <t>R-SB-0352</t>
        </is>
      </c>
      <c r="C354" s="46" t="inlineStr">
        <is>
          <t>항공</t>
        </is>
      </c>
      <c r="D354" s="46" t="inlineStr">
        <is>
          <t>인천공항</t>
        </is>
      </c>
      <c r="E354" s="44" t="inlineStr">
        <is>
          <t>ICN</t>
        </is>
      </c>
      <c r="F354" s="46" t="inlineStr">
        <is>
          <t>다낭공항</t>
        </is>
      </c>
      <c r="G354" s="44" t="inlineStr">
        <is>
          <t>DAD</t>
        </is>
      </c>
      <c r="H354" s="45" t="n">
        <v>46007</v>
      </c>
      <c r="I354" s="54" t="n">
        <v>46010</v>
      </c>
      <c r="J354" s="54" t="n">
        <v>46010</v>
      </c>
      <c r="K354" s="55" t="n">
        <v>188.65</v>
      </c>
    </row>
    <row r="355" ht="15" customHeight="1" s="28">
      <c r="A355" s="44" t="inlineStr">
        <is>
          <t>L-SB-0354</t>
        </is>
      </c>
      <c r="B355" s="44" t="inlineStr">
        <is>
          <t>R-SB-0353</t>
        </is>
      </c>
      <c r="C355" s="46" t="inlineStr">
        <is>
          <t>항공</t>
        </is>
      </c>
      <c r="D355" s="46" t="inlineStr">
        <is>
          <t>인천공항</t>
        </is>
      </c>
      <c r="E355" s="44" t="inlineStr">
        <is>
          <t>ICN</t>
        </is>
      </c>
      <c r="F355" s="46" t="inlineStr">
        <is>
          <t>뭄바이공항</t>
        </is>
      </c>
      <c r="G355" s="44" t="inlineStr">
        <is>
          <t>BOM</t>
        </is>
      </c>
      <c r="H355" s="45" t="n">
        <v>46013</v>
      </c>
      <c r="I355" s="54" t="n">
        <v>46015</v>
      </c>
      <c r="J355" s="54" t="n">
        <v>46015</v>
      </c>
      <c r="K355" s="55" t="n">
        <v>135</v>
      </c>
    </row>
    <row r="356" ht="15" customHeight="1" s="28">
      <c r="A356" s="44" t="inlineStr">
        <is>
          <t>L-SB-0355</t>
        </is>
      </c>
      <c r="B356" s="44" t="inlineStr">
        <is>
          <t>R-SB-0354</t>
        </is>
      </c>
      <c r="C356" s="46" t="inlineStr">
        <is>
          <t>항공</t>
        </is>
      </c>
      <c r="D356" s="46" t="inlineStr">
        <is>
          <t>인천공항</t>
        </is>
      </c>
      <c r="E356" s="44" t="inlineStr">
        <is>
          <t>ICN</t>
        </is>
      </c>
      <c r="F356" s="46" t="inlineStr">
        <is>
          <t>뭄바이공항</t>
        </is>
      </c>
      <c r="G356" s="44" t="inlineStr">
        <is>
          <t>BOM</t>
        </is>
      </c>
      <c r="H356" s="45" t="n">
        <v>46016</v>
      </c>
      <c r="I356" s="54" t="n">
        <v>46018</v>
      </c>
      <c r="J356" s="54" t="n">
        <v>46018</v>
      </c>
      <c r="K356" s="55" t="n">
        <v>135</v>
      </c>
    </row>
    <row r="357" ht="15" customHeight="1" s="28">
      <c r="A357" s="44" t="inlineStr">
        <is>
          <t>L-SB-0356</t>
        </is>
      </c>
      <c r="B357" s="44" t="inlineStr">
        <is>
          <t>R-SB-0355</t>
        </is>
      </c>
      <c r="C357" s="46" t="inlineStr">
        <is>
          <t>항공</t>
        </is>
      </c>
      <c r="D357" s="46" t="inlineStr">
        <is>
          <t>인천공항</t>
        </is>
      </c>
      <c r="E357" s="44" t="inlineStr">
        <is>
          <t>ICN</t>
        </is>
      </c>
      <c r="F357" s="46" t="inlineStr">
        <is>
          <t>댈러스공항</t>
        </is>
      </c>
      <c r="G357" s="44" t="inlineStr">
        <is>
          <t>DFW</t>
        </is>
      </c>
      <c r="H357" s="45" t="n">
        <v>46017</v>
      </c>
      <c r="I357" s="54" t="n">
        <v>46022</v>
      </c>
      <c r="J357" s="54" t="n">
        <v>46022</v>
      </c>
    </row>
    <row r="358" ht="15" customHeight="1" s="28">
      <c r="A358" s="44" t="inlineStr">
        <is>
          <t>L-SB-0357</t>
        </is>
      </c>
      <c r="B358" s="44" t="inlineStr">
        <is>
          <t>R-SB-0356</t>
        </is>
      </c>
      <c r="C358" s="46" t="inlineStr">
        <is>
          <t>항공</t>
        </is>
      </c>
      <c r="D358" s="46" t="inlineStr">
        <is>
          <t>인천공항</t>
        </is>
      </c>
      <c r="E358" s="44" t="inlineStr">
        <is>
          <t>ICN</t>
        </is>
      </c>
      <c r="F358" s="46" t="inlineStr">
        <is>
          <t>댈러스공항</t>
        </is>
      </c>
      <c r="G358" s="44" t="inlineStr">
        <is>
          <t>DFW</t>
        </is>
      </c>
      <c r="H358" s="45" t="n">
        <v>46017</v>
      </c>
      <c r="I358" s="54" t="n">
        <v>46021</v>
      </c>
      <c r="J358" s="54" t="n">
        <v>46021</v>
      </c>
      <c r="K358" s="55" t="n">
        <v>308.64</v>
      </c>
    </row>
    <row r="359" ht="15" customHeight="1" s="28">
      <c r="A359" s="44" t="inlineStr">
        <is>
          <t>L-SB-0358</t>
        </is>
      </c>
      <c r="B359" s="44" t="inlineStr">
        <is>
          <t>R-SB-0357</t>
        </is>
      </c>
      <c r="C359" s="46" t="inlineStr">
        <is>
          <t>항공</t>
        </is>
      </c>
      <c r="D359" s="46" t="inlineStr">
        <is>
          <t>인천공항</t>
        </is>
      </c>
      <c r="E359" s="44" t="inlineStr">
        <is>
          <t>ICN</t>
        </is>
      </c>
      <c r="F359" s="46" t="inlineStr">
        <is>
          <t>다낭공항</t>
        </is>
      </c>
      <c r="G359" s="44" t="inlineStr">
        <is>
          <t>DAD</t>
        </is>
      </c>
      <c r="H359" s="45" t="n">
        <v>46017</v>
      </c>
      <c r="I359" s="54" t="n">
        <v>46022</v>
      </c>
      <c r="J359" s="54" t="n">
        <v>46022</v>
      </c>
      <c r="K359" s="55" t="n">
        <v>135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4" customWidth="1" style="27" min="2" max="5"/>
    <col width="16" customWidth="1" style="27" min="6" max="6"/>
    <col width="10" customWidth="1" style="27" min="7" max="7"/>
    <col width="13" customWidth="1" style="27" min="8" max="8"/>
  </cols>
  <sheetData>
    <row r="1" ht="15" customHeight="1" s="28">
      <c r="A1" s="36" t="inlineStr">
        <is>
          <t>거래월</t>
        </is>
      </c>
      <c r="B1" s="36" t="inlineStr">
        <is>
          <t>미국 (USD)</t>
        </is>
      </c>
      <c r="C1" s="36" t="inlineStr">
        <is>
          <t>멕시코 (USD)</t>
        </is>
      </c>
      <c r="D1" s="36" t="inlineStr">
        <is>
          <t>베트남 (USD)</t>
        </is>
      </c>
      <c r="E1" s="36" t="inlineStr">
        <is>
          <t>인도 (USD)</t>
        </is>
      </c>
      <c r="F1" s="36" t="inlineStr">
        <is>
          <t>합계 (USD)</t>
        </is>
      </c>
      <c r="G1" s="36" t="inlineStr">
        <is>
          <t>전월대비</t>
        </is>
      </c>
      <c r="H1" s="36" t="inlineStr">
        <is>
          <t>금액 빈칸 행수</t>
        </is>
      </c>
    </row>
    <row r="2" ht="15" customHeight="1" s="28">
      <c r="A2" s="41" t="inlineStr">
        <is>
          <t>2023-01</t>
        </is>
      </c>
      <c r="B2" s="56">
        <f>SUMIFS(수출실적!$L$2:$L$359,수출실적!$C$2:$C$359,$A2,수출실적!$G$2:$G$359,"미국")</f>
        <v/>
      </c>
      <c r="C2" s="56">
        <f>SUMIFS(수출실적!$L$2:$L$359,수출실적!$C$2:$C$359,$A2,수출실적!$G$2:$G$359,"멕시코")</f>
        <v/>
      </c>
      <c r="D2" s="56">
        <f>SUMIFS(수출실적!$L$2:$L$359,수출실적!$C$2:$C$359,$A2,수출실적!$G$2:$G$359,"베트남")</f>
        <v/>
      </c>
      <c r="E2" s="56">
        <f>SUMIFS(수출실적!$L$2:$L$359,수출실적!$C$2:$C$359,$A2,수출실적!$G$2:$G$359,"인도")</f>
        <v/>
      </c>
      <c r="F2" s="56">
        <f>SUM(B2:E2)</f>
        <v/>
      </c>
      <c r="G2" s="57" t="n"/>
      <c r="H2" s="41">
        <f>SUMPRODUCT((수출실적!$C$2:$C$359=$A2)*(수출실적!$L$2:$L$359=""))</f>
        <v/>
      </c>
    </row>
    <row r="3" ht="15" customHeight="1" s="28">
      <c r="A3" s="41" t="inlineStr">
        <is>
          <t>2023-02</t>
        </is>
      </c>
      <c r="B3" s="56">
        <f>SUMIFS(수출실적!$L$2:$L$359,수출실적!$C$2:$C$359,$A3,수출실적!$G$2:$G$359,"미국")</f>
        <v/>
      </c>
      <c r="C3" s="56">
        <f>SUMIFS(수출실적!$L$2:$L$359,수출실적!$C$2:$C$359,$A3,수출실적!$G$2:$G$359,"멕시코")</f>
        <v/>
      </c>
      <c r="D3" s="56">
        <f>SUMIFS(수출실적!$L$2:$L$359,수출실적!$C$2:$C$359,$A3,수출실적!$G$2:$G$359,"베트남")</f>
        <v/>
      </c>
      <c r="E3" s="56">
        <f>SUMIFS(수출실적!$L$2:$L$359,수출실적!$C$2:$C$359,$A3,수출실적!$G$2:$G$359,"인도")</f>
        <v/>
      </c>
      <c r="F3" s="56">
        <f>SUM(B3:E3)</f>
        <v/>
      </c>
      <c r="G3" s="57">
        <f>IF(F2=0,"",F3/F2-1)</f>
        <v/>
      </c>
      <c r="H3" s="41">
        <f>SUMPRODUCT((수출실적!$C$2:$C$359=$A3)*(수출실적!$L$2:$L$359=""))</f>
        <v/>
      </c>
    </row>
    <row r="4" ht="15" customHeight="1" s="28">
      <c r="A4" s="41" t="inlineStr">
        <is>
          <t>2023-03</t>
        </is>
      </c>
      <c r="B4" s="56">
        <f>SUMIFS(수출실적!$L$2:$L$359,수출실적!$C$2:$C$359,$A4,수출실적!$G$2:$G$359,"미국")</f>
        <v/>
      </c>
      <c r="C4" s="56">
        <f>SUMIFS(수출실적!$L$2:$L$359,수출실적!$C$2:$C$359,$A4,수출실적!$G$2:$G$359,"멕시코")</f>
        <v/>
      </c>
      <c r="D4" s="56">
        <f>SUMIFS(수출실적!$L$2:$L$359,수출실적!$C$2:$C$359,$A4,수출실적!$G$2:$G$359,"베트남")</f>
        <v/>
      </c>
      <c r="E4" s="56">
        <f>SUMIFS(수출실적!$L$2:$L$359,수출실적!$C$2:$C$359,$A4,수출실적!$G$2:$G$359,"인도")</f>
        <v/>
      </c>
      <c r="F4" s="56">
        <f>SUM(B4:E4)</f>
        <v/>
      </c>
      <c r="G4" s="57">
        <f>IF(F3=0,"",F4/F3-1)</f>
        <v/>
      </c>
      <c r="H4" s="41">
        <f>SUMPRODUCT((수출실적!$C$2:$C$359=$A4)*(수출실적!$L$2:$L$359=""))</f>
        <v/>
      </c>
    </row>
    <row r="5" ht="15" customHeight="1" s="28">
      <c r="A5" s="41" t="inlineStr">
        <is>
          <t>2023-04</t>
        </is>
      </c>
      <c r="B5" s="56">
        <f>SUMIFS(수출실적!$L$2:$L$359,수출실적!$C$2:$C$359,$A5,수출실적!$G$2:$G$359,"미국")</f>
        <v/>
      </c>
      <c r="C5" s="56">
        <f>SUMIFS(수출실적!$L$2:$L$359,수출실적!$C$2:$C$359,$A5,수출실적!$G$2:$G$359,"멕시코")</f>
        <v/>
      </c>
      <c r="D5" s="56">
        <f>SUMIFS(수출실적!$L$2:$L$359,수출실적!$C$2:$C$359,$A5,수출실적!$G$2:$G$359,"베트남")</f>
        <v/>
      </c>
      <c r="E5" s="56">
        <f>SUMIFS(수출실적!$L$2:$L$359,수출실적!$C$2:$C$359,$A5,수출실적!$G$2:$G$359,"인도")</f>
        <v/>
      </c>
      <c r="F5" s="56">
        <f>SUM(B5:E5)</f>
        <v/>
      </c>
      <c r="G5" s="57">
        <f>IF(F4=0,"",F5/F4-1)</f>
        <v/>
      </c>
      <c r="H5" s="41">
        <f>SUMPRODUCT((수출실적!$C$2:$C$359=$A5)*(수출실적!$L$2:$L$359=""))</f>
        <v/>
      </c>
    </row>
    <row r="6" ht="15" customHeight="1" s="28">
      <c r="A6" s="41" t="inlineStr">
        <is>
          <t>2023-05</t>
        </is>
      </c>
      <c r="B6" s="56">
        <f>SUMIFS(수출실적!$L$2:$L$359,수출실적!$C$2:$C$359,$A6,수출실적!$G$2:$G$359,"미국")</f>
        <v/>
      </c>
      <c r="C6" s="56">
        <f>SUMIFS(수출실적!$L$2:$L$359,수출실적!$C$2:$C$359,$A6,수출실적!$G$2:$G$359,"멕시코")</f>
        <v/>
      </c>
      <c r="D6" s="56">
        <f>SUMIFS(수출실적!$L$2:$L$359,수출실적!$C$2:$C$359,$A6,수출실적!$G$2:$G$359,"베트남")</f>
        <v/>
      </c>
      <c r="E6" s="56">
        <f>SUMIFS(수출실적!$L$2:$L$359,수출실적!$C$2:$C$359,$A6,수출실적!$G$2:$G$359,"인도")</f>
        <v/>
      </c>
      <c r="F6" s="56">
        <f>SUM(B6:E6)</f>
        <v/>
      </c>
      <c r="G6" s="57">
        <f>IF(F5=0,"",F6/F5-1)</f>
        <v/>
      </c>
      <c r="H6" s="41">
        <f>SUMPRODUCT((수출실적!$C$2:$C$359=$A6)*(수출실적!$L$2:$L$359=""))</f>
        <v/>
      </c>
    </row>
    <row r="7" ht="15" customHeight="1" s="28">
      <c r="A7" s="41" t="inlineStr">
        <is>
          <t>2023-06</t>
        </is>
      </c>
      <c r="B7" s="56">
        <f>SUMIFS(수출실적!$L$2:$L$359,수출실적!$C$2:$C$359,$A7,수출실적!$G$2:$G$359,"미국")</f>
        <v/>
      </c>
      <c r="C7" s="56">
        <f>SUMIFS(수출실적!$L$2:$L$359,수출실적!$C$2:$C$359,$A7,수출실적!$G$2:$G$359,"멕시코")</f>
        <v/>
      </c>
      <c r="D7" s="56">
        <f>SUMIFS(수출실적!$L$2:$L$359,수출실적!$C$2:$C$359,$A7,수출실적!$G$2:$G$359,"베트남")</f>
        <v/>
      </c>
      <c r="E7" s="56">
        <f>SUMIFS(수출실적!$L$2:$L$359,수출실적!$C$2:$C$359,$A7,수출실적!$G$2:$G$359,"인도")</f>
        <v/>
      </c>
      <c r="F7" s="56">
        <f>SUM(B7:E7)</f>
        <v/>
      </c>
      <c r="G7" s="57">
        <f>IF(F6=0,"",F7/F6-1)</f>
        <v/>
      </c>
      <c r="H7" s="41">
        <f>SUMPRODUCT((수출실적!$C$2:$C$359=$A7)*(수출실적!$L$2:$L$359=""))</f>
        <v/>
      </c>
    </row>
    <row r="8" ht="15" customHeight="1" s="28">
      <c r="A8" s="41" t="inlineStr">
        <is>
          <t>2023-07</t>
        </is>
      </c>
      <c r="B8" s="56">
        <f>SUMIFS(수출실적!$L$2:$L$359,수출실적!$C$2:$C$359,$A8,수출실적!$G$2:$G$359,"미국")</f>
        <v/>
      </c>
      <c r="C8" s="56">
        <f>SUMIFS(수출실적!$L$2:$L$359,수출실적!$C$2:$C$359,$A8,수출실적!$G$2:$G$359,"멕시코")</f>
        <v/>
      </c>
      <c r="D8" s="56">
        <f>SUMIFS(수출실적!$L$2:$L$359,수출실적!$C$2:$C$359,$A8,수출실적!$G$2:$G$359,"베트남")</f>
        <v/>
      </c>
      <c r="E8" s="56">
        <f>SUMIFS(수출실적!$L$2:$L$359,수출실적!$C$2:$C$359,$A8,수출실적!$G$2:$G$359,"인도")</f>
        <v/>
      </c>
      <c r="F8" s="56">
        <f>SUM(B8:E8)</f>
        <v/>
      </c>
      <c r="G8" s="57">
        <f>IF(F7=0,"",F8/F7-1)</f>
        <v/>
      </c>
      <c r="H8" s="41">
        <f>SUMPRODUCT((수출실적!$C$2:$C$359=$A8)*(수출실적!$L$2:$L$359=""))</f>
        <v/>
      </c>
    </row>
    <row r="9" ht="15" customHeight="1" s="28">
      <c r="A9" s="41" t="inlineStr">
        <is>
          <t>2023-08</t>
        </is>
      </c>
      <c r="B9" s="56">
        <f>SUMIFS(수출실적!$L$2:$L$359,수출실적!$C$2:$C$359,$A9,수출실적!$G$2:$G$359,"미국")</f>
        <v/>
      </c>
      <c r="C9" s="56">
        <f>SUMIFS(수출실적!$L$2:$L$359,수출실적!$C$2:$C$359,$A9,수출실적!$G$2:$G$359,"멕시코")</f>
        <v/>
      </c>
      <c r="D9" s="56">
        <f>SUMIFS(수출실적!$L$2:$L$359,수출실적!$C$2:$C$359,$A9,수출실적!$G$2:$G$359,"베트남")</f>
        <v/>
      </c>
      <c r="E9" s="56">
        <f>SUMIFS(수출실적!$L$2:$L$359,수출실적!$C$2:$C$359,$A9,수출실적!$G$2:$G$359,"인도")</f>
        <v/>
      </c>
      <c r="F9" s="56">
        <f>SUM(B9:E9)</f>
        <v/>
      </c>
      <c r="G9" s="57">
        <f>IF(F8=0,"",F9/F8-1)</f>
        <v/>
      </c>
      <c r="H9" s="41">
        <f>SUMPRODUCT((수출실적!$C$2:$C$359=$A9)*(수출실적!$L$2:$L$359=""))</f>
        <v/>
      </c>
    </row>
    <row r="10" ht="15" customHeight="1" s="28">
      <c r="A10" s="41" t="inlineStr">
        <is>
          <t>2023-09</t>
        </is>
      </c>
      <c r="B10" s="56">
        <f>SUMIFS(수출실적!$L$2:$L$359,수출실적!$C$2:$C$359,$A10,수출실적!$G$2:$G$359,"미국")</f>
        <v/>
      </c>
      <c r="C10" s="56">
        <f>SUMIFS(수출실적!$L$2:$L$359,수출실적!$C$2:$C$359,$A10,수출실적!$G$2:$G$359,"멕시코")</f>
        <v/>
      </c>
      <c r="D10" s="56">
        <f>SUMIFS(수출실적!$L$2:$L$359,수출실적!$C$2:$C$359,$A10,수출실적!$G$2:$G$359,"베트남")</f>
        <v/>
      </c>
      <c r="E10" s="56">
        <f>SUMIFS(수출실적!$L$2:$L$359,수출실적!$C$2:$C$359,$A10,수출실적!$G$2:$G$359,"인도")</f>
        <v/>
      </c>
      <c r="F10" s="56">
        <f>SUM(B10:E10)</f>
        <v/>
      </c>
      <c r="G10" s="57">
        <f>IF(F9=0,"",F10/F9-1)</f>
        <v/>
      </c>
      <c r="H10" s="41">
        <f>SUMPRODUCT((수출실적!$C$2:$C$359=$A10)*(수출실적!$L$2:$L$359=""))</f>
        <v/>
      </c>
    </row>
    <row r="11" ht="15" customHeight="1" s="28">
      <c r="A11" s="41" t="inlineStr">
        <is>
          <t>2023-10</t>
        </is>
      </c>
      <c r="B11" s="56">
        <f>SUMIFS(수출실적!$L$2:$L$359,수출실적!$C$2:$C$359,$A11,수출실적!$G$2:$G$359,"미국")</f>
        <v/>
      </c>
      <c r="C11" s="56">
        <f>SUMIFS(수출실적!$L$2:$L$359,수출실적!$C$2:$C$359,$A11,수출실적!$G$2:$G$359,"멕시코")</f>
        <v/>
      </c>
      <c r="D11" s="56">
        <f>SUMIFS(수출실적!$L$2:$L$359,수출실적!$C$2:$C$359,$A11,수출실적!$G$2:$G$359,"베트남")</f>
        <v/>
      </c>
      <c r="E11" s="56">
        <f>SUMIFS(수출실적!$L$2:$L$359,수출실적!$C$2:$C$359,$A11,수출실적!$G$2:$G$359,"인도")</f>
        <v/>
      </c>
      <c r="F11" s="56">
        <f>SUM(B11:E11)</f>
        <v/>
      </c>
      <c r="G11" s="57">
        <f>IF(F10=0,"",F11/F10-1)</f>
        <v/>
      </c>
      <c r="H11" s="41">
        <f>SUMPRODUCT((수출실적!$C$2:$C$359=$A11)*(수출실적!$L$2:$L$359=""))</f>
        <v/>
      </c>
    </row>
    <row r="12" ht="15" customHeight="1" s="28">
      <c r="A12" s="41" t="inlineStr">
        <is>
          <t>2023-11</t>
        </is>
      </c>
      <c r="B12" s="56">
        <f>SUMIFS(수출실적!$L$2:$L$359,수출실적!$C$2:$C$359,$A12,수출실적!$G$2:$G$359,"미국")</f>
        <v/>
      </c>
      <c r="C12" s="56">
        <f>SUMIFS(수출실적!$L$2:$L$359,수출실적!$C$2:$C$359,$A12,수출실적!$G$2:$G$359,"멕시코")</f>
        <v/>
      </c>
      <c r="D12" s="56">
        <f>SUMIFS(수출실적!$L$2:$L$359,수출실적!$C$2:$C$359,$A12,수출실적!$G$2:$G$359,"베트남")</f>
        <v/>
      </c>
      <c r="E12" s="56">
        <f>SUMIFS(수출실적!$L$2:$L$359,수출실적!$C$2:$C$359,$A12,수출실적!$G$2:$G$359,"인도")</f>
        <v/>
      </c>
      <c r="F12" s="56">
        <f>SUM(B12:E12)</f>
        <v/>
      </c>
      <c r="G12" s="57">
        <f>IF(F11=0,"",F12/F11-1)</f>
        <v/>
      </c>
      <c r="H12" s="41">
        <f>SUMPRODUCT((수출실적!$C$2:$C$359=$A12)*(수출실적!$L$2:$L$359=""))</f>
        <v/>
      </c>
    </row>
    <row r="13" ht="15" customHeight="1" s="28">
      <c r="A13" s="41" t="inlineStr">
        <is>
          <t>2023-12</t>
        </is>
      </c>
      <c r="B13" s="56">
        <f>SUMIFS(수출실적!$L$2:$L$359,수출실적!$C$2:$C$359,$A13,수출실적!$G$2:$G$359,"미국")</f>
        <v/>
      </c>
      <c r="C13" s="56">
        <f>SUMIFS(수출실적!$L$2:$L$359,수출실적!$C$2:$C$359,$A13,수출실적!$G$2:$G$359,"멕시코")</f>
        <v/>
      </c>
      <c r="D13" s="56">
        <f>SUMIFS(수출실적!$L$2:$L$359,수출실적!$C$2:$C$359,$A13,수출실적!$G$2:$G$359,"베트남")</f>
        <v/>
      </c>
      <c r="E13" s="56">
        <f>SUMIFS(수출실적!$L$2:$L$359,수출실적!$C$2:$C$359,$A13,수출실적!$G$2:$G$359,"인도")</f>
        <v/>
      </c>
      <c r="F13" s="56">
        <f>SUM(B13:E13)</f>
        <v/>
      </c>
      <c r="G13" s="57">
        <f>IF(F12=0,"",F13/F12-1)</f>
        <v/>
      </c>
      <c r="H13" s="41">
        <f>SUMPRODUCT((수출실적!$C$2:$C$359=$A13)*(수출실적!$L$2:$L$359=""))</f>
        <v/>
      </c>
    </row>
    <row r="14" ht="15" customHeight="1" s="28">
      <c r="A14" s="41" t="inlineStr">
        <is>
          <t>2024-01</t>
        </is>
      </c>
      <c r="B14" s="56">
        <f>SUMIFS(수출실적!$L$2:$L$359,수출실적!$C$2:$C$359,$A14,수출실적!$G$2:$G$359,"미국")</f>
        <v/>
      </c>
      <c r="C14" s="56">
        <f>SUMIFS(수출실적!$L$2:$L$359,수출실적!$C$2:$C$359,$A14,수출실적!$G$2:$G$359,"멕시코")</f>
        <v/>
      </c>
      <c r="D14" s="56">
        <f>SUMIFS(수출실적!$L$2:$L$359,수출실적!$C$2:$C$359,$A14,수출실적!$G$2:$G$359,"베트남")</f>
        <v/>
      </c>
      <c r="E14" s="56">
        <f>SUMIFS(수출실적!$L$2:$L$359,수출실적!$C$2:$C$359,$A14,수출실적!$G$2:$G$359,"인도")</f>
        <v/>
      </c>
      <c r="F14" s="56">
        <f>SUM(B14:E14)</f>
        <v/>
      </c>
      <c r="G14" s="57">
        <f>IF(F13=0,"",F14/F13-1)</f>
        <v/>
      </c>
      <c r="H14" s="41">
        <f>SUMPRODUCT((수출실적!$C$2:$C$359=$A14)*(수출실적!$L$2:$L$359=""))</f>
        <v/>
      </c>
    </row>
    <row r="15" ht="15" customHeight="1" s="28">
      <c r="A15" s="41" t="inlineStr">
        <is>
          <t>2024-02</t>
        </is>
      </c>
      <c r="B15" s="56">
        <f>SUMIFS(수출실적!$L$2:$L$359,수출실적!$C$2:$C$359,$A15,수출실적!$G$2:$G$359,"미국")</f>
        <v/>
      </c>
      <c r="C15" s="56">
        <f>SUMIFS(수출실적!$L$2:$L$359,수출실적!$C$2:$C$359,$A15,수출실적!$G$2:$G$359,"멕시코")</f>
        <v/>
      </c>
      <c r="D15" s="56">
        <f>SUMIFS(수출실적!$L$2:$L$359,수출실적!$C$2:$C$359,$A15,수출실적!$G$2:$G$359,"베트남")</f>
        <v/>
      </c>
      <c r="E15" s="56">
        <f>SUMIFS(수출실적!$L$2:$L$359,수출실적!$C$2:$C$359,$A15,수출실적!$G$2:$G$359,"인도")</f>
        <v/>
      </c>
      <c r="F15" s="56">
        <f>SUM(B15:E15)</f>
        <v/>
      </c>
      <c r="G15" s="57">
        <f>IF(F14=0,"",F15/F14-1)</f>
        <v/>
      </c>
      <c r="H15" s="41">
        <f>SUMPRODUCT((수출실적!$C$2:$C$359=$A15)*(수출실적!$L$2:$L$359=""))</f>
        <v/>
      </c>
    </row>
    <row r="16" ht="15" customHeight="1" s="28">
      <c r="A16" s="41" t="inlineStr">
        <is>
          <t>2024-03</t>
        </is>
      </c>
      <c r="B16" s="56">
        <f>SUMIFS(수출실적!$L$2:$L$359,수출실적!$C$2:$C$359,$A16,수출실적!$G$2:$G$359,"미국")</f>
        <v/>
      </c>
      <c r="C16" s="56">
        <f>SUMIFS(수출실적!$L$2:$L$359,수출실적!$C$2:$C$359,$A16,수출실적!$G$2:$G$359,"멕시코")</f>
        <v/>
      </c>
      <c r="D16" s="56">
        <f>SUMIFS(수출실적!$L$2:$L$359,수출실적!$C$2:$C$359,$A16,수출실적!$G$2:$G$359,"베트남")</f>
        <v/>
      </c>
      <c r="E16" s="56">
        <f>SUMIFS(수출실적!$L$2:$L$359,수출실적!$C$2:$C$359,$A16,수출실적!$G$2:$G$359,"인도")</f>
        <v/>
      </c>
      <c r="F16" s="56">
        <f>SUM(B16:E16)</f>
        <v/>
      </c>
      <c r="G16" s="57">
        <f>IF(F15=0,"",F16/F15-1)</f>
        <v/>
      </c>
      <c r="H16" s="41">
        <f>SUMPRODUCT((수출실적!$C$2:$C$359=$A16)*(수출실적!$L$2:$L$359=""))</f>
        <v/>
      </c>
    </row>
    <row r="17" ht="15" customHeight="1" s="28">
      <c r="A17" s="41" t="inlineStr">
        <is>
          <t>2024-04</t>
        </is>
      </c>
      <c r="B17" s="56">
        <f>SUMIFS(수출실적!$L$2:$L$359,수출실적!$C$2:$C$359,$A17,수출실적!$G$2:$G$359,"미국")</f>
        <v/>
      </c>
      <c r="C17" s="56">
        <f>SUMIFS(수출실적!$L$2:$L$359,수출실적!$C$2:$C$359,$A17,수출실적!$G$2:$G$359,"멕시코")</f>
        <v/>
      </c>
      <c r="D17" s="56">
        <f>SUMIFS(수출실적!$L$2:$L$359,수출실적!$C$2:$C$359,$A17,수출실적!$G$2:$G$359,"베트남")</f>
        <v/>
      </c>
      <c r="E17" s="56">
        <f>SUMIFS(수출실적!$L$2:$L$359,수출실적!$C$2:$C$359,$A17,수출실적!$G$2:$G$359,"인도")</f>
        <v/>
      </c>
      <c r="F17" s="56">
        <f>SUM(B17:E17)</f>
        <v/>
      </c>
      <c r="G17" s="57">
        <f>IF(F16=0,"",F17/F16-1)</f>
        <v/>
      </c>
      <c r="H17" s="41">
        <f>SUMPRODUCT((수출실적!$C$2:$C$359=$A17)*(수출실적!$L$2:$L$359=""))</f>
        <v/>
      </c>
    </row>
    <row r="18" ht="15" customHeight="1" s="28">
      <c r="A18" s="41" t="inlineStr">
        <is>
          <t>2024-05</t>
        </is>
      </c>
      <c r="B18" s="56">
        <f>SUMIFS(수출실적!$L$2:$L$359,수출실적!$C$2:$C$359,$A18,수출실적!$G$2:$G$359,"미국")</f>
        <v/>
      </c>
      <c r="C18" s="56">
        <f>SUMIFS(수출실적!$L$2:$L$359,수출실적!$C$2:$C$359,$A18,수출실적!$G$2:$G$359,"멕시코")</f>
        <v/>
      </c>
      <c r="D18" s="56">
        <f>SUMIFS(수출실적!$L$2:$L$359,수출실적!$C$2:$C$359,$A18,수출실적!$G$2:$G$359,"베트남")</f>
        <v/>
      </c>
      <c r="E18" s="56">
        <f>SUMIFS(수출실적!$L$2:$L$359,수출실적!$C$2:$C$359,$A18,수출실적!$G$2:$G$359,"인도")</f>
        <v/>
      </c>
      <c r="F18" s="56">
        <f>SUM(B18:E18)</f>
        <v/>
      </c>
      <c r="G18" s="57">
        <f>IF(F17=0,"",F18/F17-1)</f>
        <v/>
      </c>
      <c r="H18" s="41">
        <f>SUMPRODUCT((수출실적!$C$2:$C$359=$A18)*(수출실적!$L$2:$L$359=""))</f>
        <v/>
      </c>
    </row>
    <row r="19" ht="15" customHeight="1" s="28">
      <c r="A19" s="41" t="inlineStr">
        <is>
          <t>2024-06</t>
        </is>
      </c>
      <c r="B19" s="56">
        <f>SUMIFS(수출실적!$L$2:$L$359,수출실적!$C$2:$C$359,$A19,수출실적!$G$2:$G$359,"미국")</f>
        <v/>
      </c>
      <c r="C19" s="56">
        <f>SUMIFS(수출실적!$L$2:$L$359,수출실적!$C$2:$C$359,$A19,수출실적!$G$2:$G$359,"멕시코")</f>
        <v/>
      </c>
      <c r="D19" s="56">
        <f>SUMIFS(수출실적!$L$2:$L$359,수출실적!$C$2:$C$359,$A19,수출실적!$G$2:$G$359,"베트남")</f>
        <v/>
      </c>
      <c r="E19" s="56">
        <f>SUMIFS(수출실적!$L$2:$L$359,수출실적!$C$2:$C$359,$A19,수출실적!$G$2:$G$359,"인도")</f>
        <v/>
      </c>
      <c r="F19" s="56">
        <f>SUM(B19:E19)</f>
        <v/>
      </c>
      <c r="G19" s="57">
        <f>IF(F18=0,"",F19/F18-1)</f>
        <v/>
      </c>
      <c r="H19" s="41">
        <f>SUMPRODUCT((수출실적!$C$2:$C$359=$A19)*(수출실적!$L$2:$L$359=""))</f>
        <v/>
      </c>
    </row>
    <row r="20" ht="15" customHeight="1" s="28">
      <c r="A20" s="41" t="inlineStr">
        <is>
          <t>2024-07</t>
        </is>
      </c>
      <c r="B20" s="56">
        <f>SUMIFS(수출실적!$L$2:$L$359,수출실적!$C$2:$C$359,$A20,수출실적!$G$2:$G$359,"미국")</f>
        <v/>
      </c>
      <c r="C20" s="56">
        <f>SUMIFS(수출실적!$L$2:$L$359,수출실적!$C$2:$C$359,$A20,수출실적!$G$2:$G$359,"멕시코")</f>
        <v/>
      </c>
      <c r="D20" s="56">
        <f>SUMIFS(수출실적!$L$2:$L$359,수출실적!$C$2:$C$359,$A20,수출실적!$G$2:$G$359,"베트남")</f>
        <v/>
      </c>
      <c r="E20" s="56">
        <f>SUMIFS(수출실적!$L$2:$L$359,수출실적!$C$2:$C$359,$A20,수출실적!$G$2:$G$359,"인도")</f>
        <v/>
      </c>
      <c r="F20" s="56">
        <f>SUM(B20:E20)</f>
        <v/>
      </c>
      <c r="G20" s="57">
        <f>IF(F19=0,"",F20/F19-1)</f>
        <v/>
      </c>
      <c r="H20" s="41">
        <f>SUMPRODUCT((수출실적!$C$2:$C$359=$A20)*(수출실적!$L$2:$L$359=""))</f>
        <v/>
      </c>
    </row>
    <row r="21" ht="15" customHeight="1" s="28">
      <c r="A21" s="41" t="inlineStr">
        <is>
          <t>2024-08</t>
        </is>
      </c>
      <c r="B21" s="56">
        <f>SUMIFS(수출실적!$L$2:$L$359,수출실적!$C$2:$C$359,$A21,수출실적!$G$2:$G$359,"미국")</f>
        <v/>
      </c>
      <c r="C21" s="56">
        <f>SUMIFS(수출실적!$L$2:$L$359,수출실적!$C$2:$C$359,$A21,수출실적!$G$2:$G$359,"멕시코")</f>
        <v/>
      </c>
      <c r="D21" s="56">
        <f>SUMIFS(수출실적!$L$2:$L$359,수출실적!$C$2:$C$359,$A21,수출실적!$G$2:$G$359,"베트남")</f>
        <v/>
      </c>
      <c r="E21" s="56">
        <f>SUMIFS(수출실적!$L$2:$L$359,수출실적!$C$2:$C$359,$A21,수출실적!$G$2:$G$359,"인도")</f>
        <v/>
      </c>
      <c r="F21" s="56">
        <f>SUM(B21:E21)</f>
        <v/>
      </c>
      <c r="G21" s="57">
        <f>IF(F20=0,"",F21/F20-1)</f>
        <v/>
      </c>
      <c r="H21" s="41">
        <f>SUMPRODUCT((수출실적!$C$2:$C$359=$A21)*(수출실적!$L$2:$L$359=""))</f>
        <v/>
      </c>
    </row>
    <row r="22" ht="15" customHeight="1" s="28">
      <c r="A22" s="41" t="inlineStr">
        <is>
          <t>2024-09</t>
        </is>
      </c>
      <c r="B22" s="56">
        <f>SUMIFS(수출실적!$L$2:$L$359,수출실적!$C$2:$C$359,$A22,수출실적!$G$2:$G$359,"미국")</f>
        <v/>
      </c>
      <c r="C22" s="56">
        <f>SUMIFS(수출실적!$L$2:$L$359,수출실적!$C$2:$C$359,$A22,수출실적!$G$2:$G$359,"멕시코")</f>
        <v/>
      </c>
      <c r="D22" s="56">
        <f>SUMIFS(수출실적!$L$2:$L$359,수출실적!$C$2:$C$359,$A22,수출실적!$G$2:$G$359,"베트남")</f>
        <v/>
      </c>
      <c r="E22" s="56">
        <f>SUMIFS(수출실적!$L$2:$L$359,수출실적!$C$2:$C$359,$A22,수출실적!$G$2:$G$359,"인도")</f>
        <v/>
      </c>
      <c r="F22" s="56">
        <f>SUM(B22:E22)</f>
        <v/>
      </c>
      <c r="G22" s="57">
        <f>IF(F21=0,"",F22/F21-1)</f>
        <v/>
      </c>
      <c r="H22" s="41">
        <f>SUMPRODUCT((수출실적!$C$2:$C$359=$A22)*(수출실적!$L$2:$L$359=""))</f>
        <v/>
      </c>
    </row>
    <row r="23" ht="15" customHeight="1" s="28">
      <c r="A23" s="41" t="inlineStr">
        <is>
          <t>2024-10</t>
        </is>
      </c>
      <c r="B23" s="56">
        <f>SUMIFS(수출실적!$L$2:$L$359,수출실적!$C$2:$C$359,$A23,수출실적!$G$2:$G$359,"미국")</f>
        <v/>
      </c>
      <c r="C23" s="56">
        <f>SUMIFS(수출실적!$L$2:$L$359,수출실적!$C$2:$C$359,$A23,수출실적!$G$2:$G$359,"멕시코")</f>
        <v/>
      </c>
      <c r="D23" s="56">
        <f>SUMIFS(수출실적!$L$2:$L$359,수출실적!$C$2:$C$359,$A23,수출실적!$G$2:$G$359,"베트남")</f>
        <v/>
      </c>
      <c r="E23" s="56">
        <f>SUMIFS(수출실적!$L$2:$L$359,수출실적!$C$2:$C$359,$A23,수출실적!$G$2:$G$359,"인도")</f>
        <v/>
      </c>
      <c r="F23" s="56">
        <f>SUM(B23:E23)</f>
        <v/>
      </c>
      <c r="G23" s="57">
        <f>IF(F22=0,"",F23/F22-1)</f>
        <v/>
      </c>
      <c r="H23" s="41">
        <f>SUMPRODUCT((수출실적!$C$2:$C$359=$A23)*(수출실적!$L$2:$L$359=""))</f>
        <v/>
      </c>
    </row>
    <row r="24" ht="15" customHeight="1" s="28">
      <c r="A24" s="41" t="inlineStr">
        <is>
          <t>2024-11</t>
        </is>
      </c>
      <c r="B24" s="56">
        <f>SUMIFS(수출실적!$L$2:$L$359,수출실적!$C$2:$C$359,$A24,수출실적!$G$2:$G$359,"미국")</f>
        <v/>
      </c>
      <c r="C24" s="56">
        <f>SUMIFS(수출실적!$L$2:$L$359,수출실적!$C$2:$C$359,$A24,수출실적!$G$2:$G$359,"멕시코")</f>
        <v/>
      </c>
      <c r="D24" s="56">
        <f>SUMIFS(수출실적!$L$2:$L$359,수출실적!$C$2:$C$359,$A24,수출실적!$G$2:$G$359,"베트남")</f>
        <v/>
      </c>
      <c r="E24" s="56">
        <f>SUMIFS(수출실적!$L$2:$L$359,수출실적!$C$2:$C$359,$A24,수출실적!$G$2:$G$359,"인도")</f>
        <v/>
      </c>
      <c r="F24" s="56">
        <f>SUM(B24:E24)</f>
        <v/>
      </c>
      <c r="G24" s="57">
        <f>IF(F23=0,"",F24/F23-1)</f>
        <v/>
      </c>
      <c r="H24" s="41">
        <f>SUMPRODUCT((수출실적!$C$2:$C$359=$A24)*(수출실적!$L$2:$L$359=""))</f>
        <v/>
      </c>
    </row>
    <row r="25" ht="15" customHeight="1" s="28">
      <c r="A25" s="41" t="inlineStr">
        <is>
          <t>2024-12</t>
        </is>
      </c>
      <c r="B25" s="56">
        <f>SUMIFS(수출실적!$L$2:$L$359,수출실적!$C$2:$C$359,$A25,수출실적!$G$2:$G$359,"미국")</f>
        <v/>
      </c>
      <c r="C25" s="56">
        <f>SUMIFS(수출실적!$L$2:$L$359,수출실적!$C$2:$C$359,$A25,수출실적!$G$2:$G$359,"멕시코")</f>
        <v/>
      </c>
      <c r="D25" s="56">
        <f>SUMIFS(수출실적!$L$2:$L$359,수출실적!$C$2:$C$359,$A25,수출실적!$G$2:$G$359,"베트남")</f>
        <v/>
      </c>
      <c r="E25" s="56">
        <f>SUMIFS(수출실적!$L$2:$L$359,수출실적!$C$2:$C$359,$A25,수출실적!$G$2:$G$359,"인도")</f>
        <v/>
      </c>
      <c r="F25" s="56">
        <f>SUM(B25:E25)</f>
        <v/>
      </c>
      <c r="G25" s="57">
        <f>IF(F24=0,"",F25/F24-1)</f>
        <v/>
      </c>
      <c r="H25" s="41">
        <f>SUMPRODUCT((수출실적!$C$2:$C$359=$A25)*(수출실적!$L$2:$L$359=""))</f>
        <v/>
      </c>
    </row>
    <row r="26" ht="15" customHeight="1" s="28">
      <c r="A26" s="41" t="inlineStr">
        <is>
          <t>2025-01</t>
        </is>
      </c>
      <c r="B26" s="56">
        <f>SUMIFS(수출실적!$L$2:$L$359,수출실적!$C$2:$C$359,$A26,수출실적!$G$2:$G$359,"미국")</f>
        <v/>
      </c>
      <c r="C26" s="56">
        <f>SUMIFS(수출실적!$L$2:$L$359,수출실적!$C$2:$C$359,$A26,수출실적!$G$2:$G$359,"멕시코")</f>
        <v/>
      </c>
      <c r="D26" s="56">
        <f>SUMIFS(수출실적!$L$2:$L$359,수출실적!$C$2:$C$359,$A26,수출실적!$G$2:$G$359,"베트남")</f>
        <v/>
      </c>
      <c r="E26" s="56">
        <f>SUMIFS(수출실적!$L$2:$L$359,수출실적!$C$2:$C$359,$A26,수출실적!$G$2:$G$359,"인도")</f>
        <v/>
      </c>
      <c r="F26" s="56">
        <f>SUM(B26:E26)</f>
        <v/>
      </c>
      <c r="G26" s="57">
        <f>IF(F25=0,"",F26/F25-1)</f>
        <v/>
      </c>
      <c r="H26" s="41">
        <f>SUMPRODUCT((수출실적!$C$2:$C$359=$A26)*(수출실적!$L$2:$L$359=""))</f>
        <v/>
      </c>
    </row>
    <row r="27" ht="15" customHeight="1" s="28">
      <c r="A27" s="41" t="inlineStr">
        <is>
          <t>2025-02</t>
        </is>
      </c>
      <c r="B27" s="56">
        <f>SUMIFS(수출실적!$L$2:$L$359,수출실적!$C$2:$C$359,$A27,수출실적!$G$2:$G$359,"미국")</f>
        <v/>
      </c>
      <c r="C27" s="56">
        <f>SUMIFS(수출실적!$L$2:$L$359,수출실적!$C$2:$C$359,$A27,수출실적!$G$2:$G$359,"멕시코")</f>
        <v/>
      </c>
      <c r="D27" s="56">
        <f>SUMIFS(수출실적!$L$2:$L$359,수출실적!$C$2:$C$359,$A27,수출실적!$G$2:$G$359,"베트남")</f>
        <v/>
      </c>
      <c r="E27" s="56">
        <f>SUMIFS(수출실적!$L$2:$L$359,수출실적!$C$2:$C$359,$A27,수출실적!$G$2:$G$359,"인도")</f>
        <v/>
      </c>
      <c r="F27" s="56">
        <f>SUM(B27:E27)</f>
        <v/>
      </c>
      <c r="G27" s="57">
        <f>IF(F26=0,"",F27/F26-1)</f>
        <v/>
      </c>
      <c r="H27" s="41">
        <f>SUMPRODUCT((수출실적!$C$2:$C$359=$A27)*(수출실적!$L$2:$L$359=""))</f>
        <v/>
      </c>
    </row>
    <row r="28" ht="15" customHeight="1" s="28">
      <c r="A28" s="41" t="inlineStr">
        <is>
          <t>2025-03</t>
        </is>
      </c>
      <c r="B28" s="56">
        <f>SUMIFS(수출실적!$L$2:$L$359,수출실적!$C$2:$C$359,$A28,수출실적!$G$2:$G$359,"미국")</f>
        <v/>
      </c>
      <c r="C28" s="56">
        <f>SUMIFS(수출실적!$L$2:$L$359,수출실적!$C$2:$C$359,$A28,수출실적!$G$2:$G$359,"멕시코")</f>
        <v/>
      </c>
      <c r="D28" s="56">
        <f>SUMIFS(수출실적!$L$2:$L$359,수출실적!$C$2:$C$359,$A28,수출실적!$G$2:$G$359,"베트남")</f>
        <v/>
      </c>
      <c r="E28" s="56">
        <f>SUMIFS(수출실적!$L$2:$L$359,수출실적!$C$2:$C$359,$A28,수출실적!$G$2:$G$359,"인도")</f>
        <v/>
      </c>
      <c r="F28" s="56">
        <f>SUM(B28:E28)</f>
        <v/>
      </c>
      <c r="G28" s="57">
        <f>IF(F27=0,"",F28/F27-1)</f>
        <v/>
      </c>
      <c r="H28" s="41">
        <f>SUMPRODUCT((수출실적!$C$2:$C$359=$A28)*(수출실적!$L$2:$L$359=""))</f>
        <v/>
      </c>
    </row>
    <row r="29" ht="15" customHeight="1" s="28">
      <c r="A29" s="41" t="inlineStr">
        <is>
          <t>2025-04</t>
        </is>
      </c>
      <c r="B29" s="56">
        <f>SUMIFS(수출실적!$L$2:$L$359,수출실적!$C$2:$C$359,$A29,수출실적!$G$2:$G$359,"미국")</f>
        <v/>
      </c>
      <c r="C29" s="56">
        <f>SUMIFS(수출실적!$L$2:$L$359,수출실적!$C$2:$C$359,$A29,수출실적!$G$2:$G$359,"멕시코")</f>
        <v/>
      </c>
      <c r="D29" s="56">
        <f>SUMIFS(수출실적!$L$2:$L$359,수출실적!$C$2:$C$359,$A29,수출실적!$G$2:$G$359,"베트남")</f>
        <v/>
      </c>
      <c r="E29" s="56">
        <f>SUMIFS(수출실적!$L$2:$L$359,수출실적!$C$2:$C$359,$A29,수출실적!$G$2:$G$359,"인도")</f>
        <v/>
      </c>
      <c r="F29" s="56">
        <f>SUM(B29:E29)</f>
        <v/>
      </c>
      <c r="G29" s="57">
        <f>IF(F28=0,"",F29/F28-1)</f>
        <v/>
      </c>
      <c r="H29" s="41">
        <f>SUMPRODUCT((수출실적!$C$2:$C$359=$A29)*(수출실적!$L$2:$L$359=""))</f>
        <v/>
      </c>
    </row>
    <row r="30" ht="15" customHeight="1" s="28">
      <c r="A30" s="41" t="inlineStr">
        <is>
          <t>2025-05</t>
        </is>
      </c>
      <c r="B30" s="56">
        <f>SUMIFS(수출실적!$L$2:$L$359,수출실적!$C$2:$C$359,$A30,수출실적!$G$2:$G$359,"미국")</f>
        <v/>
      </c>
      <c r="C30" s="56">
        <f>SUMIFS(수출실적!$L$2:$L$359,수출실적!$C$2:$C$359,$A30,수출실적!$G$2:$G$359,"멕시코")</f>
        <v/>
      </c>
      <c r="D30" s="56">
        <f>SUMIFS(수출실적!$L$2:$L$359,수출실적!$C$2:$C$359,$A30,수출실적!$G$2:$G$359,"베트남")</f>
        <v/>
      </c>
      <c r="E30" s="56">
        <f>SUMIFS(수출실적!$L$2:$L$359,수출실적!$C$2:$C$359,$A30,수출실적!$G$2:$G$359,"인도")</f>
        <v/>
      </c>
      <c r="F30" s="56">
        <f>SUM(B30:E30)</f>
        <v/>
      </c>
      <c r="G30" s="57">
        <f>IF(F29=0,"",F30/F29-1)</f>
        <v/>
      </c>
      <c r="H30" s="41">
        <f>SUMPRODUCT((수출실적!$C$2:$C$359=$A30)*(수출실적!$L$2:$L$359=""))</f>
        <v/>
      </c>
    </row>
    <row r="31" ht="15" customHeight="1" s="28">
      <c r="A31" s="41" t="inlineStr">
        <is>
          <t>2025-06</t>
        </is>
      </c>
      <c r="B31" s="56">
        <f>SUMIFS(수출실적!$L$2:$L$359,수출실적!$C$2:$C$359,$A31,수출실적!$G$2:$G$359,"미국")</f>
        <v/>
      </c>
      <c r="C31" s="56">
        <f>SUMIFS(수출실적!$L$2:$L$359,수출실적!$C$2:$C$359,$A31,수출실적!$G$2:$G$359,"멕시코")</f>
        <v/>
      </c>
      <c r="D31" s="56">
        <f>SUMIFS(수출실적!$L$2:$L$359,수출실적!$C$2:$C$359,$A31,수출실적!$G$2:$G$359,"베트남")</f>
        <v/>
      </c>
      <c r="E31" s="56">
        <f>SUMIFS(수출실적!$L$2:$L$359,수출실적!$C$2:$C$359,$A31,수출실적!$G$2:$G$359,"인도")</f>
        <v/>
      </c>
      <c r="F31" s="56">
        <f>SUM(B31:E31)</f>
        <v/>
      </c>
      <c r="G31" s="57">
        <f>IF(F30=0,"",F31/F30-1)</f>
        <v/>
      </c>
      <c r="H31" s="41">
        <f>SUMPRODUCT((수출실적!$C$2:$C$359=$A31)*(수출실적!$L$2:$L$359=""))</f>
        <v/>
      </c>
    </row>
    <row r="32" ht="15" customHeight="1" s="28">
      <c r="A32" s="41" t="inlineStr">
        <is>
          <t>2025-07</t>
        </is>
      </c>
      <c r="B32" s="56">
        <f>SUMIFS(수출실적!$L$2:$L$359,수출실적!$C$2:$C$359,$A32,수출실적!$G$2:$G$359,"미국")</f>
        <v/>
      </c>
      <c r="C32" s="56">
        <f>SUMIFS(수출실적!$L$2:$L$359,수출실적!$C$2:$C$359,$A32,수출실적!$G$2:$G$359,"멕시코")</f>
        <v/>
      </c>
      <c r="D32" s="56">
        <f>SUMIFS(수출실적!$L$2:$L$359,수출실적!$C$2:$C$359,$A32,수출실적!$G$2:$G$359,"베트남")</f>
        <v/>
      </c>
      <c r="E32" s="56">
        <f>SUMIFS(수출실적!$L$2:$L$359,수출실적!$C$2:$C$359,$A32,수출실적!$G$2:$G$359,"인도")</f>
        <v/>
      </c>
      <c r="F32" s="56">
        <f>SUM(B32:E32)</f>
        <v/>
      </c>
      <c r="G32" s="57">
        <f>IF(F31=0,"",F32/F31-1)</f>
        <v/>
      </c>
      <c r="H32" s="41">
        <f>SUMPRODUCT((수출실적!$C$2:$C$359=$A32)*(수출실적!$L$2:$L$359=""))</f>
        <v/>
      </c>
    </row>
    <row r="33" ht="15" customHeight="1" s="28">
      <c r="A33" s="41" t="inlineStr">
        <is>
          <t>2025-08</t>
        </is>
      </c>
      <c r="B33" s="56">
        <f>SUMIFS(수출실적!$L$2:$L$359,수출실적!$C$2:$C$359,$A33,수출실적!$G$2:$G$359,"미국")</f>
        <v/>
      </c>
      <c r="C33" s="56">
        <f>SUMIFS(수출실적!$L$2:$L$359,수출실적!$C$2:$C$359,$A33,수출실적!$G$2:$G$359,"멕시코")</f>
        <v/>
      </c>
      <c r="D33" s="56">
        <f>SUMIFS(수출실적!$L$2:$L$359,수출실적!$C$2:$C$359,$A33,수출실적!$G$2:$G$359,"베트남")</f>
        <v/>
      </c>
      <c r="E33" s="56">
        <f>SUMIFS(수출실적!$L$2:$L$359,수출실적!$C$2:$C$359,$A33,수출실적!$G$2:$G$359,"인도")</f>
        <v/>
      </c>
      <c r="F33" s="56">
        <f>SUM(B33:E33)</f>
        <v/>
      </c>
      <c r="G33" s="57">
        <f>IF(F32=0,"",F33/F32-1)</f>
        <v/>
      </c>
      <c r="H33" s="41">
        <f>SUMPRODUCT((수출실적!$C$2:$C$359=$A33)*(수출실적!$L$2:$L$359=""))</f>
        <v/>
      </c>
    </row>
    <row r="34" ht="15" customHeight="1" s="28">
      <c r="A34" s="41" t="inlineStr">
        <is>
          <t>2025-09</t>
        </is>
      </c>
      <c r="B34" s="56">
        <f>SUMIFS(수출실적!$L$2:$L$359,수출실적!$C$2:$C$359,$A34,수출실적!$G$2:$G$359,"미국")</f>
        <v/>
      </c>
      <c r="C34" s="56">
        <f>SUMIFS(수출실적!$L$2:$L$359,수출실적!$C$2:$C$359,$A34,수출실적!$G$2:$G$359,"멕시코")</f>
        <v/>
      </c>
      <c r="D34" s="56">
        <f>SUMIFS(수출실적!$L$2:$L$359,수출실적!$C$2:$C$359,$A34,수출실적!$G$2:$G$359,"베트남")</f>
        <v/>
      </c>
      <c r="E34" s="56">
        <f>SUMIFS(수출실적!$L$2:$L$359,수출실적!$C$2:$C$359,$A34,수출실적!$G$2:$G$359,"인도")</f>
        <v/>
      </c>
      <c r="F34" s="56">
        <f>SUM(B34:E34)</f>
        <v/>
      </c>
      <c r="G34" s="57">
        <f>IF(F33=0,"",F34/F33-1)</f>
        <v/>
      </c>
      <c r="H34" s="41">
        <f>SUMPRODUCT((수출실적!$C$2:$C$359=$A34)*(수출실적!$L$2:$L$359=""))</f>
        <v/>
      </c>
    </row>
    <row r="35" ht="15" customHeight="1" s="28">
      <c r="A35" s="41" t="inlineStr">
        <is>
          <t>2025-10</t>
        </is>
      </c>
      <c r="B35" s="56">
        <f>SUMIFS(수출실적!$L$2:$L$359,수출실적!$C$2:$C$359,$A35,수출실적!$G$2:$G$359,"미국")</f>
        <v/>
      </c>
      <c r="C35" s="56">
        <f>SUMIFS(수출실적!$L$2:$L$359,수출실적!$C$2:$C$359,$A35,수출실적!$G$2:$G$359,"멕시코")</f>
        <v/>
      </c>
      <c r="D35" s="56">
        <f>SUMIFS(수출실적!$L$2:$L$359,수출실적!$C$2:$C$359,$A35,수출실적!$G$2:$G$359,"베트남")</f>
        <v/>
      </c>
      <c r="E35" s="56">
        <f>SUMIFS(수출실적!$L$2:$L$359,수출실적!$C$2:$C$359,$A35,수출실적!$G$2:$G$359,"인도")</f>
        <v/>
      </c>
      <c r="F35" s="56">
        <f>SUM(B35:E35)</f>
        <v/>
      </c>
      <c r="G35" s="57">
        <f>IF(F34=0,"",F35/F34-1)</f>
        <v/>
      </c>
      <c r="H35" s="41">
        <f>SUMPRODUCT((수출실적!$C$2:$C$359=$A35)*(수출실적!$L$2:$L$359=""))</f>
        <v/>
      </c>
    </row>
    <row r="36" ht="15" customHeight="1" s="28">
      <c r="A36" s="41" t="inlineStr">
        <is>
          <t>2025-11</t>
        </is>
      </c>
      <c r="B36" s="56">
        <f>SUMIFS(수출실적!$L$2:$L$359,수출실적!$C$2:$C$359,$A36,수출실적!$G$2:$G$359,"미국")</f>
        <v/>
      </c>
      <c r="C36" s="56">
        <f>SUMIFS(수출실적!$L$2:$L$359,수출실적!$C$2:$C$359,$A36,수출실적!$G$2:$G$359,"멕시코")</f>
        <v/>
      </c>
      <c r="D36" s="56">
        <f>SUMIFS(수출실적!$L$2:$L$359,수출실적!$C$2:$C$359,$A36,수출실적!$G$2:$G$359,"베트남")</f>
        <v/>
      </c>
      <c r="E36" s="56">
        <f>SUMIFS(수출실적!$L$2:$L$359,수출실적!$C$2:$C$359,$A36,수출실적!$G$2:$G$359,"인도")</f>
        <v/>
      </c>
      <c r="F36" s="56">
        <f>SUM(B36:E36)</f>
        <v/>
      </c>
      <c r="G36" s="57">
        <f>IF(F35=0,"",F36/F35-1)</f>
        <v/>
      </c>
      <c r="H36" s="41">
        <f>SUMPRODUCT((수출실적!$C$2:$C$359=$A36)*(수출실적!$L$2:$L$359=""))</f>
        <v/>
      </c>
    </row>
    <row r="37" ht="15" customHeight="1" s="28">
      <c r="A37" s="41" t="inlineStr">
        <is>
          <t>2025-12</t>
        </is>
      </c>
      <c r="B37" s="56">
        <f>SUMIFS(수출실적!$L$2:$L$359,수출실적!$C$2:$C$359,$A37,수출실적!$G$2:$G$359,"미국")</f>
        <v/>
      </c>
      <c r="C37" s="56">
        <f>SUMIFS(수출실적!$L$2:$L$359,수출실적!$C$2:$C$359,$A37,수출실적!$G$2:$G$359,"멕시코")</f>
        <v/>
      </c>
      <c r="D37" s="56">
        <f>SUMIFS(수출실적!$L$2:$L$359,수출실적!$C$2:$C$359,$A37,수출실적!$G$2:$G$359,"베트남")</f>
        <v/>
      </c>
      <c r="E37" s="56">
        <f>SUMIFS(수출실적!$L$2:$L$359,수출실적!$C$2:$C$359,$A37,수출실적!$G$2:$G$359,"인도")</f>
        <v/>
      </c>
      <c r="F37" s="56">
        <f>SUM(B37:E37)</f>
        <v/>
      </c>
      <c r="G37" s="57">
        <f>IF(F36=0,"",F37/F36-1)</f>
        <v/>
      </c>
      <c r="H37" s="41">
        <f>SUMPRODUCT((수출실적!$C$2:$C$359=$A37)*(수출실적!$L$2:$L$359=""))</f>
        <v/>
      </c>
    </row>
    <row r="39" ht="15" customHeight="1" s="28">
      <c r="A39" s="39" t="inlineStr">
        <is>
          <t>금액은 수출실적 시트 합계(SUMIFS). 금액 빈칸은 0으로 더해지므로 '금액 빈칸 행수'가 0이 아닌 달은 합계를 그대로 쓰지 말 것.</t>
        </is>
      </c>
    </row>
    <row r="40" ht="15" customHeight="1" s="28">
      <c r="A40" s="39" t="inlineStr">
        <is>
          <t>회사 자체 수출 흐름 참고용. 대시보드 안정성(목적국 수입금액 CV·급감)은 공개 무역통계로 계산하며 이 표와 다름.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7" min="1" max="1"/>
    <col width="10" customWidth="1" style="27" min="2" max="3"/>
    <col width="12" customWidth="1" style="27" min="4" max="4"/>
    <col width="22" customWidth="1" style="27" min="5" max="5"/>
    <col width="40" customWidth="1" style="27" min="6" max="6"/>
    <col width="44" customWidth="1" style="27" min="7" max="7"/>
  </cols>
  <sheetData>
    <row r="1" ht="20.1" customHeight="1" s="28">
      <c r="A1" s="35" t="inlineStr">
        <is>
          <t>새벽반도체 — 의도적으로 넣은 결측·예외 위치 (검증 로직 테스트용)</t>
        </is>
      </c>
    </row>
    <row r="2" ht="15" customHeight="1" s="28">
      <c r="A2" s="39" t="inlineStr">
        <is>
          <t>처리 원칙: 빈칸은 '자료 부족'으로 표시하고 0·임의 값으로 채우지 않음. 실제 0(취소 건)과 빈칸을 구분. 행 자체가 없는 달은 '자료 없음'.</t>
        </is>
      </c>
    </row>
    <row r="4" ht="15" customHeight="1" s="28">
      <c r="A4" s="36" t="inlineStr">
        <is>
          <t>구분</t>
        </is>
      </c>
      <c r="B4" s="36" t="inlineStr">
        <is>
          <t>시트</t>
        </is>
      </c>
      <c r="C4" s="36" t="inlineStr">
        <is>
          <t>셀/행</t>
        </is>
      </c>
      <c r="D4" s="36" t="inlineStr">
        <is>
          <t>식별자</t>
        </is>
      </c>
      <c r="E4" s="36" t="inlineStr">
        <is>
          <t>비어 있는 항목</t>
        </is>
      </c>
      <c r="F4" s="36" t="inlineStr">
        <is>
          <t>대시보드 영향</t>
        </is>
      </c>
      <c r="G4" s="36" t="inlineStr">
        <is>
          <t>권장 처리</t>
        </is>
      </c>
    </row>
    <row r="5" ht="15" customHeight="1" s="28">
      <c r="A5" s="42" t="inlineStr">
        <is>
          <t>기업 정보</t>
        </is>
      </c>
      <c r="B5" s="42" t="inlineStr">
        <is>
          <t>기업정보</t>
        </is>
      </c>
      <c r="C5" s="41" t="inlineStr">
        <is>
          <t>B8</t>
        </is>
      </c>
      <c r="D5" s="41" t="inlineStr">
        <is>
          <t>company</t>
        </is>
      </c>
      <c r="E5" s="42" t="inlineStr">
        <is>
          <t>금액 통화</t>
        </is>
      </c>
      <c r="F5" s="42" t="inlineStr">
        <is>
          <t>결제통화 불명 → 참고환율 통화 선택 불가</t>
        </is>
      </c>
      <c r="G5" s="41" t="inlineStr">
        <is>
          <t>'통화 미확인' 표시, 환율 카드 자료 부족</t>
        </is>
      </c>
    </row>
    <row r="6" ht="15" customHeight="1" s="28">
      <c r="A6" s="42" t="inlineStr">
        <is>
          <t>제품 HS</t>
        </is>
      </c>
      <c r="B6" s="42" t="inlineStr">
        <is>
          <t>제품정보</t>
        </is>
      </c>
      <c r="C6" s="41" t="inlineStr">
        <is>
          <t>D4:E4</t>
        </is>
      </c>
      <c r="D6" s="41" t="inlineStr">
        <is>
          <t>P-SB-003</t>
        </is>
      </c>
      <c r="E6" s="42" t="inlineStr">
        <is>
          <t>입력HSK, HS코드</t>
        </is>
      </c>
      <c r="F6" s="42" t="inlineStr">
        <is>
          <t>규제 통제번호 후보 조회 불가, 관세 참고치 조회 불가</t>
        </is>
      </c>
      <c r="G6" s="41" t="inlineStr">
        <is>
          <t>'HS 미확인'으로 분리, 이 제품 금액은 HS별 집계에서 제외하고 건수 표시</t>
        </is>
      </c>
    </row>
    <row r="7" ht="15" customHeight="1" s="28">
      <c r="A7" s="42" t="inlineStr">
        <is>
          <t>거래처</t>
        </is>
      </c>
      <c r="B7" s="42" t="inlineStr">
        <is>
          <t>거래처</t>
        </is>
      </c>
      <c r="C7" s="41" t="inlineStr">
        <is>
          <t>D4</t>
        </is>
      </c>
      <c r="D7" s="41" t="inlineStr">
        <is>
          <t>C-SB-03</t>
        </is>
      </c>
      <c r="E7" s="42" t="inlineStr">
        <is>
          <t>주소</t>
        </is>
      </c>
      <c r="F7" s="41" t="inlineStr">
        <is>
          <t>CSL 검색 시 주소 대조 불가(명칭만 검색)</t>
        </is>
      </c>
      <c r="G7" s="42" t="inlineStr">
        <is>
          <t>명칭 검색만 수행, '주소 미기재' 표시</t>
        </is>
      </c>
    </row>
    <row r="8" ht="15" customHeight="1" s="28">
      <c r="A8" s="42" t="inlineStr">
        <is>
          <t>거래처</t>
        </is>
      </c>
      <c r="B8" s="42" t="inlineStr">
        <is>
          <t>거래처</t>
        </is>
      </c>
      <c r="C8" s="41" t="inlineStr">
        <is>
          <t>B5</t>
        </is>
      </c>
      <c r="D8" s="41" t="inlineStr">
        <is>
          <t>C-SB-04</t>
        </is>
      </c>
      <c r="E8" s="42" t="inlineStr">
        <is>
          <t>법인명 (별칭만 있음)</t>
        </is>
      </c>
      <c r="F8" s="41" t="inlineStr">
        <is>
          <t>CSL 명칭 검색 불가</t>
        </is>
      </c>
      <c r="G8" s="41" t="inlineStr">
        <is>
          <t>'검색 불가 — 법인명 없음' 표시, '일치 없음'으로 처리하지 않음</t>
        </is>
      </c>
    </row>
    <row r="9" ht="15" customHeight="1" s="28">
      <c r="A9" s="42" t="inlineStr">
        <is>
          <t>수출실적</t>
        </is>
      </c>
      <c r="B9" s="42" t="inlineStr">
        <is>
          <t>수출실적</t>
        </is>
      </c>
      <c r="C9" s="41" t="inlineStr">
        <is>
          <t>E3</t>
        </is>
      </c>
      <c r="D9" s="41" t="inlineStr">
        <is>
          <t>R-SB-0002</t>
        </is>
      </c>
      <c r="E9" s="42" t="inlineStr">
        <is>
          <t>제품ID</t>
        </is>
      </c>
      <c r="F9" s="42" t="inlineStr">
        <is>
          <t>제품·HS 연결 불가 → HS별 집계 제외</t>
        </is>
      </c>
      <c r="G9" s="42" t="inlineStr">
        <is>
          <t>행은 보존, 해당 계산만 제외하고 제외 건수 표시</t>
        </is>
      </c>
    </row>
    <row r="10" ht="15" customHeight="1" s="28">
      <c r="A10" s="42" t="inlineStr">
        <is>
          <t>수출실적</t>
        </is>
      </c>
      <c r="B10" s="42" t="inlineStr">
        <is>
          <t>수출실적</t>
        </is>
      </c>
      <c r="C10" s="41" t="inlineStr">
        <is>
          <t>K9</t>
        </is>
      </c>
      <c r="D10" s="41" t="inlineStr">
        <is>
          <t>R-SB-0008</t>
        </is>
      </c>
      <c r="E10" s="42" t="inlineStr">
        <is>
          <t>순중량(kg)</t>
        </is>
      </c>
      <c r="F10" s="41" t="inlineStr">
        <is>
          <t>kg당 단가 계산에서 제외</t>
        </is>
      </c>
      <c r="G10" s="42" t="inlineStr">
        <is>
          <t>행은 보존, 해당 계산만 제외하고 제외 건수 표시</t>
        </is>
      </c>
    </row>
    <row r="11" ht="15" customHeight="1" s="28">
      <c r="A11" s="42" t="inlineStr">
        <is>
          <t>수출실적</t>
        </is>
      </c>
      <c r="B11" s="42" t="inlineStr">
        <is>
          <t>수출실적</t>
        </is>
      </c>
      <c r="C11" s="41" t="inlineStr">
        <is>
          <t>L14</t>
        </is>
      </c>
      <c r="D11" s="41" t="inlineStr">
        <is>
          <t>R-SB-0012</t>
        </is>
      </c>
      <c r="E11" s="42" t="inlineStr">
        <is>
          <t>금액</t>
        </is>
      </c>
      <c r="F11" s="42" t="inlineStr">
        <is>
          <t>월별 합계·단가 계산에서 제외 (0으로 더하지 않음)</t>
        </is>
      </c>
      <c r="G11" s="42" t="inlineStr">
        <is>
          <t>행은 보존, 해당 계산만 제외하고 제외 건수 표시</t>
        </is>
      </c>
    </row>
    <row r="12" ht="15" customHeight="1" s="28">
      <c r="A12" s="42" t="inlineStr">
        <is>
          <t>수출실적</t>
        </is>
      </c>
      <c r="B12" s="42" t="inlineStr">
        <is>
          <t>수출실적</t>
        </is>
      </c>
      <c r="C12" s="41" t="inlineStr">
        <is>
          <t>L16</t>
        </is>
      </c>
      <c r="D12" s="41" t="inlineStr">
        <is>
          <t>R-SB-0014</t>
        </is>
      </c>
      <c r="E12" s="42" t="inlineStr">
        <is>
          <t>금액</t>
        </is>
      </c>
      <c r="F12" s="42" t="inlineStr">
        <is>
          <t>월별 합계·단가 계산에서 제외 (0으로 더하지 않음)</t>
        </is>
      </c>
      <c r="G12" s="42" t="inlineStr">
        <is>
          <t>행은 보존, 해당 계산만 제외하고 제외 건수 표시</t>
        </is>
      </c>
    </row>
    <row r="13" ht="15" customHeight="1" s="28">
      <c r="A13" s="42" t="inlineStr">
        <is>
          <t>수출실적</t>
        </is>
      </c>
      <c r="B13" s="42" t="inlineStr">
        <is>
          <t>수출실적</t>
        </is>
      </c>
      <c r="C13" s="41" t="inlineStr">
        <is>
          <t>K20</t>
        </is>
      </c>
      <c r="D13" s="41" t="inlineStr">
        <is>
          <t>R-SB-0018</t>
        </is>
      </c>
      <c r="E13" s="42" t="inlineStr">
        <is>
          <t>순중량(kg)</t>
        </is>
      </c>
      <c r="F13" s="41" t="inlineStr">
        <is>
          <t>kg당 단가 계산에서 제외</t>
        </is>
      </c>
      <c r="G13" s="42" t="inlineStr">
        <is>
          <t>행은 보존, 해당 계산만 제외하고 제외 건수 표시</t>
        </is>
      </c>
    </row>
    <row r="14" ht="15" customHeight="1" s="28">
      <c r="A14" s="42" t="inlineStr">
        <is>
          <t>수출실적</t>
        </is>
      </c>
      <c r="B14" s="42" t="inlineStr">
        <is>
          <t>수출실적</t>
        </is>
      </c>
      <c r="C14" s="41" t="inlineStr">
        <is>
          <t>K21</t>
        </is>
      </c>
      <c r="D14" s="41" t="inlineStr">
        <is>
          <t>R-SB-0019</t>
        </is>
      </c>
      <c r="E14" s="42" t="inlineStr">
        <is>
          <t>순중량(kg)</t>
        </is>
      </c>
      <c r="F14" s="41" t="inlineStr">
        <is>
          <t>kg당 단가 계산에서 제외</t>
        </is>
      </c>
      <c r="G14" s="42" t="inlineStr">
        <is>
          <t>행은 보존, 해당 계산만 제외하고 제외 건수 표시</t>
        </is>
      </c>
    </row>
    <row r="15" ht="15" customHeight="1" s="28">
      <c r="A15" s="42" t="inlineStr">
        <is>
          <t>수출실적</t>
        </is>
      </c>
      <c r="B15" s="42" t="inlineStr">
        <is>
          <t>수출실적</t>
        </is>
      </c>
      <c r="C15" s="41" t="inlineStr">
        <is>
          <t>L24</t>
        </is>
      </c>
      <c r="D15" s="41" t="inlineStr">
        <is>
          <t>R-SB-0022</t>
        </is>
      </c>
      <c r="E15" s="42" t="inlineStr">
        <is>
          <t>금액</t>
        </is>
      </c>
      <c r="F15" s="42" t="inlineStr">
        <is>
          <t>월별 합계·단가 계산에서 제외 (0으로 더하지 않음)</t>
        </is>
      </c>
      <c r="G15" s="42" t="inlineStr">
        <is>
          <t>행은 보존, 해당 계산만 제외하고 제외 건수 표시</t>
        </is>
      </c>
    </row>
    <row r="16" ht="15" customHeight="1" s="28">
      <c r="A16" s="42" t="inlineStr">
        <is>
          <t>수출실적</t>
        </is>
      </c>
      <c r="B16" s="42" t="inlineStr">
        <is>
          <t>수출실적</t>
        </is>
      </c>
      <c r="C16" s="41" t="inlineStr">
        <is>
          <t>I26</t>
        </is>
      </c>
      <c r="D16" s="41" t="inlineStr">
        <is>
          <t>R-SB-0024</t>
        </is>
      </c>
      <c r="E16" s="42" t="inlineStr">
        <is>
          <t>수량</t>
        </is>
      </c>
      <c r="F16" s="42" t="inlineStr">
        <is>
          <t>단가 계산 제외 (금액은 유효)</t>
        </is>
      </c>
      <c r="G16" s="42" t="inlineStr">
        <is>
          <t>행은 보존, 해당 계산만 제외하고 제외 건수 표시</t>
        </is>
      </c>
    </row>
    <row r="17" ht="15" customHeight="1" s="28">
      <c r="A17" s="42" t="inlineStr">
        <is>
          <t>수출실적</t>
        </is>
      </c>
      <c r="B17" s="42" t="inlineStr">
        <is>
          <t>수출실적</t>
        </is>
      </c>
      <c r="C17" s="41" t="inlineStr">
        <is>
          <t>L45</t>
        </is>
      </c>
      <c r="D17" s="41" t="inlineStr">
        <is>
          <t>R-SB-0043</t>
        </is>
      </c>
      <c r="E17" s="42" t="inlineStr">
        <is>
          <t>금액</t>
        </is>
      </c>
      <c r="F17" s="42" t="inlineStr">
        <is>
          <t>월별 합계·단가 계산에서 제외 (0으로 더하지 않음)</t>
        </is>
      </c>
      <c r="G17" s="42" t="inlineStr">
        <is>
          <t>행은 보존, 해당 계산만 제외하고 제외 건수 표시</t>
        </is>
      </c>
    </row>
    <row r="18" ht="15" customHeight="1" s="28">
      <c r="A18" s="42" t="inlineStr">
        <is>
          <t>수출실적</t>
        </is>
      </c>
      <c r="B18" s="42" t="inlineStr">
        <is>
          <t>수출실적</t>
        </is>
      </c>
      <c r="C18" s="41" t="inlineStr">
        <is>
          <t>L49</t>
        </is>
      </c>
      <c r="D18" s="41" t="inlineStr">
        <is>
          <t>R-SB-0047</t>
        </is>
      </c>
      <c r="E18" s="42" t="inlineStr">
        <is>
          <t>금액</t>
        </is>
      </c>
      <c r="F18" s="42" t="inlineStr">
        <is>
          <t>월별 합계·단가 계산에서 제외 (0으로 더하지 않음)</t>
        </is>
      </c>
      <c r="G18" s="42" t="inlineStr">
        <is>
          <t>행은 보존, 해당 계산만 제외하고 제외 건수 표시</t>
        </is>
      </c>
    </row>
    <row r="19" ht="15" customHeight="1" s="28">
      <c r="A19" s="42" t="inlineStr">
        <is>
          <t>수출실적</t>
        </is>
      </c>
      <c r="B19" s="42" t="inlineStr">
        <is>
          <t>수출실적</t>
        </is>
      </c>
      <c r="C19" s="41" t="inlineStr">
        <is>
          <t>L54</t>
        </is>
      </c>
      <c r="D19" s="41" t="inlineStr">
        <is>
          <t>R-SB-0052</t>
        </is>
      </c>
      <c r="E19" s="42" t="inlineStr">
        <is>
          <t>금액</t>
        </is>
      </c>
      <c r="F19" s="42" t="inlineStr">
        <is>
          <t>월별 합계·단가 계산에서 제외 (0으로 더하지 않음)</t>
        </is>
      </c>
      <c r="G19" s="42" t="inlineStr">
        <is>
          <t>행은 보존, 해당 계산만 제외하고 제외 건수 표시</t>
        </is>
      </c>
    </row>
    <row r="20" ht="15" customHeight="1" s="28">
      <c r="A20" s="42" t="inlineStr">
        <is>
          <t>수출실적</t>
        </is>
      </c>
      <c r="B20" s="42" t="inlineStr">
        <is>
          <t>수출실적</t>
        </is>
      </c>
      <c r="C20" s="41" t="inlineStr">
        <is>
          <t>L74</t>
        </is>
      </c>
      <c r="D20" s="41" t="inlineStr">
        <is>
          <t>R-SB-0072</t>
        </is>
      </c>
      <c r="E20" s="42" t="inlineStr">
        <is>
          <t>금액</t>
        </is>
      </c>
      <c r="F20" s="42" t="inlineStr">
        <is>
          <t>월별 합계·단가 계산에서 제외 (0으로 더하지 않음)</t>
        </is>
      </c>
      <c r="G20" s="42" t="inlineStr">
        <is>
          <t>행은 보존, 해당 계산만 제외하고 제외 건수 표시</t>
        </is>
      </c>
    </row>
    <row r="21" ht="15" customHeight="1" s="28">
      <c r="A21" s="42" t="inlineStr">
        <is>
          <t>수출실적</t>
        </is>
      </c>
      <c r="B21" s="42" t="inlineStr">
        <is>
          <t>수출실적</t>
        </is>
      </c>
      <c r="C21" s="41" t="inlineStr">
        <is>
          <t>K83</t>
        </is>
      </c>
      <c r="D21" s="41" t="inlineStr">
        <is>
          <t>R-SB-0081</t>
        </is>
      </c>
      <c r="E21" s="42" t="inlineStr">
        <is>
          <t>순중량(kg)</t>
        </is>
      </c>
      <c r="F21" s="41" t="inlineStr">
        <is>
          <t>kg당 단가 계산에서 제외</t>
        </is>
      </c>
      <c r="G21" s="42" t="inlineStr">
        <is>
          <t>행은 보존, 해당 계산만 제외하고 제외 건수 표시</t>
        </is>
      </c>
    </row>
    <row r="22" ht="15" customHeight="1" s="28">
      <c r="A22" s="42" t="inlineStr">
        <is>
          <t>수출실적</t>
        </is>
      </c>
      <c r="B22" s="42" t="inlineStr">
        <is>
          <t>수출실적</t>
        </is>
      </c>
      <c r="C22" s="41" t="inlineStr">
        <is>
          <t>M84</t>
        </is>
      </c>
      <c r="D22" s="41" t="inlineStr">
        <is>
          <t>R-SB-0082</t>
        </is>
      </c>
      <c r="E22" s="42" t="inlineStr">
        <is>
          <t>통화</t>
        </is>
      </c>
      <c r="F22" s="42" t="inlineStr">
        <is>
          <t>금액 환산 불가 → 합계 제외</t>
        </is>
      </c>
      <c r="G22" s="42" t="inlineStr">
        <is>
          <t>행은 보존, 해당 계산만 제외하고 제외 건수 표시</t>
        </is>
      </c>
    </row>
    <row r="23" ht="15" customHeight="1" s="28">
      <c r="A23" s="42" t="inlineStr">
        <is>
          <t>수출실적</t>
        </is>
      </c>
      <c r="B23" s="42" t="inlineStr">
        <is>
          <t>수출실적</t>
        </is>
      </c>
      <c r="C23" s="41" t="inlineStr">
        <is>
          <t>B92</t>
        </is>
      </c>
      <c r="D23" s="41" t="inlineStr">
        <is>
          <t>R-SB-0090</t>
        </is>
      </c>
      <c r="E23" s="42" t="inlineStr">
        <is>
          <t>거래일</t>
        </is>
      </c>
      <c r="F23" s="42" t="inlineStr">
        <is>
          <t>월 배정 불가 → 월별 집계 제외</t>
        </is>
      </c>
      <c r="G23" s="42" t="inlineStr">
        <is>
          <t>행은 보존, 해당 계산만 제외하고 제외 건수 표시</t>
        </is>
      </c>
    </row>
    <row r="24" ht="15" customHeight="1" s="28">
      <c r="A24" s="42" t="inlineStr">
        <is>
          <t>수출실적</t>
        </is>
      </c>
      <c r="B24" s="42" t="inlineStr">
        <is>
          <t>수출실적</t>
        </is>
      </c>
      <c r="C24" s="41" t="inlineStr">
        <is>
          <t>G99</t>
        </is>
      </c>
      <c r="D24" s="41" t="inlineStr">
        <is>
          <t>R-SB-0097</t>
        </is>
      </c>
      <c r="E24" s="42" t="inlineStr">
        <is>
          <t>목적국</t>
        </is>
      </c>
      <c r="F24" s="42" t="inlineStr">
        <is>
          <t>국가별 집계 불가 → '목적국 미상' 분리</t>
        </is>
      </c>
      <c r="G24" s="42" t="inlineStr">
        <is>
          <t>행은 보존, 해당 계산만 제외하고 제외 건수 표시</t>
        </is>
      </c>
    </row>
    <row r="25" ht="15" customHeight="1" s="28">
      <c r="A25" s="42" t="inlineStr">
        <is>
          <t>수출실적</t>
        </is>
      </c>
      <c r="B25" s="42" t="inlineStr">
        <is>
          <t>수출실적</t>
        </is>
      </c>
      <c r="C25" s="41" t="inlineStr">
        <is>
          <t>I105</t>
        </is>
      </c>
      <c r="D25" s="41" t="inlineStr">
        <is>
          <t>R-SB-0103</t>
        </is>
      </c>
      <c r="E25" s="42" t="inlineStr">
        <is>
          <t>수량</t>
        </is>
      </c>
      <c r="F25" s="42" t="inlineStr">
        <is>
          <t>단가 계산 제외 (금액은 유효)</t>
        </is>
      </c>
      <c r="G25" s="42" t="inlineStr">
        <is>
          <t>행은 보존, 해당 계산만 제외하고 제외 건수 표시</t>
        </is>
      </c>
    </row>
    <row r="26" ht="15" customHeight="1" s="28">
      <c r="A26" s="42" t="inlineStr">
        <is>
          <t>수출실적</t>
        </is>
      </c>
      <c r="B26" s="42" t="inlineStr">
        <is>
          <t>수출실적</t>
        </is>
      </c>
      <c r="C26" s="41" t="inlineStr">
        <is>
          <t>L125</t>
        </is>
      </c>
      <c r="D26" s="41" t="inlineStr">
        <is>
          <t>R-SB-0123</t>
        </is>
      </c>
      <c r="E26" s="42" t="inlineStr">
        <is>
          <t>금액</t>
        </is>
      </c>
      <c r="F26" s="42" t="inlineStr">
        <is>
          <t>월별 합계·단가 계산에서 제외 (0으로 더하지 않음)</t>
        </is>
      </c>
      <c r="G26" s="42" t="inlineStr">
        <is>
          <t>행은 보존, 해당 계산만 제외하고 제외 건수 표시</t>
        </is>
      </c>
    </row>
    <row r="27" ht="15" customHeight="1" s="28">
      <c r="A27" s="42" t="inlineStr">
        <is>
          <t>수출실적</t>
        </is>
      </c>
      <c r="B27" s="42" t="inlineStr">
        <is>
          <t>수출실적</t>
        </is>
      </c>
      <c r="C27" s="41" t="inlineStr">
        <is>
          <t>L140</t>
        </is>
      </c>
      <c r="D27" s="41" t="inlineStr">
        <is>
          <t>R-SB-0138</t>
        </is>
      </c>
      <c r="E27" s="42" t="inlineStr">
        <is>
          <t>금액</t>
        </is>
      </c>
      <c r="F27" s="42" t="inlineStr">
        <is>
          <t>월별 합계·단가 계산에서 제외 (0으로 더하지 않음)</t>
        </is>
      </c>
      <c r="G27" s="42" t="inlineStr">
        <is>
          <t>행은 보존, 해당 계산만 제외하고 제외 건수 표시</t>
        </is>
      </c>
    </row>
    <row r="28" ht="15" customHeight="1" s="28">
      <c r="A28" s="42" t="inlineStr">
        <is>
          <t>수출실적</t>
        </is>
      </c>
      <c r="B28" s="42" t="inlineStr">
        <is>
          <t>수출실적</t>
        </is>
      </c>
      <c r="C28" s="41" t="inlineStr">
        <is>
          <t>B141</t>
        </is>
      </c>
      <c r="D28" s="41" t="inlineStr">
        <is>
          <t>R-SB-0139</t>
        </is>
      </c>
      <c r="E28" s="42" t="inlineStr">
        <is>
          <t>거래일</t>
        </is>
      </c>
      <c r="F28" s="42" t="inlineStr">
        <is>
          <t>월 배정 불가 → 월별 집계 제외</t>
        </is>
      </c>
      <c r="G28" s="42" t="inlineStr">
        <is>
          <t>행은 보존, 해당 계산만 제외하고 제외 건수 표시</t>
        </is>
      </c>
    </row>
    <row r="29" ht="15" customHeight="1" s="28">
      <c r="A29" s="42" t="inlineStr">
        <is>
          <t>수출실적</t>
        </is>
      </c>
      <c r="B29" s="42" t="inlineStr">
        <is>
          <t>수출실적</t>
        </is>
      </c>
      <c r="C29" s="41" t="inlineStr">
        <is>
          <t>G144</t>
        </is>
      </c>
      <c r="D29" s="41" t="inlineStr">
        <is>
          <t>R-SB-0142</t>
        </is>
      </c>
      <c r="E29" s="42" t="inlineStr">
        <is>
          <t>목적국</t>
        </is>
      </c>
      <c r="F29" s="42" t="inlineStr">
        <is>
          <t>국가별 집계 불가 → '목적국 미상' 분리</t>
        </is>
      </c>
      <c r="G29" s="42" t="inlineStr">
        <is>
          <t>행은 보존, 해당 계산만 제외하고 제외 건수 표시</t>
        </is>
      </c>
    </row>
    <row r="30" ht="15" customHeight="1" s="28">
      <c r="A30" s="42" t="inlineStr">
        <is>
          <t>수출실적</t>
        </is>
      </c>
      <c r="B30" s="42" t="inlineStr">
        <is>
          <t>수출실적</t>
        </is>
      </c>
      <c r="C30" s="41" t="inlineStr">
        <is>
          <t>F157</t>
        </is>
      </c>
      <c r="D30" s="41" t="inlineStr">
        <is>
          <t>R-SB-0155</t>
        </is>
      </c>
      <c r="E30" s="42" t="inlineStr">
        <is>
          <t>거래처ID</t>
        </is>
      </c>
      <c r="F30" s="42" t="inlineStr">
        <is>
          <t>거래처 연결 불가 → CSL·집중도 계산 제외</t>
        </is>
      </c>
      <c r="G30" s="42" t="inlineStr">
        <is>
          <t>행은 보존, 해당 계산만 제외하고 제외 건수 표시</t>
        </is>
      </c>
    </row>
    <row r="31" ht="15" customHeight="1" s="28">
      <c r="A31" s="42" t="inlineStr">
        <is>
          <t>수출실적</t>
        </is>
      </c>
      <c r="B31" s="42" t="inlineStr">
        <is>
          <t>수출실적</t>
        </is>
      </c>
      <c r="C31" s="41" t="inlineStr">
        <is>
          <t>B169</t>
        </is>
      </c>
      <c r="D31" s="41" t="inlineStr">
        <is>
          <t>R-SB-0167</t>
        </is>
      </c>
      <c r="E31" s="42" t="inlineStr">
        <is>
          <t>거래일</t>
        </is>
      </c>
      <c r="F31" s="42" t="inlineStr">
        <is>
          <t>월 배정 불가 → 월별 집계 제외</t>
        </is>
      </c>
      <c r="G31" s="42" t="inlineStr">
        <is>
          <t>행은 보존, 해당 계산만 제외하고 제외 건수 표시</t>
        </is>
      </c>
    </row>
    <row r="32" ht="15" customHeight="1" s="28">
      <c r="A32" s="42" t="inlineStr">
        <is>
          <t>수출실적</t>
        </is>
      </c>
      <c r="B32" s="42" t="inlineStr">
        <is>
          <t>수출실적</t>
        </is>
      </c>
      <c r="C32" s="41" t="inlineStr">
        <is>
          <t>I171</t>
        </is>
      </c>
      <c r="D32" s="41" t="inlineStr">
        <is>
          <t>R-SB-0169</t>
        </is>
      </c>
      <c r="E32" s="42" t="inlineStr">
        <is>
          <t>수량</t>
        </is>
      </c>
      <c r="F32" s="42" t="inlineStr">
        <is>
          <t>단가 계산 제외 (금액은 유효)</t>
        </is>
      </c>
      <c r="G32" s="42" t="inlineStr">
        <is>
          <t>행은 보존, 해당 계산만 제외하고 제외 건수 표시</t>
        </is>
      </c>
    </row>
    <row r="33" ht="15" customHeight="1" s="28">
      <c r="A33" s="42" t="inlineStr">
        <is>
          <t>수출실적</t>
        </is>
      </c>
      <c r="B33" s="42" t="inlineStr">
        <is>
          <t>수출실적</t>
        </is>
      </c>
      <c r="C33" s="41" t="inlineStr">
        <is>
          <t>G178</t>
        </is>
      </c>
      <c r="D33" s="41" t="inlineStr">
        <is>
          <t>R-SB-0176</t>
        </is>
      </c>
      <c r="E33" s="42" t="inlineStr">
        <is>
          <t>목적국</t>
        </is>
      </c>
      <c r="F33" s="42" t="inlineStr">
        <is>
          <t>국가별 집계 불가 → '목적국 미상' 분리</t>
        </is>
      </c>
      <c r="G33" s="42" t="inlineStr">
        <is>
          <t>행은 보존, 해당 계산만 제외하고 제외 건수 표시</t>
        </is>
      </c>
    </row>
    <row r="34" ht="15" customHeight="1" s="28">
      <c r="A34" s="42" t="inlineStr">
        <is>
          <t>수출실적</t>
        </is>
      </c>
      <c r="B34" s="42" t="inlineStr">
        <is>
          <t>수출실적</t>
        </is>
      </c>
      <c r="C34" s="41" t="inlineStr">
        <is>
          <t>F187</t>
        </is>
      </c>
      <c r="D34" s="41" t="inlineStr">
        <is>
          <t>R-SB-0185</t>
        </is>
      </c>
      <c r="E34" s="42" t="inlineStr">
        <is>
          <t>거래처ID</t>
        </is>
      </c>
      <c r="F34" s="42" t="inlineStr">
        <is>
          <t>거래처 연결 불가 → CSL·집중도 계산 제외</t>
        </is>
      </c>
      <c r="G34" s="42" t="inlineStr">
        <is>
          <t>행은 보존, 해당 계산만 제외하고 제외 건수 표시</t>
        </is>
      </c>
    </row>
    <row r="35" ht="15" customHeight="1" s="28">
      <c r="A35" s="42" t="inlineStr">
        <is>
          <t>수출실적</t>
        </is>
      </c>
      <c r="B35" s="42" t="inlineStr">
        <is>
          <t>수출실적</t>
        </is>
      </c>
      <c r="C35" s="41" t="inlineStr">
        <is>
          <t>K191</t>
        </is>
      </c>
      <c r="D35" s="41" t="inlineStr">
        <is>
          <t>R-SB-0189</t>
        </is>
      </c>
      <c r="E35" s="42" t="inlineStr">
        <is>
          <t>순중량(kg)</t>
        </is>
      </c>
      <c r="F35" s="41" t="inlineStr">
        <is>
          <t>kg당 단가 계산에서 제외</t>
        </is>
      </c>
      <c r="G35" s="42" t="inlineStr">
        <is>
          <t>행은 보존, 해당 계산만 제외하고 제외 건수 표시</t>
        </is>
      </c>
    </row>
    <row r="36" ht="15" customHeight="1" s="28">
      <c r="A36" s="42" t="inlineStr">
        <is>
          <t>수출실적</t>
        </is>
      </c>
      <c r="B36" s="42" t="inlineStr">
        <is>
          <t>수출실적</t>
        </is>
      </c>
      <c r="C36" s="41" t="inlineStr">
        <is>
          <t>L219</t>
        </is>
      </c>
      <c r="D36" s="41" t="inlineStr">
        <is>
          <t>R-SB-0217</t>
        </is>
      </c>
      <c r="E36" s="42" t="inlineStr">
        <is>
          <t>금액</t>
        </is>
      </c>
      <c r="F36" s="42" t="inlineStr">
        <is>
          <t>월별 합계·단가 계산에서 제외 (0으로 더하지 않음)</t>
        </is>
      </c>
      <c r="G36" s="42" t="inlineStr">
        <is>
          <t>행은 보존, 해당 계산만 제외하고 제외 건수 표시</t>
        </is>
      </c>
    </row>
    <row r="37" ht="15" customHeight="1" s="28">
      <c r="A37" s="42" t="inlineStr">
        <is>
          <t>수출실적</t>
        </is>
      </c>
      <c r="B37" s="42" t="inlineStr">
        <is>
          <t>수출실적</t>
        </is>
      </c>
      <c r="C37" s="41" t="inlineStr">
        <is>
          <t>M223</t>
        </is>
      </c>
      <c r="D37" s="41" t="inlineStr">
        <is>
          <t>R-SB-0221</t>
        </is>
      </c>
      <c r="E37" s="42" t="inlineStr">
        <is>
          <t>통화</t>
        </is>
      </c>
      <c r="F37" s="42" t="inlineStr">
        <is>
          <t>금액 환산 불가 → 합계 제외</t>
        </is>
      </c>
      <c r="G37" s="42" t="inlineStr">
        <is>
          <t>행은 보존, 해당 계산만 제외하고 제외 건수 표시</t>
        </is>
      </c>
    </row>
    <row r="38" ht="15" customHeight="1" s="28">
      <c r="A38" s="42" t="inlineStr">
        <is>
          <t>수출실적</t>
        </is>
      </c>
      <c r="B38" s="42" t="inlineStr">
        <is>
          <t>수출실적</t>
        </is>
      </c>
      <c r="C38" s="41" t="inlineStr">
        <is>
          <t>K228</t>
        </is>
      </c>
      <c r="D38" s="41" t="inlineStr">
        <is>
          <t>R-SB-0226</t>
        </is>
      </c>
      <c r="E38" s="42" t="inlineStr">
        <is>
          <t>순중량(kg)</t>
        </is>
      </c>
      <c r="F38" s="41" t="inlineStr">
        <is>
          <t>kg당 단가 계산에서 제외</t>
        </is>
      </c>
      <c r="G38" s="42" t="inlineStr">
        <is>
          <t>행은 보존, 해당 계산만 제외하고 제외 건수 표시</t>
        </is>
      </c>
    </row>
    <row r="39" ht="15" customHeight="1" s="28">
      <c r="A39" s="42" t="inlineStr">
        <is>
          <t>수출실적</t>
        </is>
      </c>
      <c r="B39" s="42" t="inlineStr">
        <is>
          <t>수출실적</t>
        </is>
      </c>
      <c r="C39" s="41" t="inlineStr">
        <is>
          <t>L243</t>
        </is>
      </c>
      <c r="D39" s="41" t="inlineStr">
        <is>
          <t>R-SB-0241</t>
        </is>
      </c>
      <c r="E39" s="42" t="inlineStr">
        <is>
          <t>금액</t>
        </is>
      </c>
      <c r="F39" s="42" t="inlineStr">
        <is>
          <t>월별 합계·단가 계산에서 제외 (0으로 더하지 않음)</t>
        </is>
      </c>
      <c r="G39" s="42" t="inlineStr">
        <is>
          <t>행은 보존, 해당 계산만 제외하고 제외 건수 표시</t>
        </is>
      </c>
    </row>
    <row r="40" ht="15" customHeight="1" s="28">
      <c r="A40" s="42" t="inlineStr">
        <is>
          <t>수출실적</t>
        </is>
      </c>
      <c r="B40" s="42" t="inlineStr">
        <is>
          <t>수출실적</t>
        </is>
      </c>
      <c r="C40" s="41" t="inlineStr">
        <is>
          <t>E262</t>
        </is>
      </c>
      <c r="D40" s="41" t="inlineStr">
        <is>
          <t>R-SB-0260</t>
        </is>
      </c>
      <c r="E40" s="42" t="inlineStr">
        <is>
          <t>제품ID</t>
        </is>
      </c>
      <c r="F40" s="42" t="inlineStr">
        <is>
          <t>제품·HS 연결 불가 → HS별 집계 제외</t>
        </is>
      </c>
      <c r="G40" s="42" t="inlineStr">
        <is>
          <t>행은 보존, 해당 계산만 제외하고 제외 건수 표시</t>
        </is>
      </c>
    </row>
    <row r="41" ht="15" customHeight="1" s="28">
      <c r="A41" s="42" t="inlineStr">
        <is>
          <t>수출실적</t>
        </is>
      </c>
      <c r="B41" s="42" t="inlineStr">
        <is>
          <t>수출실적</t>
        </is>
      </c>
      <c r="C41" s="41" t="inlineStr">
        <is>
          <t>M301</t>
        </is>
      </c>
      <c r="D41" s="41" t="inlineStr">
        <is>
          <t>R-SB-0299</t>
        </is>
      </c>
      <c r="E41" s="42" t="inlineStr">
        <is>
          <t>통화</t>
        </is>
      </c>
      <c r="F41" s="42" t="inlineStr">
        <is>
          <t>금액 환산 불가 → 합계 제외</t>
        </is>
      </c>
      <c r="G41" s="42" t="inlineStr">
        <is>
          <t>행은 보존, 해당 계산만 제외하고 제외 건수 표시</t>
        </is>
      </c>
    </row>
    <row r="42" ht="15" customHeight="1" s="28">
      <c r="A42" s="42" t="inlineStr">
        <is>
          <t>수출실적</t>
        </is>
      </c>
      <c r="B42" s="42" t="inlineStr">
        <is>
          <t>수출실적</t>
        </is>
      </c>
      <c r="C42" s="41" t="inlineStr">
        <is>
          <t>K303</t>
        </is>
      </c>
      <c r="D42" s="41" t="inlineStr">
        <is>
          <t>R-SB-0301</t>
        </is>
      </c>
      <c r="E42" s="42" t="inlineStr">
        <is>
          <t>순중량(kg)</t>
        </is>
      </c>
      <c r="F42" s="41" t="inlineStr">
        <is>
          <t>kg당 단가 계산에서 제외</t>
        </is>
      </c>
      <c r="G42" s="42" t="inlineStr">
        <is>
          <t>행은 보존, 해당 계산만 제외하고 제외 건수 표시</t>
        </is>
      </c>
    </row>
    <row r="43" ht="15" customHeight="1" s="28">
      <c r="A43" s="42" t="inlineStr">
        <is>
          <t>수출실적</t>
        </is>
      </c>
      <c r="B43" s="42" t="inlineStr">
        <is>
          <t>수출실적</t>
        </is>
      </c>
      <c r="C43" s="41" t="inlineStr">
        <is>
          <t>E322</t>
        </is>
      </c>
      <c r="D43" s="41" t="inlineStr">
        <is>
          <t>R-SB-0320</t>
        </is>
      </c>
      <c r="E43" s="42" t="inlineStr">
        <is>
          <t>제품ID</t>
        </is>
      </c>
      <c r="F43" s="42" t="inlineStr">
        <is>
          <t>제품·HS 연결 불가 → HS별 집계 제외</t>
        </is>
      </c>
      <c r="G43" s="42" t="inlineStr">
        <is>
          <t>행은 보존, 해당 계산만 제외하고 제외 건수 표시</t>
        </is>
      </c>
    </row>
    <row r="44" ht="15" customHeight="1" s="28">
      <c r="A44" s="42" t="inlineStr">
        <is>
          <t>수출실적</t>
        </is>
      </c>
      <c r="B44" s="42" t="inlineStr">
        <is>
          <t>수출실적</t>
        </is>
      </c>
      <c r="C44" s="41" t="inlineStr">
        <is>
          <t>L329</t>
        </is>
      </c>
      <c r="D44" s="41" t="inlineStr">
        <is>
          <t>R-SB-0327</t>
        </is>
      </c>
      <c r="E44" s="42" t="inlineStr">
        <is>
          <t>금액</t>
        </is>
      </c>
      <c r="F44" s="42" t="inlineStr">
        <is>
          <t>월별 합계·단가 계산에서 제외 (0으로 더하지 않음)</t>
        </is>
      </c>
      <c r="G44" s="42" t="inlineStr">
        <is>
          <t>행은 보존, 해당 계산만 제외하고 제외 건수 표시</t>
        </is>
      </c>
    </row>
    <row r="45" ht="15" customHeight="1" s="28">
      <c r="A45" s="42" t="inlineStr">
        <is>
          <t>수출실적</t>
        </is>
      </c>
      <c r="B45" s="42" t="inlineStr">
        <is>
          <t>수출실적</t>
        </is>
      </c>
      <c r="C45" s="41" t="inlineStr">
        <is>
          <t>G342</t>
        </is>
      </c>
      <c r="D45" s="41" t="inlineStr">
        <is>
          <t>R-SB-0340</t>
        </is>
      </c>
      <c r="E45" s="42" t="inlineStr">
        <is>
          <t>목적국</t>
        </is>
      </c>
      <c r="F45" s="42" t="inlineStr">
        <is>
          <t>국가별 집계 불가 → '목적국 미상' 분리</t>
        </is>
      </c>
      <c r="G45" s="42" t="inlineStr">
        <is>
          <t>행은 보존, 해당 계산만 제외하고 제외 건수 표시</t>
        </is>
      </c>
    </row>
    <row r="46" ht="15" customHeight="1" s="28">
      <c r="A46" s="42" t="inlineStr">
        <is>
          <t>수출실적</t>
        </is>
      </c>
      <c r="B46" s="42" t="inlineStr">
        <is>
          <t>수출실적</t>
        </is>
      </c>
      <c r="C46" s="41" t="inlineStr">
        <is>
          <t>G346</t>
        </is>
      </c>
      <c r="D46" s="41" t="inlineStr">
        <is>
          <t>R-SB-0344</t>
        </is>
      </c>
      <c r="E46" s="42" t="inlineStr">
        <is>
          <t>목적국</t>
        </is>
      </c>
      <c r="F46" s="42" t="inlineStr">
        <is>
          <t>국가별 집계 불가 → '목적국 미상' 분리</t>
        </is>
      </c>
      <c r="G46" s="42" t="inlineStr">
        <is>
          <t>행은 보존, 해당 계산만 제외하고 제외 건수 표시</t>
        </is>
      </c>
    </row>
    <row r="47" ht="15" customHeight="1" s="28">
      <c r="A47" s="42" t="inlineStr">
        <is>
          <t>수출실적</t>
        </is>
      </c>
      <c r="B47" s="42" t="inlineStr">
        <is>
          <t>수출실적</t>
        </is>
      </c>
      <c r="C47" s="41" t="inlineStr">
        <is>
          <t>K357</t>
        </is>
      </c>
      <c r="D47" s="41" t="inlineStr">
        <is>
          <t>R-SB-0355</t>
        </is>
      </c>
      <c r="E47" s="42" t="inlineStr">
        <is>
          <t>순중량(kg)</t>
        </is>
      </c>
      <c r="F47" s="41" t="inlineStr">
        <is>
          <t>kg당 단가 계산에서 제외</t>
        </is>
      </c>
      <c r="G47" s="42" t="inlineStr">
        <is>
          <t>행은 보존, 해당 계산만 제외하고 제외 건수 표시</t>
        </is>
      </c>
    </row>
    <row r="48" ht="15" customHeight="1" s="28">
      <c r="A48" s="42" t="inlineStr">
        <is>
          <t>수출실적</t>
        </is>
      </c>
      <c r="B48" s="42" t="inlineStr">
        <is>
          <t>수출실적</t>
        </is>
      </c>
      <c r="C48" s="41" t="inlineStr">
        <is>
          <t>M358</t>
        </is>
      </c>
      <c r="D48" s="41" t="inlineStr">
        <is>
          <t>R-SB-0356</t>
        </is>
      </c>
      <c r="E48" s="42" t="inlineStr">
        <is>
          <t>통화</t>
        </is>
      </c>
      <c r="F48" s="42" t="inlineStr">
        <is>
          <t>금액 환산 불가 → 합계 제외</t>
        </is>
      </c>
      <c r="G48" s="42" t="inlineStr">
        <is>
          <t>행은 보존, 해당 계산만 제외하고 제외 건수 표시</t>
        </is>
      </c>
    </row>
    <row r="49" ht="15" customHeight="1" s="28">
      <c r="A49" s="42" t="inlineStr">
        <is>
          <t>실제 0</t>
        </is>
      </c>
      <c r="B49" s="42" t="inlineStr">
        <is>
          <t>수출실적</t>
        </is>
      </c>
      <c r="C49" s="41" t="inlineStr">
        <is>
          <t>I2:L2</t>
        </is>
      </c>
      <c r="D49" s="41" t="inlineStr">
        <is>
          <t>R-SB-0001</t>
        </is>
      </c>
      <c r="E49" s="41" t="inlineStr">
        <is>
          <t>(결측 아님) 수량·금액 0, 취소반품 Y</t>
        </is>
      </c>
      <c r="F49" s="42" t="inlineStr">
        <is>
          <t>취소 건 — 0은 실제 값</t>
        </is>
      </c>
      <c r="G49" s="42" t="inlineStr">
        <is>
          <t>유효 실적에서 제외하되 '0'과 '빈칸'을 구분</t>
        </is>
      </c>
    </row>
    <row r="50" ht="15" customHeight="1" s="28">
      <c r="A50" s="42" t="inlineStr">
        <is>
          <t>실제 0</t>
        </is>
      </c>
      <c r="B50" s="42" t="inlineStr">
        <is>
          <t>수출실적</t>
        </is>
      </c>
      <c r="C50" s="41" t="inlineStr">
        <is>
          <t>I4:L4</t>
        </is>
      </c>
      <c r="D50" s="41" t="inlineStr">
        <is>
          <t>R-SB-0003</t>
        </is>
      </c>
      <c r="E50" s="41" t="inlineStr">
        <is>
          <t>(결측 아님) 수량·금액 0, 취소반품 Y</t>
        </is>
      </c>
      <c r="F50" s="42" t="inlineStr">
        <is>
          <t>취소 건 — 0은 실제 값</t>
        </is>
      </c>
      <c r="G50" s="42" t="inlineStr">
        <is>
          <t>유효 실적에서 제외하되 '0'과 '빈칸'을 구분</t>
        </is>
      </c>
    </row>
    <row r="51" ht="15" customHeight="1" s="28">
      <c r="A51" s="42" t="inlineStr">
        <is>
          <t>중복 행</t>
        </is>
      </c>
      <c r="B51" s="42" t="inlineStr">
        <is>
          <t>수출실적</t>
        </is>
      </c>
      <c r="C51" s="41" t="inlineStr">
        <is>
          <t>11·12행</t>
        </is>
      </c>
      <c r="D51" s="41" t="inlineStr">
        <is>
          <t>R-SB-0010</t>
        </is>
      </c>
      <c r="E51" s="41" t="inlineStr">
        <is>
          <t>(결측 아님) 완전 중복</t>
        </is>
      </c>
      <c r="F51" s="42" t="inlineStr">
        <is>
          <t>합계 이중 계산 위험</t>
        </is>
      </c>
      <c r="G51" s="42" t="inlineStr">
        <is>
          <t>완전 중복 1행 제거</t>
        </is>
      </c>
    </row>
    <row r="52" ht="15" customHeight="1" s="28">
      <c r="A52" s="42" t="inlineStr">
        <is>
          <t>빈 달</t>
        </is>
      </c>
      <c r="B52" s="42" t="inlineStr">
        <is>
          <t>수출실적</t>
        </is>
      </c>
      <c r="C52" s="41" t="inlineStr">
        <is>
          <t>-</t>
        </is>
      </c>
      <c r="D52" s="41" t="inlineStr">
        <is>
          <t>2024-07</t>
        </is>
      </c>
      <c r="E52" s="42" t="inlineStr">
        <is>
          <t>해당 월 행 전체 없음</t>
        </is>
      </c>
      <c r="F52" s="42" t="inlineStr">
        <is>
          <t>월별 추이 공백 · 전월대비 계산 불가</t>
        </is>
      </c>
      <c r="G52" s="41" t="inlineStr">
        <is>
          <t>'자료 없음'으로 표시, 0으로 채우지 않음</t>
        </is>
      </c>
    </row>
    <row r="53" ht="15" customHeight="1" s="28">
      <c r="A53" s="42" t="inlineStr">
        <is>
          <t>빈 달</t>
        </is>
      </c>
      <c r="B53" s="42" t="inlineStr">
        <is>
          <t>수출실적</t>
        </is>
      </c>
      <c r="C53" s="41" t="inlineStr">
        <is>
          <t>-</t>
        </is>
      </c>
      <c r="D53" s="41" t="inlineStr">
        <is>
          <t>2025-02</t>
        </is>
      </c>
      <c r="E53" s="42" t="inlineStr">
        <is>
          <t>해당 월 행 전체 없음</t>
        </is>
      </c>
      <c r="F53" s="42" t="inlineStr">
        <is>
          <t>월별 추이 공백 · 전월대비 계산 불가</t>
        </is>
      </c>
      <c r="G53" s="41" t="inlineStr">
        <is>
          <t>'자료 없음'으로 표시, 0으로 채우지 않음</t>
        </is>
      </c>
    </row>
    <row r="54" ht="15" customHeight="1" s="28">
      <c r="A54" s="42" t="inlineStr">
        <is>
          <t>물류</t>
        </is>
      </c>
      <c r="B54" s="42" t="inlineStr">
        <is>
          <t>물류</t>
        </is>
      </c>
      <c r="C54" s="41" t="inlineStr">
        <is>
          <t>G18</t>
        </is>
      </c>
      <c r="D54" s="41" t="inlineStr">
        <is>
          <t>L-SB-0017</t>
        </is>
      </c>
      <c r="E54" s="42" t="inlineStr">
        <is>
          <t>도착지코드</t>
        </is>
      </c>
      <c r="F54" s="42" t="inlineStr">
        <is>
          <t>운항·입출항 조회 조건 부족</t>
        </is>
      </c>
      <c r="G54" s="42" t="inlineStr">
        <is>
          <t>해당 선적만 조회 제외, 건수 표시</t>
        </is>
      </c>
    </row>
    <row r="55" ht="15" customHeight="1" s="28">
      <c r="A55" s="42" t="inlineStr">
        <is>
          <t>물류</t>
        </is>
      </c>
      <c r="B55" s="42" t="inlineStr">
        <is>
          <t>물류</t>
        </is>
      </c>
      <c r="C55" s="41" t="inlineStr">
        <is>
          <t>G19</t>
        </is>
      </c>
      <c r="D55" s="41" t="inlineStr">
        <is>
          <t>L-SB-0018</t>
        </is>
      </c>
      <c r="E55" s="42" t="inlineStr">
        <is>
          <t>도착지코드</t>
        </is>
      </c>
      <c r="F55" s="42" t="inlineStr">
        <is>
          <t>운항·입출항 조회 조건 부족</t>
        </is>
      </c>
      <c r="G55" s="42" t="inlineStr">
        <is>
          <t>해당 선적만 조회 제외, 건수 표시</t>
        </is>
      </c>
    </row>
    <row r="56" ht="15" customHeight="1" s="28">
      <c r="A56" s="42" t="inlineStr">
        <is>
          <t>물류</t>
        </is>
      </c>
      <c r="B56" s="42" t="inlineStr">
        <is>
          <t>물류</t>
        </is>
      </c>
      <c r="C56" s="41" t="inlineStr">
        <is>
          <t>G22</t>
        </is>
      </c>
      <c r="D56" s="41" t="inlineStr">
        <is>
          <t>L-SB-0021</t>
        </is>
      </c>
      <c r="E56" s="42" t="inlineStr">
        <is>
          <t>도착지코드</t>
        </is>
      </c>
      <c r="F56" s="42" t="inlineStr">
        <is>
          <t>운항·입출항 조회 조건 부족</t>
        </is>
      </c>
      <c r="G56" s="42" t="inlineStr">
        <is>
          <t>해당 선적만 조회 제외, 건수 표시</t>
        </is>
      </c>
    </row>
    <row r="57" ht="15" customHeight="1" s="28">
      <c r="A57" s="42" t="inlineStr">
        <is>
          <t>물류</t>
        </is>
      </c>
      <c r="B57" s="42" t="inlineStr">
        <is>
          <t>물류</t>
        </is>
      </c>
      <c r="C57" s="41" t="inlineStr">
        <is>
          <t>H23</t>
        </is>
      </c>
      <c r="D57" s="41" t="inlineStr">
        <is>
          <t>L-SB-0022</t>
        </is>
      </c>
      <c r="E57" s="42" t="inlineStr">
        <is>
          <t>선적일</t>
        </is>
      </c>
      <c r="F57" s="42" t="inlineStr">
        <is>
          <t>운항·입출항 조회 조건 부족</t>
        </is>
      </c>
      <c r="G57" s="42" t="inlineStr">
        <is>
          <t>해당 선적만 조회 제외, 건수 표시</t>
        </is>
      </c>
    </row>
    <row r="58" ht="15" customHeight="1" s="28">
      <c r="A58" s="42" t="inlineStr">
        <is>
          <t>물류</t>
        </is>
      </c>
      <c r="B58" s="42" t="inlineStr">
        <is>
          <t>물류</t>
        </is>
      </c>
      <c r="C58" s="41" t="inlineStr">
        <is>
          <t>H25</t>
        </is>
      </c>
      <c r="D58" s="41" t="inlineStr">
        <is>
          <t>L-SB-0024</t>
        </is>
      </c>
      <c r="E58" s="42" t="inlineStr">
        <is>
          <t>선적일</t>
        </is>
      </c>
      <c r="F58" s="42" t="inlineStr">
        <is>
          <t>운항·입출항 조회 조건 부족</t>
        </is>
      </c>
      <c r="G58" s="42" t="inlineStr">
        <is>
          <t>해당 선적만 조회 제외, 건수 표시</t>
        </is>
      </c>
    </row>
    <row r="59" ht="15" customHeight="1" s="28">
      <c r="A59" s="42" t="inlineStr">
        <is>
          <t>물류</t>
        </is>
      </c>
      <c r="B59" s="42" t="inlineStr">
        <is>
          <t>물류</t>
        </is>
      </c>
      <c r="C59" s="41" t="inlineStr">
        <is>
          <t>C27</t>
        </is>
      </c>
      <c r="D59" s="41" t="inlineStr">
        <is>
          <t>L-SB-0026</t>
        </is>
      </c>
      <c r="E59" s="42" t="inlineStr">
        <is>
          <t>운송수단</t>
        </is>
      </c>
      <c r="F59" s="42" t="inlineStr">
        <is>
          <t>운항·입출항 조회 조건 부족</t>
        </is>
      </c>
      <c r="G59" s="42" t="inlineStr">
        <is>
          <t>해당 선적만 조회 제외, 건수 표시</t>
        </is>
      </c>
    </row>
    <row r="60">
      <c r="A60" t="inlineStr">
        <is>
          <t>물류</t>
        </is>
      </c>
      <c r="B60" t="inlineStr">
        <is>
          <t>물류</t>
        </is>
      </c>
      <c r="C60" t="inlineStr">
        <is>
          <t>I22</t>
        </is>
      </c>
      <c r="D60" t="inlineStr">
        <is>
          <t>L-SB-0021</t>
        </is>
      </c>
      <c r="E60" t="inlineStr">
        <is>
          <t>예정도착일</t>
        </is>
      </c>
      <c r="F60" t="inlineStr">
        <is>
          <t>납기 준수율 계산에서 제외 (지연 판정 불가)</t>
        </is>
      </c>
      <c r="G60" t="inlineStr">
        <is>
          <t>행은 보존, 해당 계산만 제외하고 제외 건수 표시</t>
        </is>
      </c>
    </row>
    <row r="61">
      <c r="A61" t="inlineStr">
        <is>
          <t>물류</t>
        </is>
      </c>
      <c r="B61" t="inlineStr">
        <is>
          <t>물류</t>
        </is>
      </c>
      <c r="C61" t="inlineStr">
        <is>
          <t>I23</t>
        </is>
      </c>
      <c r="D61" t="inlineStr">
        <is>
          <t>L-SB-0022</t>
        </is>
      </c>
      <c r="E61" t="inlineStr">
        <is>
          <t>예정도착일</t>
        </is>
      </c>
      <c r="F61" t="inlineStr">
        <is>
          <t>납기 준수율 계산에서 제외 (지연 판정 불가)</t>
        </is>
      </c>
      <c r="G61" t="inlineStr">
        <is>
          <t>행은 보존, 해당 계산만 제외하고 제외 건수 표시</t>
        </is>
      </c>
    </row>
    <row r="62">
      <c r="A62" t="inlineStr">
        <is>
          <t>물류</t>
        </is>
      </c>
      <c r="B62" t="inlineStr">
        <is>
          <t>물류</t>
        </is>
      </c>
      <c r="C62" t="inlineStr">
        <is>
          <t>I24</t>
        </is>
      </c>
      <c r="D62" t="inlineStr">
        <is>
          <t>L-SB-0023</t>
        </is>
      </c>
      <c r="E62" t="inlineStr">
        <is>
          <t>예정도착일</t>
        </is>
      </c>
      <c r="F62" t="inlineStr">
        <is>
          <t>납기 준수율 계산에서 제외 (지연 판정 불가)</t>
        </is>
      </c>
      <c r="G62" t="inlineStr">
        <is>
          <t>행은 보존, 해당 계산만 제외하고 제외 건수 표시</t>
        </is>
      </c>
    </row>
    <row r="63">
      <c r="A63" t="inlineStr">
        <is>
          <t>물류</t>
        </is>
      </c>
      <c r="B63" t="inlineStr">
        <is>
          <t>물류</t>
        </is>
      </c>
      <c r="C63" t="inlineStr">
        <is>
          <t>J61</t>
        </is>
      </c>
      <c r="D63" t="inlineStr">
        <is>
          <t>L-SB-0060</t>
        </is>
      </c>
      <c r="E63" t="inlineStr">
        <is>
          <t>실제도착일</t>
        </is>
      </c>
      <c r="F63" t="inlineStr">
        <is>
          <t>납기 준수율·리드타임 계산에서 제외 (미도착 또는 미기재)</t>
        </is>
      </c>
      <c r="G63" t="inlineStr">
        <is>
          <t>행은 보존, 해당 계산만 제외하고 제외 건수 표시</t>
        </is>
      </c>
    </row>
    <row r="64">
      <c r="A64" t="inlineStr">
        <is>
          <t>물류</t>
        </is>
      </c>
      <c r="B64" t="inlineStr">
        <is>
          <t>물류</t>
        </is>
      </c>
      <c r="C64" t="inlineStr">
        <is>
          <t>K76</t>
        </is>
      </c>
      <c r="D64" t="inlineStr">
        <is>
          <t>L-SB-0075</t>
        </is>
      </c>
      <c r="E64" t="inlineStr">
        <is>
          <t>운임(USD)</t>
        </is>
      </c>
      <c r="F64" t="inlineStr">
        <is>
          <t>운송비 비중 계산에서 제외</t>
        </is>
      </c>
      <c r="G64" t="inlineStr">
        <is>
          <t>행은 보존, 해당 계산만 제외하고 제외 건수 표시</t>
        </is>
      </c>
    </row>
    <row r="65">
      <c r="A65" t="inlineStr">
        <is>
          <t>물류</t>
        </is>
      </c>
      <c r="B65" t="inlineStr">
        <is>
          <t>물류</t>
        </is>
      </c>
      <c r="C65" t="inlineStr">
        <is>
          <t>J102</t>
        </is>
      </c>
      <c r="D65" t="inlineStr">
        <is>
          <t>L-SB-0101</t>
        </is>
      </c>
      <c r="E65" t="inlineStr">
        <is>
          <t>실제도착일</t>
        </is>
      </c>
      <c r="F65" t="inlineStr">
        <is>
          <t>납기 준수율·리드타임 계산에서 제외 (미도착 또는 미기재)</t>
        </is>
      </c>
      <c r="G65" t="inlineStr">
        <is>
          <t>행은 보존, 해당 계산만 제외하고 제외 건수 표시</t>
        </is>
      </c>
    </row>
    <row r="66">
      <c r="A66" t="inlineStr">
        <is>
          <t>물류</t>
        </is>
      </c>
      <c r="B66" t="inlineStr">
        <is>
          <t>물류</t>
        </is>
      </c>
      <c r="C66" t="inlineStr">
        <is>
          <t>K131</t>
        </is>
      </c>
      <c r="D66" t="inlineStr">
        <is>
          <t>L-SB-0130</t>
        </is>
      </c>
      <c r="E66" t="inlineStr">
        <is>
          <t>운임(USD)</t>
        </is>
      </c>
      <c r="F66" t="inlineStr">
        <is>
          <t>운송비 비중 계산에서 제외</t>
        </is>
      </c>
      <c r="G66" t="inlineStr">
        <is>
          <t>행은 보존, 해당 계산만 제외하고 제외 건수 표시</t>
        </is>
      </c>
    </row>
    <row r="67">
      <c r="A67" t="inlineStr">
        <is>
          <t>물류</t>
        </is>
      </c>
      <c r="B67" t="inlineStr">
        <is>
          <t>물류</t>
        </is>
      </c>
      <c r="C67" t="inlineStr">
        <is>
          <t>J151</t>
        </is>
      </c>
      <c r="D67" t="inlineStr">
        <is>
          <t>L-SB-0150</t>
        </is>
      </c>
      <c r="E67" t="inlineStr">
        <is>
          <t>실제도착일</t>
        </is>
      </c>
      <c r="F67" t="inlineStr">
        <is>
          <t>납기 준수율·리드타임 계산에서 제외 (미도착 또는 미기재)</t>
        </is>
      </c>
      <c r="G67" t="inlineStr">
        <is>
          <t>행은 보존, 해당 계산만 제외하고 제외 건수 표시</t>
        </is>
      </c>
    </row>
    <row r="68">
      <c r="A68" t="inlineStr">
        <is>
          <t>물류</t>
        </is>
      </c>
      <c r="B68" t="inlineStr">
        <is>
          <t>물류</t>
        </is>
      </c>
      <c r="C68" t="inlineStr">
        <is>
          <t>J181</t>
        </is>
      </c>
      <c r="D68" t="inlineStr">
        <is>
          <t>L-SB-0180</t>
        </is>
      </c>
      <c r="E68" t="inlineStr">
        <is>
          <t>실제도착일 &lt; 선적일 (날짜 역전)</t>
        </is>
      </c>
      <c r="F68" t="inlineStr">
        <is>
          <t>오류 행으로 표시하고 납기·리드타임 계산에서 제외</t>
        </is>
      </c>
      <c r="G68" t="inlineStr">
        <is>
          <t>행은 보존, 해당 계산만 제외하고 제외 건수 표시</t>
        </is>
      </c>
    </row>
    <row r="69">
      <c r="A69" t="inlineStr">
        <is>
          <t>물류</t>
        </is>
      </c>
      <c r="B69" t="inlineStr">
        <is>
          <t>물류</t>
        </is>
      </c>
      <c r="C69" t="inlineStr">
        <is>
          <t>J203</t>
        </is>
      </c>
      <c r="D69" t="inlineStr">
        <is>
          <t>L-SB-0202</t>
        </is>
      </c>
      <c r="E69" t="inlineStr">
        <is>
          <t>실제도착일</t>
        </is>
      </c>
      <c r="F69" t="inlineStr">
        <is>
          <t>납기 준수율·리드타임 계산에서 제외 (미도착 또는 미기재)</t>
        </is>
      </c>
      <c r="G69" t="inlineStr">
        <is>
          <t>행은 보존, 해당 계산만 제외하고 제외 건수 표시</t>
        </is>
      </c>
    </row>
    <row r="70">
      <c r="A70" t="inlineStr">
        <is>
          <t>물류</t>
        </is>
      </c>
      <c r="B70" t="inlineStr">
        <is>
          <t>물류</t>
        </is>
      </c>
      <c r="C70" t="inlineStr">
        <is>
          <t>K241</t>
        </is>
      </c>
      <c r="D70" t="inlineStr">
        <is>
          <t>L-SB-0240</t>
        </is>
      </c>
      <c r="E70" t="inlineStr">
        <is>
          <t>운임(USD)</t>
        </is>
      </c>
      <c r="F70" t="inlineStr">
        <is>
          <t>운송비 비중 계산에서 제외</t>
        </is>
      </c>
      <c r="G70" t="inlineStr">
        <is>
          <t>행은 보존, 해당 계산만 제외하고 제외 건수 표시</t>
        </is>
      </c>
    </row>
    <row r="71">
      <c r="A71" t="inlineStr">
        <is>
          <t>물류</t>
        </is>
      </c>
      <c r="B71" t="inlineStr">
        <is>
          <t>물류</t>
        </is>
      </c>
      <c r="C71" t="inlineStr">
        <is>
          <t>J261</t>
        </is>
      </c>
      <c r="D71" t="inlineStr">
        <is>
          <t>L-SB-0260</t>
        </is>
      </c>
      <c r="E71" t="inlineStr">
        <is>
          <t>실제도착일</t>
        </is>
      </c>
      <c r="F71" t="inlineStr">
        <is>
          <t>납기 준수율·리드타임 계산에서 제외 (미도착 또는 미기재)</t>
        </is>
      </c>
      <c r="G71" t="inlineStr">
        <is>
          <t>행은 보존, 해당 계산만 제외하고 제외 건수 표시</t>
        </is>
      </c>
    </row>
    <row r="72">
      <c r="A72" t="inlineStr">
        <is>
          <t>물류</t>
        </is>
      </c>
      <c r="B72" t="inlineStr">
        <is>
          <t>물류</t>
        </is>
      </c>
      <c r="C72" t="inlineStr">
        <is>
          <t>J311</t>
        </is>
      </c>
      <c r="D72" t="inlineStr">
        <is>
          <t>L-SB-0310</t>
        </is>
      </c>
      <c r="E72" t="inlineStr">
        <is>
          <t>실제도착일</t>
        </is>
      </c>
      <c r="F72" t="inlineStr">
        <is>
          <t>납기 준수율·리드타임 계산에서 제외 (미도착 또는 미기재)</t>
        </is>
      </c>
      <c r="G72" t="inlineStr">
        <is>
          <t>행은 보존, 해당 계산만 제외하고 제외 건수 표시</t>
        </is>
      </c>
    </row>
    <row r="73">
      <c r="A73" t="inlineStr">
        <is>
          <t>물류</t>
        </is>
      </c>
      <c r="B73" t="inlineStr">
        <is>
          <t>물류</t>
        </is>
      </c>
      <c r="C73" t="inlineStr">
        <is>
          <t>K334</t>
        </is>
      </c>
      <c r="D73" t="inlineStr">
        <is>
          <t>L-SB-0333</t>
        </is>
      </c>
      <c r="E73" t="inlineStr">
        <is>
          <t>운임(USD)</t>
        </is>
      </c>
      <c r="F73" t="inlineStr">
        <is>
          <t>운송비 비중 계산에서 제외</t>
        </is>
      </c>
      <c r="G73" t="inlineStr">
        <is>
          <t>행은 보존, 해당 계산만 제외하고 제외 건수 표시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2026-09-26T04:26:26Z</dcterms:created>
  <dcterms:modified xmlns:dcterms="http://purl.org/dc/terms/" xmlns:xsi="http://www.w3.org/2001/XMLSchema-instance" xsi:type="dcterms:W3CDTF">2026-09-26T07:14:18Z</dcterms:modified>
  <cp:revision>0</cp:revision>
</cp:coreProperties>
</file>