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기업정보" sheetId="1" state="visible" r:id="rId1"/>
    <sheet xmlns:r="http://schemas.openxmlformats.org/officeDocument/2006/relationships" name="제품정보" sheetId="2" state="visible" r:id="rId2"/>
    <sheet xmlns:r="http://schemas.openxmlformats.org/officeDocument/2006/relationships" name="거래처" sheetId="3" state="visible" r:id="rId3"/>
    <sheet xmlns:r="http://schemas.openxmlformats.org/officeDocument/2006/relationships" name="수출실적" sheetId="4" state="visible" r:id="rId4"/>
    <sheet xmlns:r="http://schemas.openxmlformats.org/officeDocument/2006/relationships" name="물류" sheetId="5" state="visible" r:id="rId5"/>
    <sheet xmlns:r="http://schemas.openxmlformats.org/officeDocument/2006/relationships" name="월별집계" sheetId="6" state="visible" r:id="rId6"/>
    <sheet xmlns:r="http://schemas.openxmlformats.org/officeDocument/2006/relationships" name="근거" sheetId="7" state="visible" r:id="rId7"/>
  </sheets>
  <definedNames>
    <definedName name="_xlnm._FilterDatabase" localSheetId="3" hidden="1">'수출실적'!$A$1:$Q$1297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%"/>
    <numFmt numFmtId="166" formatCode="0.000%"/>
    <numFmt numFmtId="167" formatCode="yyyy-mm-dd h:mm:ss"/>
    <numFmt numFmtId="168" formatCode="yyyy-mm-dd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C000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Noto Sans CJK SC"/>
      <family val="2"/>
      <sz val="10"/>
    </font>
    <font>
      <name val="Noto Sans CJK SC"/>
      <family val="2"/>
      <b val="1"/>
      <sz val="10"/>
    </font>
    <font>
      <name val="Noto Sans CJK SC"/>
      <family val="2"/>
      <b val="1"/>
      <sz val="13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color rgb="FF666666"/>
      <sz val="9"/>
    </font>
    <font>
      <name val="Arial"/>
      <charset val="1"/>
      <family val="0"/>
      <color rgb="FF666666"/>
      <sz val="9"/>
    </font>
    <font>
      <name val="Arial"/>
      <charset val="1"/>
      <family val="0"/>
      <b val="1"/>
      <sz val="13"/>
    </font>
    <font>
      <name val="Arial"/>
      <charset val="1"/>
      <family val="0"/>
      <color rgb="FF0000FF"/>
      <sz val="10"/>
    </font>
    <font>
      <name val="Noto Sans CJK SC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9" fontId="16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7" fillId="2" borderId="0" pivotButton="0" quotePrefix="0" xfId="0"/>
    <xf numFmtId="168" fontId="0" fillId="0" borderId="0" pivotButton="0" quotePrefix="0" xfId="0"/>
    <xf numFmtId="4" fontId="0" fillId="0" borderId="0" pivotButton="0" quotePrefix="0" xfId="0"/>
    <xf numFmtId="3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3" fontId="16" fillId="0" borderId="1" applyAlignment="1" pivotButton="0" quotePrefix="0" xfId="0">
      <alignment horizontal="general" vertical="bottom"/>
    </xf>
    <xf numFmtId="165" fontId="16" fillId="0" borderId="1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9" fontId="16" fillId="4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1" min="1" max="1"/>
    <col width="70" customWidth="1" style="31" min="2" max="3"/>
  </cols>
  <sheetData>
    <row r="1" ht="17.15" customHeight="1" s="32">
      <c r="A1" s="33" t="inlineStr">
        <is>
          <t>시연용 가상 데이터. 실제 기업 자료가 아님</t>
        </is>
      </c>
    </row>
    <row r="2"/>
    <row r="3" ht="15" customHeight="1" s="32">
      <c r="A3" s="34" t="inlineStr">
        <is>
          <t>template_version</t>
        </is>
      </c>
      <c r="B3" s="35" t="inlineStr">
        <is>
          <t>0.3</t>
        </is>
      </c>
    </row>
    <row r="4" ht="15" customHeight="1" s="32">
      <c r="A4" s="34" t="inlineStr">
        <is>
          <t>company</t>
        </is>
      </c>
      <c r="B4" s="36" t="inlineStr">
        <is>
          <t>한빛반도체</t>
        </is>
      </c>
    </row>
    <row r="5" ht="15" customHeight="1" s="32">
      <c r="A5" s="34" t="inlineStr">
        <is>
          <t>company_en</t>
        </is>
      </c>
      <c r="B5" s="35" t="inlineStr">
        <is>
          <t>Hanbit Semiconductor</t>
        </is>
      </c>
    </row>
    <row r="6" ht="15" customHeight="1" s="32">
      <c r="A6" s="34" t="inlineStr">
        <is>
          <t>data_class</t>
        </is>
      </c>
      <c r="B6" s="36" t="inlineStr">
        <is>
          <t>가상데이터</t>
        </is>
      </c>
    </row>
    <row r="7" ht="15" customHeight="1" s="32">
      <c r="A7" s="37" t="inlineStr">
        <is>
          <t>기준기간</t>
        </is>
      </c>
      <c r="B7" s="35" t="inlineStr">
        <is>
          <t>2023-01 ~ 2025-12 (월별, 36개월)</t>
        </is>
      </c>
    </row>
    <row r="8" ht="15" customHeight="1" s="32">
      <c r="A8" s="37" t="inlineStr">
        <is>
          <t>금액 통화</t>
        </is>
      </c>
      <c r="B8" s="35" t="inlineStr">
        <is>
          <t>USD (결제통화)</t>
        </is>
      </c>
    </row>
    <row r="9" ht="26.85" customHeight="1" s="32">
      <c r="A9" s="37" t="inlineStr">
        <is>
          <t>환산 환율</t>
        </is>
      </c>
      <c r="B9" s="35" t="inlineStr">
        <is>
          <t>FRED H.10 EXKOUS 원/달러 월평균 (junhee/data/raw/external/fred_EXKOUS_krw_per_usd_monthly.csv)</t>
        </is>
      </c>
    </row>
    <row r="10" ht="29.85" customHeight="1" s="32">
      <c r="A10" s="37" t="inlineStr">
        <is>
          <t>생성 근거</t>
        </is>
      </c>
      <c r="B10" s="36" t="inlineStr">
        <is>
          <t>삼성전자 DS부문 사업보고서 3개년(2023~2025) 연간 규모·지역·제품 비율을 1/500로 축소. 월별 흐름·거래처·단가는 가정 (근거 시트)</t>
        </is>
      </c>
    </row>
    <row r="11" ht="15" customHeight="1" s="32">
      <c r="A11" s="37" t="inlineStr">
        <is>
          <t>작성일</t>
        </is>
      </c>
      <c r="B11" s="35" t="inlineStr">
        <is>
          <t>2026-09-26</t>
        </is>
      </c>
    </row>
    <row r="12"/>
    <row r="13" ht="16.15" customHeight="1" s="32">
      <c r="A13" s="38" t="inlineStr">
        <is>
          <t>대시보드 항목 ↔ 이 파일의 입력값</t>
        </is>
      </c>
    </row>
    <row r="14" ht="15" customHeight="1" s="32">
      <c r="A14" s="39" t="inlineStr">
        <is>
          <t>대시보드 항목</t>
        </is>
      </c>
      <c r="B14" s="39" t="inlineStr">
        <is>
          <t>이 파일에서 쓰는 값</t>
        </is>
      </c>
      <c r="C14" s="39" t="inlineStr">
        <is>
          <t>공개자료·API 쪽에서 붙는 값 (이 파일에는 없음)</t>
        </is>
      </c>
    </row>
    <row r="15" ht="29.85" customHeight="1" s="32">
      <c r="A15" s="40" t="inlineStr">
        <is>
          <t>공통</t>
        </is>
      </c>
      <c r="B15" s="40" t="inlineStr">
        <is>
          <t>회사·제품명(제품정보), 입력 HSK와 분석 HS6(제품정보), 목적국(수출실적·거래처), 자료기간(기준기간)</t>
        </is>
      </c>
      <c r="C15" s="40" t="inlineStr">
        <is>
          <t>기준일·출처는 공개자료 쪽</t>
        </is>
      </c>
    </row>
    <row r="16" ht="29.85" customHeight="1" s="32">
      <c r="A16" s="41" t="inlineStr">
        <is>
          <t>1. 규제</t>
        </is>
      </c>
      <c r="B16" s="40" t="inlineStr">
        <is>
          <t>제품정보.입력HSK → HSK 연계표 통제번호 후보 / 거래처.법인명·주소 → CSL 검색</t>
        </is>
      </c>
      <c r="C16" s="40" t="inlineStr">
        <is>
          <t>통제번호·품목명, 목적국 수입규제 기록, CSL 명단 (발견 사실만 표시, '없음'을 '규제 없음'으로 판정하지 않음)</t>
        </is>
      </c>
    </row>
    <row r="17" ht="15" customHeight="1" s="32">
      <c r="A17" s="41" t="inlineStr">
        <is>
          <t>2. 시장성</t>
        </is>
      </c>
      <c r="B17" s="40" t="inlineStr">
        <is>
          <t>수출실적의 목적국·HS·월별 금액(회사 수출 흐름, 월별집계 시트)</t>
        </is>
      </c>
      <c r="C17" s="40" t="inlineStr">
        <is>
          <t>목적국 총수입, 한국의 해당국 수출, 성장률, 한국산 점유율, WSTS 업황</t>
        </is>
      </c>
    </row>
    <row r="18" ht="15" customHeight="1" s="32">
      <c r="A18" s="41" t="inlineStr">
        <is>
          <t>3. 가격</t>
        </is>
      </c>
      <c r="B18" s="40" t="inlineStr">
        <is>
          <t>수출실적의 금액·순중량(kg) → 회사 kg당 단가 / 통화 → 참고환율 통화 선택</t>
        </is>
      </c>
      <c r="C18" s="40" t="inlineStr">
        <is>
          <t>무역통계 단가, 관세 참고치(WTO), 참고환율, 수출입물가지수, 운송비 참고</t>
        </is>
      </c>
    </row>
    <row r="19" ht="29.85" customHeight="1" s="32">
      <c r="A19" s="41" t="inlineStr">
        <is>
          <t>4. 물류</t>
        </is>
      </c>
      <c r="B19" s="40" t="inlineStr">
        <is>
          <t>물류 시트의 출발지·도착지 코드(공항 IATA·항만 UN/LOCODE)와 선적일 → 운항·입출항 조회 조건 / 예정·실제 도착일 → 납기 준수율·리드타임 / 운임(USD) → 운송비 비중 (v0.3 추가, 가정값)</t>
        </is>
      </c>
      <c r="C19" s="40" t="inlineStr">
        <is>
          <t>인천공항 화물편 일정·운항 횟수, 선박 입출항 기록 (직항·배송시간은 확정하지 않음)</t>
        </is>
      </c>
    </row>
    <row r="20" ht="15" customHeight="1" s="32">
      <c r="A20" s="41" t="inlineStr">
        <is>
          <t>5. 안정성</t>
        </is>
      </c>
      <c r="B20" s="40" t="inlineStr">
        <is>
          <t>월별집계 시트의 월별 금액·전월대비(회사 수출 변동 참고)</t>
        </is>
      </c>
      <c r="C20" s="40" t="inlineStr">
        <is>
          <t>목적국 월별 수입금액, CV, 급감 이력, 환율 변동성</t>
        </is>
      </c>
    </row>
    <row r="21" ht="15" customHeight="1" s="32">
      <c r="A21" s="40" t="inlineStr">
        <is>
          <t>제외</t>
        </is>
      </c>
      <c r="B21" s="40" t="inlineStr">
        <is>
          <t>원가·이익률, 허가·인증 충족 여부 — 이 파일에 넣지 않음 (납기·운임은 시연용 가정값으로 물류 시트에 추가)</t>
        </is>
      </c>
      <c r="C21" s="40" t="inlineStr">
        <is>
          <t>팀 공유 문서 '이번 기본 범위에서 제외할 항목'</t>
        </is>
      </c>
    </row>
    <row r="22"/>
    <row r="23" ht="15" customHeight="1" s="32">
      <c r="A23" s="42" t="inlineStr">
        <is>
          <t>실제 수치는 '근거' 시트 A에 출처와 함께 있고, 이 파일의 개별 거래·거래처·단가는 모두 가상입니다.</t>
        </is>
      </c>
    </row>
    <row r="24" ht="15" customHeight="1" s="32">
      <c r="A24" s="42" t="inlineStr">
        <is>
          <t>화면·발표에서는 가상 회사명만 쓰고 실제 기업명과 점수를 연결해 표시하지 않습니다.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1" min="1" max="1"/>
    <col width="14" customWidth="1" style="31" min="2" max="2"/>
    <col width="22" customWidth="1" style="31" min="3" max="3"/>
    <col width="13" customWidth="1" style="31" min="4" max="4"/>
    <col width="10" customWidth="1" style="31" min="5" max="5"/>
    <col width="9" customWidth="1" style="31" min="6" max="6"/>
    <col width="10" customWidth="1" style="31" min="7" max="7"/>
    <col width="26" customWidth="1" style="31" min="8" max="8"/>
    <col width="7" customWidth="1" style="31" min="9" max="9"/>
    <col width="12" customWidth="1" style="31" min="10" max="10"/>
    <col width="48" customWidth="1" style="31" min="11" max="11"/>
  </cols>
  <sheetData>
    <row r="1" ht="15" customHeight="1" s="32">
      <c r="A1" s="39" t="inlineStr">
        <is>
          <t>제품ID</t>
        </is>
      </c>
      <c r="B1" s="39" t="inlineStr">
        <is>
          <t>모델명</t>
        </is>
      </c>
      <c r="C1" s="39" t="inlineStr">
        <is>
          <t>제품군</t>
        </is>
      </c>
      <c r="D1" s="39" t="inlineStr">
        <is>
          <t>입력HSK</t>
        </is>
      </c>
      <c r="E1" s="43" t="inlineStr">
        <is>
          <t>HS코드</t>
        </is>
      </c>
      <c r="F1" s="43" t="inlineStr">
        <is>
          <t>HS버전</t>
        </is>
      </c>
      <c r="G1" s="39" t="inlineStr">
        <is>
          <t>제조국</t>
        </is>
      </c>
      <c r="H1" s="39" t="inlineStr">
        <is>
          <t>사양</t>
        </is>
      </c>
      <c r="I1" s="39" t="inlineStr">
        <is>
          <t>단위</t>
        </is>
      </c>
      <c r="J1" s="39" t="inlineStr">
        <is>
          <t>단위중량(g)</t>
        </is>
      </c>
      <c r="K1" s="39" t="inlineStr">
        <is>
          <t>분류비고</t>
        </is>
      </c>
    </row>
    <row r="2" ht="15" customHeight="1" s="32">
      <c r="A2" s="44" t="inlineStr">
        <is>
          <t>P-HB-001</t>
        </is>
      </c>
      <c r="B2" s="44" t="inlineStr">
        <is>
          <t>HBD5-16G</t>
        </is>
      </c>
      <c r="C2" s="44" t="inlineStr">
        <is>
          <t>DRAM</t>
        </is>
      </c>
      <c r="D2" s="44" t="inlineStr">
        <is>
          <t>8542321010</t>
        </is>
      </c>
      <c r="E2" s="44" t="inlineStr">
        <is>
          <t>854232</t>
        </is>
      </c>
      <c r="F2" s="44" t="inlineStr">
        <is>
          <t>HS2022</t>
        </is>
      </c>
      <c r="G2" s="45" t="inlineStr">
        <is>
          <t>대한민국</t>
        </is>
      </c>
      <c r="H2" s="44" t="inlineStr">
        <is>
          <t>DDR5 16Gb 6400Mbps</t>
        </is>
      </c>
      <c r="I2" s="44" t="inlineStr">
        <is>
          <t>EA</t>
        </is>
      </c>
      <c r="J2" s="44" t="n">
        <v>0.45</v>
      </c>
      <c r="K2" s="44" t="n"/>
    </row>
    <row r="3" ht="15" customHeight="1" s="32">
      <c r="A3" s="44" t="inlineStr">
        <is>
          <t>P-HB-002</t>
        </is>
      </c>
      <c r="B3" s="44" t="inlineStr">
        <is>
          <t>HBL-HBM3E</t>
        </is>
      </c>
      <c r="C3" s="44" t="inlineStr">
        <is>
          <t>DRAM(HBM)</t>
        </is>
      </c>
      <c r="D3" s="44" t="inlineStr">
        <is>
          <t>8542323000</t>
        </is>
      </c>
      <c r="E3" s="44" t="inlineStr">
        <is>
          <t>854232</t>
        </is>
      </c>
      <c r="F3" s="44" t="inlineStr">
        <is>
          <t>HS2022</t>
        </is>
      </c>
      <c r="G3" s="45" t="inlineStr">
        <is>
          <t>대한민국</t>
        </is>
      </c>
      <c r="H3" s="44" t="inlineStr">
        <is>
          <t>HBM3E 12단 36GB</t>
        </is>
      </c>
      <c r="I3" s="44" t="inlineStr">
        <is>
          <t>EA</t>
        </is>
      </c>
      <c r="J3" s="44" t="n">
        <v>2.2</v>
      </c>
      <c r="K3" s="45" t="inlineStr">
        <is>
          <t>적층 메모리(복합구조칩)로 가정 — 품목분류 확인 필요</t>
        </is>
      </c>
    </row>
    <row r="4" ht="15" customHeight="1" s="32">
      <c r="A4" s="44" t="inlineStr">
        <is>
          <t>P-HB-003</t>
        </is>
      </c>
      <c r="B4" s="44" t="inlineStr">
        <is>
          <t>HBN-1T</t>
        </is>
      </c>
      <c r="C4" s="44" t="inlineStr">
        <is>
          <t>NAND</t>
        </is>
      </c>
      <c r="D4" s="44" t="inlineStr">
        <is>
          <t>8542321030</t>
        </is>
      </c>
      <c r="E4" s="44" t="inlineStr">
        <is>
          <t>854232</t>
        </is>
      </c>
      <c r="F4" s="44" t="inlineStr">
        <is>
          <t>HS2022</t>
        </is>
      </c>
      <c r="G4" s="45" t="inlineStr">
        <is>
          <t>대한민국</t>
        </is>
      </c>
      <c r="H4" s="44" t="inlineStr">
        <is>
          <t>TLC 1Tb V-NAND</t>
        </is>
      </c>
      <c r="I4" s="44" t="inlineStr">
        <is>
          <t>EA</t>
        </is>
      </c>
      <c r="J4" s="44" t="n">
        <v>0.65</v>
      </c>
      <c r="K4" s="44" t="n"/>
    </row>
    <row r="5" ht="15" customHeight="1" s="32">
      <c r="A5" s="44" t="inlineStr">
        <is>
          <t>P-HB-004</t>
        </is>
      </c>
      <c r="B5" s="44" t="inlineStr">
        <is>
          <t>HBA-M9</t>
        </is>
      </c>
      <c r="C5" s="45" t="inlineStr">
        <is>
          <t>시스템반도체(모바일AP)</t>
        </is>
      </c>
      <c r="D5" s="44" t="inlineStr">
        <is>
          <t>8542311000</t>
        </is>
      </c>
      <c r="E5" s="44" t="inlineStr">
        <is>
          <t>854231</t>
        </is>
      </c>
      <c r="F5" s="44" t="inlineStr">
        <is>
          <t>HS2022</t>
        </is>
      </c>
      <c r="G5" s="45" t="inlineStr">
        <is>
          <t>대한민국</t>
        </is>
      </c>
      <c r="H5" s="45" t="inlineStr">
        <is>
          <t>모바일 AP 4nm</t>
        </is>
      </c>
      <c r="I5" s="44" t="inlineStr">
        <is>
          <t>EA</t>
        </is>
      </c>
      <c r="J5" s="44" t="n">
        <v>1.1</v>
      </c>
      <c r="K5" s="45" t="inlineStr">
        <is>
          <t>비메모리(System LSI·Foundry) 대표 품목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1" min="1" max="1"/>
    <col width="34" customWidth="1" style="31" min="2" max="2"/>
    <col width="22" customWidth="1" style="31" min="3" max="3"/>
    <col width="42" customWidth="1" style="31" min="4" max="4"/>
    <col width="14" customWidth="1" style="31" min="5" max="5"/>
    <col width="9" customWidth="1" style="31" min="6" max="7"/>
    <col width="13" customWidth="1" style="31" min="8" max="8"/>
  </cols>
  <sheetData>
    <row r="1" ht="15" customHeight="1" s="32">
      <c r="A1" s="39" t="inlineStr">
        <is>
          <t>거래처ID</t>
        </is>
      </c>
      <c r="B1" s="39" t="inlineStr">
        <is>
          <t>법인명</t>
        </is>
      </c>
      <c r="C1" s="39" t="inlineStr">
        <is>
          <t>별칭</t>
        </is>
      </c>
      <c r="D1" s="39" t="inlineStr">
        <is>
          <t>주소</t>
        </is>
      </c>
      <c r="E1" s="39" t="inlineStr">
        <is>
          <t>도시</t>
        </is>
      </c>
      <c r="F1" s="39" t="inlineStr">
        <is>
          <t>국가</t>
        </is>
      </c>
      <c r="G1" s="39" t="inlineStr">
        <is>
          <t>국가코드</t>
        </is>
      </c>
      <c r="H1" s="39" t="inlineStr">
        <is>
          <t>최종사용자관계</t>
        </is>
      </c>
    </row>
    <row r="2" ht="15" customHeight="1" s="32">
      <c r="A2" s="44" t="inlineStr">
        <is>
          <t>C-HB-01</t>
        </is>
      </c>
      <c r="B2" s="44" t="inlineStr">
        <is>
          <t>North River Systems Inc.</t>
        </is>
      </c>
      <c r="C2" s="45" t="inlineStr">
        <is>
          <t>노스리버 시스템즈</t>
        </is>
      </c>
      <c r="D2" s="44" t="inlineStr">
        <is>
          <t>1200 Harbor Blvd, San Jose, CA 95112</t>
        </is>
      </c>
      <c r="E2" s="44" t="inlineStr">
        <is>
          <t>San Jose</t>
        </is>
      </c>
      <c r="F2" s="45" t="inlineStr">
        <is>
          <t>미국</t>
        </is>
      </c>
      <c r="G2" s="44" t="inlineStr">
        <is>
          <t>US</t>
        </is>
      </c>
      <c r="H2" s="45" t="inlineStr">
        <is>
          <t>최종사용자</t>
        </is>
      </c>
    </row>
    <row r="3" ht="15" customHeight="1" s="32">
      <c r="A3" s="44" t="inlineStr">
        <is>
          <t>C-HB-02</t>
        </is>
      </c>
      <c r="B3" s="44" t="inlineStr">
        <is>
          <t>Pacific Crest Cloud LLC</t>
        </is>
      </c>
      <c r="C3" s="45" t="inlineStr">
        <is>
          <t>퍼시픽크레스트 클라우드</t>
        </is>
      </c>
      <c r="D3" s="44" t="inlineStr">
        <is>
          <t>88 Terminal Ave, Seattle, WA 98134</t>
        </is>
      </c>
      <c r="E3" s="44" t="inlineStr">
        <is>
          <t>Seattle</t>
        </is>
      </c>
      <c r="F3" s="45" t="inlineStr">
        <is>
          <t>미국</t>
        </is>
      </c>
      <c r="G3" s="44" t="inlineStr">
        <is>
          <t>US</t>
        </is>
      </c>
      <c r="H3" s="45" t="inlineStr">
        <is>
          <t>최종사용자</t>
        </is>
      </c>
    </row>
    <row r="4" ht="15" customHeight="1" s="32">
      <c r="A4" s="44" t="inlineStr">
        <is>
          <t>C-HB-03</t>
        </is>
      </c>
      <c r="B4" s="44" t="inlineStr">
        <is>
          <t>Tijuana Assembly S.A. de C.V.</t>
        </is>
      </c>
      <c r="C4" s="45" t="inlineStr">
        <is>
          <t>티후아나 어셈블리</t>
        </is>
      </c>
      <c r="D4" s="44" t="inlineStr">
        <is>
          <t>Blvd. Industrial 900, Tijuana, B.C.</t>
        </is>
      </c>
      <c r="E4" s="44" t="inlineStr">
        <is>
          <t>Tijuana</t>
        </is>
      </c>
      <c r="F4" s="45" t="inlineStr">
        <is>
          <t>멕시코</t>
        </is>
      </c>
      <c r="G4" s="44" t="inlineStr">
        <is>
          <t>MX</t>
        </is>
      </c>
      <c r="H4" s="45" t="inlineStr">
        <is>
          <t>최종사용자</t>
        </is>
      </c>
    </row>
    <row r="5" ht="15" customHeight="1" s="32">
      <c r="A5" s="44" t="inlineStr">
        <is>
          <t>C-HB-04</t>
        </is>
      </c>
      <c r="B5" s="44" t="inlineStr">
        <is>
          <t>Maple Server Corp.</t>
        </is>
      </c>
      <c r="C5" s="45" t="inlineStr">
        <is>
          <t>메이플 서버</t>
        </is>
      </c>
      <c r="D5" s="44" t="inlineStr">
        <is>
          <t>200 Bay St, Toronto, ON</t>
        </is>
      </c>
      <c r="E5" s="44" t="inlineStr">
        <is>
          <t>Toronto</t>
        </is>
      </c>
      <c r="F5" s="45" t="inlineStr">
        <is>
          <t>캐나다</t>
        </is>
      </c>
      <c r="G5" s="44" t="inlineStr">
        <is>
          <t>CA</t>
        </is>
      </c>
      <c r="H5" s="45" t="inlineStr">
        <is>
          <t>최종사용자</t>
        </is>
      </c>
    </row>
    <row r="6" ht="15" customHeight="1" s="32">
      <c r="A6" s="44" t="inlineStr">
        <is>
          <t>C-HB-05</t>
        </is>
      </c>
      <c r="B6" s="44" t="inlineStr">
        <is>
          <t>Rheinland Compute GmbH</t>
        </is>
      </c>
      <c r="C6" s="45" t="inlineStr">
        <is>
          <t>라인란트 컴퓨트</t>
        </is>
      </c>
      <c r="D6" s="44" t="inlineStr">
        <is>
          <t>Königsallee 60, Düsseldorf</t>
        </is>
      </c>
      <c r="E6" s="44" t="inlineStr">
        <is>
          <t>Düsseldorf</t>
        </is>
      </c>
      <c r="F6" s="45" t="inlineStr">
        <is>
          <t>독일</t>
        </is>
      </c>
      <c r="G6" s="44" t="inlineStr">
        <is>
          <t>DE</t>
        </is>
      </c>
      <c r="H6" s="45" t="inlineStr">
        <is>
          <t>유통업체</t>
        </is>
      </c>
    </row>
    <row r="7" ht="15" customHeight="1" s="32">
      <c r="A7" s="44" t="inlineStr">
        <is>
          <t>C-HB-06</t>
        </is>
      </c>
      <c r="B7" s="44" t="inlineStr">
        <is>
          <t>Song Hong Electronics Co., Ltd.</t>
        </is>
      </c>
      <c r="C7" s="45" t="inlineStr">
        <is>
          <t>송홍 일렉트로닉스</t>
        </is>
      </c>
      <c r="D7" s="44" t="inlineStr">
        <is>
          <t>Yen Phong IP, Bac Ninh</t>
        </is>
      </c>
      <c r="E7" s="44" t="inlineStr">
        <is>
          <t>Bac Ninh</t>
        </is>
      </c>
      <c r="F7" s="45" t="inlineStr">
        <is>
          <t>베트남</t>
        </is>
      </c>
      <c r="G7" s="44" t="inlineStr">
        <is>
          <t>VN</t>
        </is>
      </c>
      <c r="H7" s="45" t="inlineStr">
        <is>
          <t>최종사용자</t>
        </is>
      </c>
    </row>
    <row r="8" ht="15" customHeight="1" s="32">
      <c r="A8" s="44" t="inlineStr">
        <is>
          <t>C-HB-07</t>
        </is>
      </c>
      <c r="B8" s="44" t="inlineStr">
        <is>
          <t>Delhi Digital Pvt. Ltd.</t>
        </is>
      </c>
      <c r="C8" s="45" t="inlineStr">
        <is>
          <t>델리 디지털</t>
        </is>
      </c>
      <c r="D8" s="44" t="inlineStr">
        <is>
          <t>Sector 62, Noida, Uttar Pradesh</t>
        </is>
      </c>
      <c r="E8" s="44" t="inlineStr">
        <is>
          <t>Noida</t>
        </is>
      </c>
      <c r="F8" s="45" t="inlineStr">
        <is>
          <t>인도</t>
        </is>
      </c>
      <c r="G8" s="44" t="inlineStr">
        <is>
          <t>IN</t>
        </is>
      </c>
      <c r="H8" s="45" t="inlineStr">
        <is>
          <t>최종사용자</t>
        </is>
      </c>
    </row>
    <row r="9" ht="15" customHeight="1" s="32">
      <c r="A9" s="44" t="inlineStr">
        <is>
          <t>C-HB-08</t>
        </is>
      </c>
      <c r="B9" s="44" t="inlineStr">
        <is>
          <t>Huarun Storage Co., Ltd.</t>
        </is>
      </c>
      <c r="C9" s="45" t="inlineStr">
        <is>
          <t>화룬 스토리지</t>
        </is>
      </c>
      <c r="D9" s="44" t="inlineStr">
        <is>
          <t>88 Keyuan Rd, Nanshan, Shenzhen</t>
        </is>
      </c>
      <c r="E9" s="44" t="inlineStr">
        <is>
          <t>Shenzhen</t>
        </is>
      </c>
      <c r="F9" s="45" t="inlineStr">
        <is>
          <t>중국</t>
        </is>
      </c>
      <c r="G9" s="44" t="inlineStr">
        <is>
          <t>CN</t>
        </is>
      </c>
      <c r="H9" s="45" t="inlineStr">
        <is>
          <t>최종사용자</t>
        </is>
      </c>
    </row>
    <row r="10" ht="15" customHeight="1" s="32">
      <c r="A10" s="44" t="inlineStr">
        <is>
          <t>C-HB-09</t>
        </is>
      </c>
      <c r="B10" s="44" t="inlineStr">
        <is>
          <t>Jiangbei Mobile Devices Co., Ltd.</t>
        </is>
      </c>
      <c r="C10" s="45" t="inlineStr">
        <is>
          <t>장베이 모바일</t>
        </is>
      </c>
      <c r="D10" s="44" t="inlineStr">
        <is>
          <t>Liangjiang New Area, Chongqing</t>
        </is>
      </c>
      <c r="E10" s="44" t="inlineStr">
        <is>
          <t>Chongqing</t>
        </is>
      </c>
      <c r="F10" s="45" t="inlineStr">
        <is>
          <t>중국</t>
        </is>
      </c>
      <c r="G10" s="44" t="inlineStr">
        <is>
          <t>CN</t>
        </is>
      </c>
      <c r="H10" s="45" t="inlineStr">
        <is>
          <t>최종사용자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2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1"/>
    <col width="11" customWidth="1" style="31" min="2" max="2"/>
    <col width="9" customWidth="1" style="31" min="3" max="3"/>
    <col width="7" customWidth="1" style="31" min="4" max="4"/>
    <col width="10" customWidth="1" style="31" min="5" max="6"/>
    <col width="8" customWidth="1" style="31" min="7" max="7"/>
    <col width="9" customWidth="1" style="31" min="8" max="8"/>
    <col width="12" customWidth="1" style="31" min="9" max="9"/>
    <col width="6" customWidth="1" style="31" min="10" max="10"/>
    <col width="11" customWidth="1" style="31" min="11" max="11"/>
    <col width="14" customWidth="1" style="31" min="12" max="12"/>
    <col width="6" customWidth="1" style="31" min="13" max="13"/>
    <col width="9" customWidth="1" style="31" min="14" max="14"/>
    <col width="8" customWidth="1" style="31" min="15" max="15"/>
    <col width="13" customWidth="1" style="31" min="16" max="16"/>
    <col width="16" customWidth="1" style="31" min="17" max="17"/>
  </cols>
  <sheetData>
    <row r="1" ht="38.05" customHeight="1" s="32">
      <c r="A1" s="39" t="inlineStr">
        <is>
          <t>실적ID</t>
        </is>
      </c>
      <c r="B1" s="39" t="inlineStr">
        <is>
          <t>거래일</t>
        </is>
      </c>
      <c r="C1" s="39" t="inlineStr">
        <is>
          <t>거래월</t>
        </is>
      </c>
      <c r="D1" s="39" t="inlineStr">
        <is>
          <t>연도</t>
        </is>
      </c>
      <c r="E1" s="39" t="inlineStr">
        <is>
          <t>제품ID</t>
        </is>
      </c>
      <c r="F1" s="39" t="inlineStr">
        <is>
          <t>거래처ID</t>
        </is>
      </c>
      <c r="G1" s="39" t="inlineStr">
        <is>
          <t>목적국</t>
        </is>
      </c>
      <c r="H1" s="39" t="inlineStr">
        <is>
          <t>목적국코드</t>
        </is>
      </c>
      <c r="I1" s="39" t="inlineStr">
        <is>
          <t>수량</t>
        </is>
      </c>
      <c r="J1" s="39" t="inlineStr">
        <is>
          <t>단위</t>
        </is>
      </c>
      <c r="K1" s="39" t="inlineStr">
        <is>
          <t>순중량(kg)</t>
        </is>
      </c>
      <c r="L1" s="39" t="inlineStr">
        <is>
          <t>금액</t>
        </is>
      </c>
      <c r="M1" s="39" t="inlineStr">
        <is>
          <t>통화</t>
        </is>
      </c>
      <c r="N1" s="39" t="inlineStr">
        <is>
          <t>인코텀즈</t>
        </is>
      </c>
      <c r="O1" s="39" t="inlineStr">
        <is>
          <t>취소반품</t>
        </is>
      </c>
      <c r="P1" s="39" t="inlineStr">
        <is>
          <t>적용환율(KRW/USD)</t>
        </is>
      </c>
      <c r="Q1" s="39" t="inlineStr">
        <is>
          <t>원화환산(원)</t>
        </is>
      </c>
    </row>
    <row r="2" ht="15" customHeight="1" s="32">
      <c r="A2" s="46" t="inlineStr">
        <is>
          <t>R-HB-0001</t>
        </is>
      </c>
      <c r="B2" s="47" t="n">
        <v>44929</v>
      </c>
      <c r="C2" s="46" t="inlineStr">
        <is>
          <t>2023-01</t>
        </is>
      </c>
      <c r="D2" s="46" t="n">
        <v>2023</v>
      </c>
      <c r="E2" s="46" t="inlineStr">
        <is>
          <t>P-HB-001</t>
        </is>
      </c>
      <c r="F2" s="46" t="inlineStr">
        <is>
          <t>C-HB-06</t>
        </is>
      </c>
      <c r="G2" s="48" t="inlineStr">
        <is>
          <t>베트남</t>
        </is>
      </c>
      <c r="H2" s="46" t="inlineStr">
        <is>
          <t>VN</t>
        </is>
      </c>
      <c r="I2" s="49" t="n">
        <v>97688</v>
      </c>
      <c r="J2" s="46" t="inlineStr">
        <is>
          <t>EA</t>
        </is>
      </c>
      <c r="K2" s="50" t="n">
        <v>43.96</v>
      </c>
      <c r="L2" s="50" t="n">
        <v>419733.96</v>
      </c>
      <c r="M2" s="46" t="inlineStr">
        <is>
          <t>USD</t>
        </is>
      </c>
      <c r="N2" s="46" t="inlineStr">
        <is>
          <t>FOB</t>
        </is>
      </c>
      <c r="O2" s="46" t="inlineStr">
        <is>
          <t>N</t>
        </is>
      </c>
      <c r="P2" s="50" t="n">
        <v>1243.0705</v>
      </c>
      <c r="Q2" s="49">
        <f>IF(OR(L2="",M2="",P2=""),"",L2*P2)</f>
        <v/>
      </c>
    </row>
    <row r="3" ht="15" customHeight="1" s="32">
      <c r="A3" s="46" t="inlineStr">
        <is>
          <t>R-HB-0002</t>
        </is>
      </c>
      <c r="B3" s="47" t="n">
        <v>44929</v>
      </c>
      <c r="C3" s="46" t="inlineStr">
        <is>
          <t>2023-01</t>
        </is>
      </c>
      <c r="D3" s="46" t="n">
        <v>2023</v>
      </c>
      <c r="E3" s="46" t="inlineStr">
        <is>
          <t>P-HB-002</t>
        </is>
      </c>
      <c r="F3" s="46" t="inlineStr">
        <is>
          <t>C-HB-09</t>
        </is>
      </c>
      <c r="G3" s="48" t="inlineStr">
        <is>
          <t>중국</t>
        </is>
      </c>
      <c r="H3" s="46" t="inlineStr">
        <is>
          <t>CN</t>
        </is>
      </c>
      <c r="I3" s="49" t="n">
        <v>161</v>
      </c>
      <c r="J3" s="46" t="inlineStr">
        <is>
          <t>EA</t>
        </is>
      </c>
      <c r="K3" s="50" t="n">
        <v>0.35</v>
      </c>
      <c r="L3" s="50" t="n">
        <v>47298.54</v>
      </c>
      <c r="M3" s="46" t="inlineStr">
        <is>
          <t>USD</t>
        </is>
      </c>
      <c r="N3" s="46" t="inlineStr">
        <is>
          <t>FOB</t>
        </is>
      </c>
      <c r="O3" s="46" t="inlineStr">
        <is>
          <t>N</t>
        </is>
      </c>
      <c r="P3" s="50" t="n">
        <v>1243.0705</v>
      </c>
      <c r="Q3" s="49">
        <f>IF(OR(L3="",M3="",P3=""),"",L3*P3)</f>
        <v/>
      </c>
    </row>
    <row r="4" ht="15" customHeight="1" s="32">
      <c r="A4" s="46" t="inlineStr">
        <is>
          <t>R-HB-0003</t>
        </is>
      </c>
      <c r="B4" s="47" t="n">
        <v>44931</v>
      </c>
      <c r="C4" s="46" t="inlineStr">
        <is>
          <t>2023-01</t>
        </is>
      </c>
      <c r="D4" s="46" t="n">
        <v>2023</v>
      </c>
      <c r="E4" s="46" t="inlineStr">
        <is>
          <t>P-HB-002</t>
        </is>
      </c>
      <c r="F4" s="46" t="inlineStr">
        <is>
          <t>C-HB-05</t>
        </is>
      </c>
      <c r="G4" s="48" t="inlineStr">
        <is>
          <t>독일</t>
        </is>
      </c>
      <c r="H4" s="46" t="inlineStr">
        <is>
          <t>DE</t>
        </is>
      </c>
      <c r="I4" s="49" t="n">
        <v>203</v>
      </c>
      <c r="J4" s="46" t="inlineStr">
        <is>
          <t>EA</t>
        </is>
      </c>
      <c r="K4" s="50" t="n">
        <v>0.45</v>
      </c>
      <c r="L4" s="50" t="n">
        <v>60952.47</v>
      </c>
      <c r="M4" s="46" t="inlineStr">
        <is>
          <t>USD</t>
        </is>
      </c>
      <c r="N4" s="46" t="inlineStr">
        <is>
          <t>FOB</t>
        </is>
      </c>
      <c r="O4" s="46" t="inlineStr">
        <is>
          <t>N</t>
        </is>
      </c>
      <c r="P4" s="50" t="n">
        <v>1243.0705</v>
      </c>
      <c r="Q4" s="49">
        <f>IF(OR(L4="",M4="",P4=""),"",L4*P4)</f>
        <v/>
      </c>
    </row>
    <row r="5" ht="15" customHeight="1" s="32">
      <c r="A5" s="46" t="inlineStr">
        <is>
          <t>R-HB-0004</t>
        </is>
      </c>
      <c r="B5" s="47" t="n">
        <v>44931</v>
      </c>
      <c r="C5" s="46" t="inlineStr">
        <is>
          <t>2023-01</t>
        </is>
      </c>
      <c r="D5" s="46" t="n">
        <v>2023</v>
      </c>
      <c r="E5" s="46" t="inlineStr">
        <is>
          <t>P-HB-004</t>
        </is>
      </c>
      <c r="F5" s="46" t="inlineStr">
        <is>
          <t>C-HB-08</t>
        </is>
      </c>
      <c r="G5" s="48" t="inlineStr">
        <is>
          <t>중국</t>
        </is>
      </c>
      <c r="H5" s="46" t="inlineStr">
        <is>
          <t>CN</t>
        </is>
      </c>
      <c r="I5" s="49" t="n">
        <v>16900</v>
      </c>
      <c r="J5" s="46" t="inlineStr">
        <is>
          <t>EA</t>
        </is>
      </c>
      <c r="K5" s="50" t="n">
        <v>18.59</v>
      </c>
      <c r="L5" s="50" t="n">
        <v>454927.24</v>
      </c>
      <c r="M5" s="46" t="inlineStr">
        <is>
          <t>USD</t>
        </is>
      </c>
      <c r="N5" s="46" t="inlineStr">
        <is>
          <t>FOB</t>
        </is>
      </c>
      <c r="O5" s="46" t="inlineStr">
        <is>
          <t>N</t>
        </is>
      </c>
      <c r="P5" s="50" t="n">
        <v>1243.0705</v>
      </c>
      <c r="Q5" s="49">
        <f>IF(OR(L5="",M5="",P5=""),"",L5*P5)</f>
        <v/>
      </c>
    </row>
    <row r="6" ht="15" customHeight="1" s="32">
      <c r="A6" s="46" t="inlineStr">
        <is>
          <t>R-HB-0005</t>
        </is>
      </c>
      <c r="B6" s="47" t="n">
        <v>44932</v>
      </c>
      <c r="C6" s="46" t="inlineStr">
        <is>
          <t>2023-01</t>
        </is>
      </c>
      <c r="D6" s="46" t="n">
        <v>2023</v>
      </c>
      <c r="E6" s="46" t="inlineStr">
        <is>
          <t>P-HB-002</t>
        </is>
      </c>
      <c r="F6" s="46" t="inlineStr">
        <is>
          <t>C-HB-06</t>
        </is>
      </c>
      <c r="G6" s="48" t="inlineStr">
        <is>
          <t>베트남</t>
        </is>
      </c>
      <c r="H6" s="46" t="inlineStr">
        <is>
          <t>VN</t>
        </is>
      </c>
      <c r="I6" s="49" t="n">
        <v>179</v>
      </c>
      <c r="J6" s="46" t="inlineStr">
        <is>
          <t>EA</t>
        </is>
      </c>
      <c r="K6" s="50" t="n">
        <v>0.39</v>
      </c>
      <c r="L6" s="50" t="n">
        <v>51186.56</v>
      </c>
      <c r="M6" s="46" t="inlineStr">
        <is>
          <t>USD</t>
        </is>
      </c>
      <c r="N6" s="46" t="inlineStr">
        <is>
          <t>FOB</t>
        </is>
      </c>
      <c r="O6" s="46" t="inlineStr">
        <is>
          <t>N</t>
        </is>
      </c>
      <c r="P6" s="50" t="n">
        <v>1243.0705</v>
      </c>
      <c r="Q6" s="49">
        <f>IF(OR(L6="",M6="",P6=""),"",L6*P6)</f>
        <v/>
      </c>
    </row>
    <row r="7" ht="15" customHeight="1" s="32">
      <c r="A7" s="46" t="inlineStr">
        <is>
          <t>R-HB-0006</t>
        </is>
      </c>
      <c r="B7" s="47" t="n">
        <v>44933</v>
      </c>
      <c r="C7" s="46" t="inlineStr">
        <is>
          <t>2023-01</t>
        </is>
      </c>
      <c r="D7" s="46" t="n">
        <v>2023</v>
      </c>
      <c r="E7" s="46" t="inlineStr">
        <is>
          <t>P-HB-003</t>
        </is>
      </c>
      <c r="F7" s="46" t="inlineStr">
        <is>
          <t>C-HB-01</t>
        </is>
      </c>
      <c r="G7" s="48" t="inlineStr">
        <is>
          <t>미국</t>
        </is>
      </c>
      <c r="H7" s="46" t="inlineStr">
        <is>
          <t>US</t>
        </is>
      </c>
      <c r="I7" s="49" t="n">
        <v>60248</v>
      </c>
      <c r="J7" s="46" t="inlineStr">
        <is>
          <t>EA</t>
        </is>
      </c>
      <c r="K7" s="50" t="n">
        <v>39.16</v>
      </c>
      <c r="L7" s="50" t="n">
        <v>356127.21</v>
      </c>
      <c r="M7" s="46" t="inlineStr">
        <is>
          <t>USD</t>
        </is>
      </c>
      <c r="N7" s="46" t="inlineStr">
        <is>
          <t>FOB</t>
        </is>
      </c>
      <c r="O7" s="46" t="inlineStr">
        <is>
          <t>N</t>
        </is>
      </c>
      <c r="P7" s="50" t="n">
        <v>1243.0705</v>
      </c>
      <c r="Q7" s="49">
        <f>IF(OR(L7="",M7="",P7=""),"",L7*P7)</f>
        <v/>
      </c>
    </row>
    <row r="8" ht="15" customHeight="1" s="32">
      <c r="A8" s="46" t="inlineStr">
        <is>
          <t>R-HB-0007</t>
        </is>
      </c>
      <c r="B8" s="47" t="n">
        <v>44933</v>
      </c>
      <c r="C8" s="46" t="inlineStr">
        <is>
          <t>2023-01</t>
        </is>
      </c>
      <c r="D8" s="46" t="n">
        <v>2023</v>
      </c>
      <c r="E8" s="46" t="inlineStr">
        <is>
          <t>P-HB-003</t>
        </is>
      </c>
      <c r="F8" s="46" t="inlineStr">
        <is>
          <t>C-HB-05</t>
        </is>
      </c>
      <c r="G8" s="48" t="inlineStr">
        <is>
          <t>독일</t>
        </is>
      </c>
      <c r="H8" s="46" t="inlineStr">
        <is>
          <t>DE</t>
        </is>
      </c>
      <c r="I8" s="49" t="n">
        <v>47810</v>
      </c>
      <c r="J8" s="46" t="inlineStr">
        <is>
          <t>EA</t>
        </is>
      </c>
      <c r="K8" s="50" t="n">
        <v>31.08</v>
      </c>
      <c r="L8" s="50" t="n">
        <v>274490.99</v>
      </c>
      <c r="M8" s="46" t="inlineStr">
        <is>
          <t>USD</t>
        </is>
      </c>
      <c r="N8" s="46" t="inlineStr">
        <is>
          <t>FOB</t>
        </is>
      </c>
      <c r="O8" s="46" t="inlineStr">
        <is>
          <t>N</t>
        </is>
      </c>
      <c r="P8" s="50" t="n">
        <v>1243.0705</v>
      </c>
      <c r="Q8" s="49">
        <f>IF(OR(L8="",M8="",P8=""),"",L8*P8)</f>
        <v/>
      </c>
    </row>
    <row r="9" ht="15" customHeight="1" s="32">
      <c r="A9" s="46" t="inlineStr">
        <is>
          <t>R-HB-0008</t>
        </is>
      </c>
      <c r="B9" s="47" t="n">
        <v>44933</v>
      </c>
      <c r="C9" s="46" t="inlineStr">
        <is>
          <t>2023-01</t>
        </is>
      </c>
      <c r="D9" s="46" t="n">
        <v>2023</v>
      </c>
      <c r="E9" s="46" t="inlineStr">
        <is>
          <t>P-HB-002</t>
        </is>
      </c>
      <c r="F9" s="46" t="inlineStr">
        <is>
          <t>C-HB-07</t>
        </is>
      </c>
      <c r="G9" s="48" t="inlineStr">
        <is>
          <t>인도</t>
        </is>
      </c>
      <c r="H9" s="46" t="inlineStr">
        <is>
          <t>IN</t>
        </is>
      </c>
      <c r="I9" s="49" t="n">
        <v>120</v>
      </c>
      <c r="J9" s="46" t="inlineStr">
        <is>
          <t>EA</t>
        </is>
      </c>
      <c r="K9" s="50" t="n">
        <v>0.26</v>
      </c>
      <c r="L9" s="50" t="n">
        <v>33714.46</v>
      </c>
      <c r="M9" s="46" t="inlineStr">
        <is>
          <t>USD</t>
        </is>
      </c>
      <c r="N9" s="46" t="inlineStr">
        <is>
          <t>FOB</t>
        </is>
      </c>
      <c r="O9" s="46" t="inlineStr">
        <is>
          <t>N</t>
        </is>
      </c>
      <c r="P9" s="50" t="n">
        <v>1243.0705</v>
      </c>
      <c r="Q9" s="49">
        <f>IF(OR(L9="",M9="",P9=""),"",L9*P9)</f>
        <v/>
      </c>
    </row>
    <row r="10" ht="15" customHeight="1" s="32">
      <c r="A10" s="46" t="inlineStr">
        <is>
          <t>R-HB-0009</t>
        </is>
      </c>
      <c r="B10" s="47" t="n">
        <v>44934</v>
      </c>
      <c r="C10" s="46" t="inlineStr">
        <is>
          <t>2023-01</t>
        </is>
      </c>
      <c r="D10" s="46" t="n">
        <v>2023</v>
      </c>
      <c r="E10" s="46" t="inlineStr">
        <is>
          <t>P-HB-001</t>
        </is>
      </c>
      <c r="F10" s="46" t="inlineStr">
        <is>
          <t>C-HB-08</t>
        </is>
      </c>
      <c r="G10" s="48" t="inlineStr">
        <is>
          <t>중국</t>
        </is>
      </c>
      <c r="H10" s="46" t="inlineStr">
        <is>
          <t>CN</t>
        </is>
      </c>
      <c r="I10" s="49" t="n">
        <v>143680</v>
      </c>
      <c r="J10" s="46" t="inlineStr">
        <is>
          <t>EA</t>
        </is>
      </c>
      <c r="K10" s="50" t="n">
        <v>64.66</v>
      </c>
      <c r="L10" s="50" t="n">
        <v>602894.97</v>
      </c>
      <c r="M10" s="46" t="inlineStr">
        <is>
          <t>USD</t>
        </is>
      </c>
      <c r="N10" s="46" t="inlineStr">
        <is>
          <t>FOB</t>
        </is>
      </c>
      <c r="O10" s="46" t="inlineStr">
        <is>
          <t>N</t>
        </is>
      </c>
      <c r="P10" s="50" t="n">
        <v>1243.0705</v>
      </c>
      <c r="Q10" s="49">
        <f>IF(OR(L10="",M10="",P10=""),"",L10*P10)</f>
        <v/>
      </c>
    </row>
    <row r="11" ht="15" customHeight="1" s="32">
      <c r="A11" s="46" t="inlineStr">
        <is>
          <t>R-HB-0010</t>
        </is>
      </c>
      <c r="B11" s="47" t="n">
        <v>44935</v>
      </c>
      <c r="C11" s="46" t="inlineStr">
        <is>
          <t>2023-01</t>
        </is>
      </c>
      <c r="D11" s="46" t="n">
        <v>2023</v>
      </c>
      <c r="E11" s="46" t="inlineStr">
        <is>
          <t>P-HB-003</t>
        </is>
      </c>
      <c r="F11" s="46" t="inlineStr">
        <is>
          <t>C-HB-09</t>
        </is>
      </c>
      <c r="G11" s="48" t="inlineStr">
        <is>
          <t>중국</t>
        </is>
      </c>
      <c r="H11" s="46" t="inlineStr">
        <is>
          <t>CN</t>
        </is>
      </c>
      <c r="I11" s="49" t="n">
        <v>31705</v>
      </c>
      <c r="J11" s="46" t="inlineStr">
        <is>
          <t>EA</t>
        </is>
      </c>
      <c r="K11" s="50" t="n">
        <v>20.61</v>
      </c>
      <c r="L11" s="50" t="n">
        <v>189381.83</v>
      </c>
      <c r="M11" s="46" t="inlineStr">
        <is>
          <t>USD</t>
        </is>
      </c>
      <c r="N11" s="46" t="inlineStr">
        <is>
          <t>FOB</t>
        </is>
      </c>
      <c r="O11" s="46" t="inlineStr">
        <is>
          <t>N</t>
        </is>
      </c>
      <c r="P11" s="50" t="n">
        <v>1243.0705</v>
      </c>
      <c r="Q11" s="49">
        <f>IF(OR(L11="",M11="",P11=""),"",L11*P11)</f>
        <v/>
      </c>
    </row>
    <row r="12" ht="15" customHeight="1" s="32">
      <c r="A12" s="46" t="inlineStr">
        <is>
          <t>R-HB-0011</t>
        </is>
      </c>
      <c r="B12" s="47" t="n">
        <v>44936</v>
      </c>
      <c r="C12" s="46" t="inlineStr">
        <is>
          <t>2023-01</t>
        </is>
      </c>
      <c r="D12" s="46" t="n">
        <v>2023</v>
      </c>
      <c r="E12" s="46" t="inlineStr">
        <is>
          <t>P-HB-002</t>
        </is>
      </c>
      <c r="F12" s="46" t="inlineStr">
        <is>
          <t>C-HB-04</t>
        </is>
      </c>
      <c r="G12" s="48" t="inlineStr">
        <is>
          <t>캐나다</t>
        </is>
      </c>
      <c r="H12" s="46" t="inlineStr">
        <is>
          <t>CA</t>
        </is>
      </c>
      <c r="I12" s="49" t="n">
        <v>24</v>
      </c>
      <c r="J12" s="46" t="inlineStr">
        <is>
          <t>EA</t>
        </is>
      </c>
      <c r="K12" s="50" t="n">
        <v>0.05</v>
      </c>
      <c r="L12" s="50" t="n">
        <v>7012.08</v>
      </c>
      <c r="M12" s="46" t="inlineStr">
        <is>
          <t>USD</t>
        </is>
      </c>
      <c r="N12" s="46" t="inlineStr">
        <is>
          <t>FOB</t>
        </is>
      </c>
      <c r="O12" s="46" t="inlineStr">
        <is>
          <t>N</t>
        </is>
      </c>
      <c r="P12" s="50" t="n">
        <v>1243.0705</v>
      </c>
      <c r="Q12" s="49">
        <f>IF(OR(L12="",M12="",P12=""),"",L12*P12)</f>
        <v/>
      </c>
    </row>
    <row r="13" ht="15" customHeight="1" s="32">
      <c r="A13" s="46" t="inlineStr">
        <is>
          <t>R-HB-0012</t>
        </is>
      </c>
      <c r="B13" s="47" t="n">
        <v>44937</v>
      </c>
      <c r="C13" s="46" t="inlineStr">
        <is>
          <t>2023-01</t>
        </is>
      </c>
      <c r="D13" s="46" t="n">
        <v>2023</v>
      </c>
      <c r="E13" s="46" t="inlineStr">
        <is>
          <t>P-HB-002</t>
        </is>
      </c>
      <c r="F13" s="46" t="inlineStr">
        <is>
          <t>C-HB-01</t>
        </is>
      </c>
      <c r="G13" s="48" t="inlineStr">
        <is>
          <t>미국</t>
        </is>
      </c>
      <c r="H13" s="46" t="inlineStr">
        <is>
          <t>US</t>
        </is>
      </c>
      <c r="I13" s="49" t="n">
        <v>271</v>
      </c>
      <c r="J13" s="46" t="inlineStr">
        <is>
          <t>EA</t>
        </is>
      </c>
      <c r="K13" s="50" t="n">
        <v>0.6</v>
      </c>
      <c r="L13" s="50" t="n">
        <v>75702.86</v>
      </c>
      <c r="M13" s="46" t="inlineStr">
        <is>
          <t>USD</t>
        </is>
      </c>
      <c r="N13" s="46" t="inlineStr">
        <is>
          <t>FOB</t>
        </is>
      </c>
      <c r="O13" s="46" t="inlineStr">
        <is>
          <t>N</t>
        </is>
      </c>
      <c r="P13" s="50" t="n">
        <v>1243.0705</v>
      </c>
      <c r="Q13" s="49">
        <f>IF(OR(L13="",M13="",P13=""),"",L13*P13)</f>
        <v/>
      </c>
    </row>
    <row r="14" ht="15" customHeight="1" s="32">
      <c r="A14" s="46" t="inlineStr">
        <is>
          <t>R-HB-0013</t>
        </is>
      </c>
      <c r="B14" s="47" t="n">
        <v>44937</v>
      </c>
      <c r="C14" s="46" t="inlineStr">
        <is>
          <t>2023-01</t>
        </is>
      </c>
      <c r="D14" s="46" t="n">
        <v>2023</v>
      </c>
      <c r="E14" s="46" t="inlineStr">
        <is>
          <t>P-HB-003</t>
        </is>
      </c>
      <c r="F14" s="46" t="inlineStr">
        <is>
          <t>C-HB-02</t>
        </is>
      </c>
      <c r="G14" s="48" t="inlineStr">
        <is>
          <t>미국</t>
        </is>
      </c>
      <c r="H14" s="46" t="inlineStr">
        <is>
          <t>US</t>
        </is>
      </c>
      <c r="I14" s="49" t="n">
        <v>28967</v>
      </c>
      <c r="J14" s="46" t="inlineStr">
        <is>
          <t>EA</t>
        </is>
      </c>
      <c r="K14" s="50" t="n">
        <v>18.83</v>
      </c>
      <c r="L14" s="50" t="n">
        <v>170266.87</v>
      </c>
      <c r="M14" s="46" t="inlineStr">
        <is>
          <t>USD</t>
        </is>
      </c>
      <c r="N14" s="46" t="inlineStr">
        <is>
          <t>FOB</t>
        </is>
      </c>
      <c r="O14" s="46" t="inlineStr">
        <is>
          <t>N</t>
        </is>
      </c>
      <c r="P14" s="50" t="n">
        <v>1243.0705</v>
      </c>
      <c r="Q14" s="49">
        <f>IF(OR(L14="",M14="",P14=""),"",L14*P14)</f>
        <v/>
      </c>
    </row>
    <row r="15" ht="15" customHeight="1" s="32">
      <c r="A15" s="46" t="inlineStr">
        <is>
          <t>R-HB-0014</t>
        </is>
      </c>
      <c r="B15" s="47" t="n">
        <v>44939</v>
      </c>
      <c r="C15" s="46" t="inlineStr">
        <is>
          <t>2023-01</t>
        </is>
      </c>
      <c r="D15" s="46" t="n">
        <v>2023</v>
      </c>
      <c r="E15" s="46" t="inlineStr">
        <is>
          <t>P-HB-004</t>
        </is>
      </c>
      <c r="F15" s="46" t="inlineStr">
        <is>
          <t>C-HB-06</t>
        </is>
      </c>
      <c r="G15" s="48" t="inlineStr">
        <is>
          <t>베트남</t>
        </is>
      </c>
      <c r="H15" s="46" t="inlineStr">
        <is>
          <t>VN</t>
        </is>
      </c>
      <c r="I15" s="49" t="n">
        <v>14774</v>
      </c>
      <c r="J15" s="46" t="inlineStr">
        <is>
          <t>EA</t>
        </is>
      </c>
      <c r="K15" s="50" t="n">
        <v>16.25</v>
      </c>
      <c r="L15" s="50" t="n">
        <v>397218.74</v>
      </c>
      <c r="M15" s="46" t="inlineStr">
        <is>
          <t>USD</t>
        </is>
      </c>
      <c r="N15" s="46" t="inlineStr">
        <is>
          <t>FOB</t>
        </is>
      </c>
      <c r="O15" s="46" t="inlineStr">
        <is>
          <t>N</t>
        </is>
      </c>
      <c r="P15" s="50" t="n">
        <v>1243.0705</v>
      </c>
      <c r="Q15" s="49">
        <f>IF(OR(L15="",M15="",P15=""),"",L15*P15)</f>
        <v/>
      </c>
    </row>
    <row r="16" ht="15" customHeight="1" s="32">
      <c r="A16" s="46" t="inlineStr">
        <is>
          <t>R-HB-0015</t>
        </is>
      </c>
      <c r="B16" s="47" t="n">
        <v>44939</v>
      </c>
      <c r="C16" s="46" t="inlineStr">
        <is>
          <t>2023-01</t>
        </is>
      </c>
      <c r="D16" s="46" t="n">
        <v>2023</v>
      </c>
      <c r="E16" s="46" t="inlineStr">
        <is>
          <t>P-HB-004</t>
        </is>
      </c>
      <c r="F16" s="46" t="inlineStr">
        <is>
          <t>C-HB-07</t>
        </is>
      </c>
      <c r="G16" s="48" t="inlineStr">
        <is>
          <t>인도</t>
        </is>
      </c>
      <c r="H16" s="46" t="inlineStr">
        <is>
          <t>IN</t>
        </is>
      </c>
      <c r="I16" s="49" t="n">
        <v>9543</v>
      </c>
      <c r="J16" s="46" t="inlineStr">
        <is>
          <t>EA</t>
        </is>
      </c>
      <c r="K16" s="50" t="n">
        <v>10.5</v>
      </c>
      <c r="L16" s="50" t="n">
        <v>265529.33</v>
      </c>
      <c r="M16" s="46" t="inlineStr">
        <is>
          <t>USD</t>
        </is>
      </c>
      <c r="N16" s="46" t="inlineStr">
        <is>
          <t>FOB</t>
        </is>
      </c>
      <c r="O16" s="46" t="inlineStr">
        <is>
          <t>N</t>
        </is>
      </c>
      <c r="P16" s="50" t="n">
        <v>1243.0705</v>
      </c>
      <c r="Q16" s="49">
        <f>IF(OR(L16="",M16="",P16=""),"",L16*P16)</f>
        <v/>
      </c>
    </row>
    <row r="17" ht="15" customHeight="1" s="32">
      <c r="A17" s="46" t="inlineStr">
        <is>
          <t>R-HB-0016</t>
        </is>
      </c>
      <c r="B17" s="47" t="n">
        <v>44940</v>
      </c>
      <c r="C17" s="46" t="inlineStr">
        <is>
          <t>2023-01</t>
        </is>
      </c>
      <c r="D17" s="46" t="n">
        <v>2023</v>
      </c>
      <c r="E17" s="46" t="inlineStr">
        <is>
          <t>P-HB-001</t>
        </is>
      </c>
      <c r="F17" s="46" t="inlineStr">
        <is>
          <t>C-HB-02</t>
        </is>
      </c>
      <c r="G17" s="48" t="inlineStr">
        <is>
          <t>미국</t>
        </is>
      </c>
      <c r="H17" s="46" t="inlineStr">
        <is>
          <t>US</t>
        </is>
      </c>
      <c r="I17" s="49" t="n">
        <v>81161</v>
      </c>
      <c r="J17" s="46" t="inlineStr">
        <is>
          <t>EA</t>
        </is>
      </c>
      <c r="K17" s="50" t="n">
        <v>36.52</v>
      </c>
      <c r="L17" s="50" t="n">
        <v>353170</v>
      </c>
      <c r="M17" s="46" t="inlineStr">
        <is>
          <t>USD</t>
        </is>
      </c>
      <c r="N17" s="46" t="inlineStr">
        <is>
          <t>FOB</t>
        </is>
      </c>
      <c r="O17" s="46" t="inlineStr">
        <is>
          <t>N</t>
        </is>
      </c>
      <c r="P17" s="50" t="n">
        <v>1243.0705</v>
      </c>
      <c r="Q17" s="49">
        <f>IF(OR(L17="",M17="",P17=""),"",L17*P17)</f>
        <v/>
      </c>
    </row>
    <row r="18" ht="15" customHeight="1" s="32">
      <c r="A18" s="46" t="inlineStr">
        <is>
          <t>R-HB-0017</t>
        </is>
      </c>
      <c r="B18" s="47" t="n">
        <v>44940</v>
      </c>
      <c r="C18" s="46" t="inlineStr">
        <is>
          <t>2023-01</t>
        </is>
      </c>
      <c r="D18" s="46" t="n">
        <v>2023</v>
      </c>
      <c r="E18" s="46" t="inlineStr">
        <is>
          <t>P-HB-001</t>
        </is>
      </c>
      <c r="F18" s="46" t="inlineStr">
        <is>
          <t>C-HB-04</t>
        </is>
      </c>
      <c r="G18" s="48" t="inlineStr">
        <is>
          <t>캐나다</t>
        </is>
      </c>
      <c r="H18" s="46" t="inlineStr">
        <is>
          <t>CA</t>
        </is>
      </c>
      <c r="I18" s="49" t="n">
        <v>13297</v>
      </c>
      <c r="J18" s="46" t="inlineStr">
        <is>
          <t>EA</t>
        </is>
      </c>
      <c r="K18" s="50" t="n">
        <v>5.98</v>
      </c>
      <c r="L18" s="50" t="n">
        <v>56598.12</v>
      </c>
      <c r="M18" s="46" t="inlineStr">
        <is>
          <t>USD</t>
        </is>
      </c>
      <c r="N18" s="46" t="inlineStr">
        <is>
          <t>FOB</t>
        </is>
      </c>
      <c r="O18" s="46" t="inlineStr">
        <is>
          <t>N</t>
        </is>
      </c>
      <c r="P18" s="50" t="n">
        <v>1243.0705</v>
      </c>
      <c r="Q18" s="49">
        <f>IF(OR(L18="",M18="",P18=""),"",L18*P18)</f>
        <v/>
      </c>
    </row>
    <row r="19" ht="15" customHeight="1" s="32">
      <c r="A19" s="46" t="inlineStr">
        <is>
          <t>R-HB-0018</t>
        </is>
      </c>
      <c r="B19" s="47" t="n">
        <v>44941</v>
      </c>
      <c r="C19" s="46" t="inlineStr">
        <is>
          <t>2023-01</t>
        </is>
      </c>
      <c r="D19" s="46" t="n">
        <v>2023</v>
      </c>
      <c r="E19" s="46" t="inlineStr">
        <is>
          <t>P-HB-004</t>
        </is>
      </c>
      <c r="F19" s="46" t="inlineStr">
        <is>
          <t>C-HB-03</t>
        </is>
      </c>
      <c r="G19" s="48" t="inlineStr">
        <is>
          <t>멕시코</t>
        </is>
      </c>
      <c r="H19" s="46" t="inlineStr">
        <is>
          <t>MX</t>
        </is>
      </c>
      <c r="I19" s="49" t="n">
        <v>3266</v>
      </c>
      <c r="J19" s="46" t="inlineStr">
        <is>
          <t>EA</t>
        </is>
      </c>
      <c r="K19" s="50" t="n">
        <v>3.59</v>
      </c>
      <c r="L19" s="50" t="n">
        <v>92492.88</v>
      </c>
      <c r="M19" s="46" t="inlineStr">
        <is>
          <t>USD</t>
        </is>
      </c>
      <c r="N19" s="46" t="inlineStr">
        <is>
          <t>FOB</t>
        </is>
      </c>
      <c r="O19" s="46" t="inlineStr">
        <is>
          <t>N</t>
        </is>
      </c>
      <c r="P19" s="50" t="n">
        <v>1243.0705</v>
      </c>
      <c r="Q19" s="49">
        <f>IF(OR(L19="",M19="",P19=""),"",L19*P19)</f>
        <v/>
      </c>
    </row>
    <row r="20" ht="15" customHeight="1" s="32">
      <c r="A20" s="46" t="inlineStr">
        <is>
          <t>R-HB-0019</t>
        </is>
      </c>
      <c r="B20" s="47" t="n">
        <v>44942</v>
      </c>
      <c r="C20" s="46" t="inlineStr">
        <is>
          <t>2023-01</t>
        </is>
      </c>
      <c r="D20" s="46" t="n">
        <v>2023</v>
      </c>
      <c r="E20" s="46" t="inlineStr">
        <is>
          <t>P-HB-003</t>
        </is>
      </c>
      <c r="F20" s="46" t="inlineStr">
        <is>
          <t>C-HB-03</t>
        </is>
      </c>
      <c r="G20" s="48" t="inlineStr">
        <is>
          <t>멕시코</t>
        </is>
      </c>
      <c r="H20" s="46" t="inlineStr">
        <is>
          <t>MX</t>
        </is>
      </c>
      <c r="I20" s="49" t="n">
        <v>10455</v>
      </c>
      <c r="J20" s="46" t="inlineStr">
        <is>
          <t>EA</t>
        </is>
      </c>
      <c r="K20" s="50" t="n">
        <v>6.8</v>
      </c>
      <c r="L20" s="50" t="n">
        <v>62620.38</v>
      </c>
      <c r="M20" s="46" t="inlineStr">
        <is>
          <t>USD</t>
        </is>
      </c>
      <c r="N20" s="46" t="inlineStr">
        <is>
          <t>FOB</t>
        </is>
      </c>
      <c r="O20" s="46" t="inlineStr">
        <is>
          <t>N</t>
        </is>
      </c>
      <c r="P20" s="50" t="n">
        <v>1243.0705</v>
      </c>
      <c r="Q20" s="49">
        <f>IF(OR(L20="",M20="",P20=""),"",L20*P20)</f>
        <v/>
      </c>
    </row>
    <row r="21" ht="15" customHeight="1" s="32">
      <c r="A21" s="46" t="inlineStr">
        <is>
          <t>R-HB-0020</t>
        </is>
      </c>
      <c r="B21" s="47" t="n">
        <v>44942</v>
      </c>
      <c r="C21" s="46" t="inlineStr">
        <is>
          <t>2023-01</t>
        </is>
      </c>
      <c r="D21" s="46" t="n">
        <v>2023</v>
      </c>
      <c r="E21" s="46" t="inlineStr">
        <is>
          <t>P-HB-004</t>
        </is>
      </c>
      <c r="F21" s="46" t="inlineStr">
        <is>
          <t>C-HB-05</t>
        </is>
      </c>
      <c r="G21" s="48" t="inlineStr">
        <is>
          <t>독일</t>
        </is>
      </c>
      <c r="H21" s="46" t="inlineStr">
        <is>
          <t>DE</t>
        </is>
      </c>
      <c r="I21" s="49" t="n">
        <v>16033</v>
      </c>
      <c r="J21" s="46" t="inlineStr">
        <is>
          <t>EA</t>
        </is>
      </c>
      <c r="K21" s="50" t="n">
        <v>17.64</v>
      </c>
      <c r="L21" s="50" t="n">
        <v>437063.52</v>
      </c>
      <c r="M21" s="46" t="inlineStr">
        <is>
          <t>USD</t>
        </is>
      </c>
      <c r="N21" s="46" t="inlineStr">
        <is>
          <t>FOB</t>
        </is>
      </c>
      <c r="O21" s="46" t="inlineStr">
        <is>
          <t>N</t>
        </is>
      </c>
      <c r="P21" s="50" t="n">
        <v>1243.0705</v>
      </c>
      <c r="Q21" s="49">
        <f>IF(OR(L21="",M21="",P21=""),"",L21*P21)</f>
        <v/>
      </c>
    </row>
    <row r="22" ht="15" customHeight="1" s="32">
      <c r="A22" s="46" t="inlineStr">
        <is>
          <t>R-HB-0021</t>
        </is>
      </c>
      <c r="B22" s="47" t="n">
        <v>44942</v>
      </c>
      <c r="C22" s="46" t="inlineStr">
        <is>
          <t>2023-01</t>
        </is>
      </c>
      <c r="D22" s="46" t="n">
        <v>2023</v>
      </c>
      <c r="E22" s="46" t="inlineStr">
        <is>
          <t>P-HB-003</t>
        </is>
      </c>
      <c r="F22" s="46" t="inlineStr">
        <is>
          <t>C-HB-06</t>
        </is>
      </c>
      <c r="G22" s="48" t="inlineStr">
        <is>
          <t>베트남</t>
        </is>
      </c>
      <c r="H22" s="46" t="inlineStr">
        <is>
          <t>VN</t>
        </is>
      </c>
      <c r="I22" s="49" t="n">
        <v>42130</v>
      </c>
      <c r="J22" s="46" t="inlineStr">
        <is>
          <t>EA</t>
        </is>
      </c>
      <c r="K22" s="50" t="n">
        <v>27.38</v>
      </c>
      <c r="L22" s="50" t="n">
        <v>246247.6</v>
      </c>
      <c r="M22" s="46" t="inlineStr">
        <is>
          <t>USD</t>
        </is>
      </c>
      <c r="N22" s="46" t="inlineStr">
        <is>
          <t>FOB</t>
        </is>
      </c>
      <c r="O22" s="46" t="inlineStr">
        <is>
          <t>N</t>
        </is>
      </c>
      <c r="P22" s="50" t="n">
        <v>1243.0705</v>
      </c>
      <c r="Q22" s="49">
        <f>IF(OR(L22="",M22="",P22=""),"",L22*P22)</f>
        <v/>
      </c>
    </row>
    <row r="23" ht="15" customHeight="1" s="32">
      <c r="A23" s="46" t="inlineStr">
        <is>
          <t>R-HB-0022</t>
        </is>
      </c>
      <c r="B23" s="47" t="n">
        <v>44943</v>
      </c>
      <c r="C23" s="46" t="inlineStr">
        <is>
          <t>2023-01</t>
        </is>
      </c>
      <c r="D23" s="46" t="n">
        <v>2023</v>
      </c>
      <c r="E23" s="46" t="inlineStr">
        <is>
          <t>P-HB-003</t>
        </is>
      </c>
      <c r="F23" s="46" t="inlineStr">
        <is>
          <t>C-HB-07</t>
        </is>
      </c>
      <c r="G23" s="48" t="inlineStr">
        <is>
          <t>인도</t>
        </is>
      </c>
      <c r="H23" s="46" t="inlineStr">
        <is>
          <t>IN</t>
        </is>
      </c>
      <c r="I23" s="49" t="n">
        <v>26039</v>
      </c>
      <c r="J23" s="46" t="inlineStr">
        <is>
          <t>EA</t>
        </is>
      </c>
      <c r="K23" s="50" t="n">
        <v>16.93</v>
      </c>
      <c r="L23" s="50" t="n">
        <v>151753.45</v>
      </c>
      <c r="M23" s="46" t="inlineStr">
        <is>
          <t>USD</t>
        </is>
      </c>
      <c r="N23" s="46" t="inlineStr">
        <is>
          <t>FOB</t>
        </is>
      </c>
      <c r="O23" s="46" t="inlineStr">
        <is>
          <t>N</t>
        </is>
      </c>
      <c r="P23" s="50" t="n">
        <v>1243.0705</v>
      </c>
      <c r="Q23" s="49">
        <f>IF(OR(L23="",M23="",P23=""),"",L23*P23)</f>
        <v/>
      </c>
    </row>
    <row r="24" ht="15" customHeight="1" s="32">
      <c r="A24" s="46" t="inlineStr">
        <is>
          <t>R-HB-0023</t>
        </is>
      </c>
      <c r="B24" s="47" t="n">
        <v>44944</v>
      </c>
      <c r="C24" s="46" t="inlineStr">
        <is>
          <t>2023-01</t>
        </is>
      </c>
      <c r="D24" s="46" t="n">
        <v>2023</v>
      </c>
      <c r="E24" s="46" t="inlineStr">
        <is>
          <t>P-HB-004</t>
        </is>
      </c>
      <c r="F24" s="46" t="inlineStr">
        <is>
          <t>C-HB-02</t>
        </is>
      </c>
      <c r="G24" s="48" t="inlineStr">
        <is>
          <t>미국</t>
        </is>
      </c>
      <c r="H24" s="46" t="inlineStr">
        <is>
          <t>US</t>
        </is>
      </c>
      <c r="I24" s="49" t="n">
        <v>10101</v>
      </c>
      <c r="J24" s="46" t="inlineStr">
        <is>
          <t>EA</t>
        </is>
      </c>
      <c r="K24" s="50" t="n">
        <v>11.11</v>
      </c>
      <c r="L24" s="50" t="n">
        <v>280336.13</v>
      </c>
      <c r="M24" s="46" t="inlineStr">
        <is>
          <t>USD</t>
        </is>
      </c>
      <c r="N24" s="46" t="inlineStr">
        <is>
          <t>FOB</t>
        </is>
      </c>
      <c r="O24" s="46" t="inlineStr">
        <is>
          <t>N</t>
        </is>
      </c>
      <c r="P24" s="50" t="n">
        <v>1243.0705</v>
      </c>
      <c r="Q24" s="49">
        <f>IF(OR(L24="",M24="",P24=""),"",L24*P24)</f>
        <v/>
      </c>
    </row>
    <row r="25" ht="15" customHeight="1" s="32">
      <c r="A25" s="46" t="inlineStr">
        <is>
          <t>R-HB-0024</t>
        </is>
      </c>
      <c r="B25" s="47" t="n">
        <v>44944</v>
      </c>
      <c r="C25" s="46" t="inlineStr">
        <is>
          <t>2023-01</t>
        </is>
      </c>
      <c r="D25" s="46" t="n">
        <v>2023</v>
      </c>
      <c r="E25" s="46" t="inlineStr">
        <is>
          <t>P-HB-004</t>
        </is>
      </c>
      <c r="F25" s="46" t="inlineStr">
        <is>
          <t>C-HB-09</t>
        </is>
      </c>
      <c r="G25" s="48" t="inlineStr">
        <is>
          <t>중국</t>
        </is>
      </c>
      <c r="H25" s="46" t="inlineStr">
        <is>
          <t>CN</t>
        </is>
      </c>
      <c r="I25" s="49" t="n">
        <v>11934</v>
      </c>
      <c r="J25" s="46" t="inlineStr">
        <is>
          <t>EA</t>
        </is>
      </c>
      <c r="K25" s="50" t="n">
        <v>13.13</v>
      </c>
      <c r="L25" s="50" t="n">
        <v>343141.03</v>
      </c>
      <c r="M25" s="46" t="inlineStr">
        <is>
          <t>USD</t>
        </is>
      </c>
      <c r="N25" s="46" t="inlineStr">
        <is>
          <t>FOB</t>
        </is>
      </c>
      <c r="O25" s="46" t="inlineStr">
        <is>
          <t>N</t>
        </is>
      </c>
      <c r="P25" s="50" t="n">
        <v>1243.0705</v>
      </c>
      <c r="Q25" s="49">
        <f>IF(OR(L25="",M25="",P25=""),"",L25*P25)</f>
        <v/>
      </c>
    </row>
    <row r="26" ht="15" customHeight="1" s="32">
      <c r="A26" s="46" t="inlineStr">
        <is>
          <t>R-HB-0025</t>
        </is>
      </c>
      <c r="B26" s="47" t="n">
        <v>44945</v>
      </c>
      <c r="C26" s="46" t="inlineStr">
        <is>
          <t>2023-01</t>
        </is>
      </c>
      <c r="D26" s="46" t="n">
        <v>2023</v>
      </c>
      <c r="E26" s="46" t="inlineStr">
        <is>
          <t>P-HB-002</t>
        </is>
      </c>
      <c r="F26" s="46" t="inlineStr">
        <is>
          <t>C-HB-08</t>
        </is>
      </c>
      <c r="G26" s="48" t="inlineStr">
        <is>
          <t>중국</t>
        </is>
      </c>
      <c r="H26" s="46" t="inlineStr">
        <is>
          <t>CN</t>
        </is>
      </c>
      <c r="I26" s="49" t="n">
        <v>231</v>
      </c>
      <c r="J26" s="46" t="inlineStr">
        <is>
          <t>EA</t>
        </is>
      </c>
      <c r="K26" s="50" t="n">
        <v>0.51</v>
      </c>
      <c r="L26" s="50" t="n">
        <v>68014.00999999999</v>
      </c>
      <c r="M26" s="46" t="inlineStr">
        <is>
          <t>USD</t>
        </is>
      </c>
      <c r="N26" s="46" t="inlineStr">
        <is>
          <t>FOB</t>
        </is>
      </c>
      <c r="O26" s="46" t="inlineStr">
        <is>
          <t>N</t>
        </is>
      </c>
      <c r="P26" s="50" t="n">
        <v>1243.0705</v>
      </c>
      <c r="Q26" s="49">
        <f>IF(OR(L26="",M26="",P26=""),"",L26*P26)</f>
        <v/>
      </c>
    </row>
    <row r="27" ht="15" customHeight="1" s="32">
      <c r="A27" s="46" t="inlineStr">
        <is>
          <t>R-HB-0026</t>
        </is>
      </c>
      <c r="B27" s="47" t="n">
        <v>44946</v>
      </c>
      <c r="C27" s="46" t="inlineStr">
        <is>
          <t>2023-01</t>
        </is>
      </c>
      <c r="D27" s="46" t="n">
        <v>2023</v>
      </c>
      <c r="E27" s="46" t="inlineStr">
        <is>
          <t>P-HB-002</t>
        </is>
      </c>
      <c r="F27" s="46" t="inlineStr">
        <is>
          <t>C-HB-03</t>
        </is>
      </c>
      <c r="G27" s="48" t="inlineStr">
        <is>
          <t>멕시코</t>
        </is>
      </c>
      <c r="H27" s="46" t="inlineStr">
        <is>
          <t>MX</t>
        </is>
      </c>
      <c r="I27" s="49" t="n">
        <v>43</v>
      </c>
      <c r="J27" s="46" t="inlineStr">
        <is>
          <t>EA</t>
        </is>
      </c>
      <c r="K27" s="50" t="n">
        <v>0.09</v>
      </c>
      <c r="L27" s="50" t="n">
        <v>12530.68</v>
      </c>
      <c r="M27" s="46" t="inlineStr">
        <is>
          <t>USD</t>
        </is>
      </c>
      <c r="N27" s="46" t="inlineStr">
        <is>
          <t>FOB</t>
        </is>
      </c>
      <c r="O27" s="46" t="inlineStr">
        <is>
          <t>N</t>
        </is>
      </c>
      <c r="P27" s="50" t="n">
        <v>1243.0705</v>
      </c>
      <c r="Q27" s="49">
        <f>IF(OR(L27="",M27="",P27=""),"",L27*P27)</f>
        <v/>
      </c>
    </row>
    <row r="28" ht="15" customHeight="1" s="32">
      <c r="A28" s="46" t="inlineStr">
        <is>
          <t>R-HB-0027</t>
        </is>
      </c>
      <c r="B28" s="47" t="n">
        <v>44946</v>
      </c>
      <c r="C28" s="46" t="inlineStr">
        <is>
          <t>2023-01</t>
        </is>
      </c>
      <c r="D28" s="46" t="n">
        <v>2023</v>
      </c>
      <c r="E28" s="46" t="inlineStr">
        <is>
          <t>P-HB-003</t>
        </is>
      </c>
      <c r="F28" s="46" t="inlineStr">
        <is>
          <t>C-HB-08</t>
        </is>
      </c>
      <c r="G28" s="48" t="inlineStr">
        <is>
          <t>중국</t>
        </is>
      </c>
      <c r="H28" s="46" t="inlineStr">
        <is>
          <t>CN</t>
        </is>
      </c>
      <c r="I28" s="49" t="n">
        <v>46727</v>
      </c>
      <c r="J28" s="46" t="inlineStr">
        <is>
          <t>EA</t>
        </is>
      </c>
      <c r="K28" s="50" t="n">
        <v>30.37</v>
      </c>
      <c r="L28" s="50" t="n">
        <v>283461.62</v>
      </c>
      <c r="M28" s="46" t="inlineStr">
        <is>
          <t>USD</t>
        </is>
      </c>
      <c r="N28" s="46" t="inlineStr">
        <is>
          <t>FOB</t>
        </is>
      </c>
      <c r="O28" s="46" t="inlineStr">
        <is>
          <t>N</t>
        </is>
      </c>
      <c r="P28" s="50" t="n">
        <v>1243.0705</v>
      </c>
      <c r="Q28" s="49">
        <f>IF(OR(L28="",M28="",P28=""),"",L28*P28)</f>
        <v/>
      </c>
    </row>
    <row r="29" ht="15" customHeight="1" s="32">
      <c r="A29" s="46" t="inlineStr">
        <is>
          <t>R-HB-0028</t>
        </is>
      </c>
      <c r="B29" s="47" t="n">
        <v>44947</v>
      </c>
      <c r="C29" s="46" t="inlineStr">
        <is>
          <t>2023-01</t>
        </is>
      </c>
      <c r="D29" s="46" t="n">
        <v>2023</v>
      </c>
      <c r="E29" s="46" t="inlineStr">
        <is>
          <t>P-HB-001</t>
        </is>
      </c>
      <c r="F29" s="46" t="inlineStr">
        <is>
          <t>C-HB-01</t>
        </is>
      </c>
      <c r="G29" s="48" t="inlineStr">
        <is>
          <t>미국</t>
        </is>
      </c>
      <c r="H29" s="46" t="inlineStr">
        <is>
          <t>US</t>
        </is>
      </c>
      <c r="I29" s="49" t="n">
        <v>149870</v>
      </c>
      <c r="J29" s="46" t="inlineStr">
        <is>
          <t>EA</t>
        </is>
      </c>
      <c r="K29" s="50" t="n">
        <v>67.44</v>
      </c>
      <c r="L29" s="50" t="n">
        <v>625897.12</v>
      </c>
      <c r="M29" s="46" t="inlineStr">
        <is>
          <t>USD</t>
        </is>
      </c>
      <c r="N29" s="46" t="inlineStr">
        <is>
          <t>FOB</t>
        </is>
      </c>
      <c r="O29" s="46" t="inlineStr">
        <is>
          <t>N</t>
        </is>
      </c>
      <c r="P29" s="50" t="n">
        <v>1243.0705</v>
      </c>
      <c r="Q29" s="49">
        <f>IF(OR(L29="",M29="",P29=""),"",L29*P29)</f>
        <v/>
      </c>
    </row>
    <row r="30" ht="15" customHeight="1" s="32">
      <c r="A30" s="46" t="inlineStr">
        <is>
          <t>R-HB-0029</t>
        </is>
      </c>
      <c r="B30" s="47" t="n">
        <v>44947</v>
      </c>
      <c r="C30" s="46" t="inlineStr">
        <is>
          <t>2023-01</t>
        </is>
      </c>
      <c r="D30" s="46" t="n">
        <v>2023</v>
      </c>
      <c r="E30" s="46" t="inlineStr">
        <is>
          <t>P-HB-001</t>
        </is>
      </c>
      <c r="F30" s="46" t="inlineStr">
        <is>
          <t>C-HB-03</t>
        </is>
      </c>
      <c r="G30" s="48" t="inlineStr">
        <is>
          <t>멕시코</t>
        </is>
      </c>
      <c r="H30" s="46" t="inlineStr">
        <is>
          <t>MX</t>
        </is>
      </c>
      <c r="I30" s="49" t="n">
        <v>27147</v>
      </c>
      <c r="J30" s="46" t="inlineStr">
        <is>
          <t>EA</t>
        </is>
      </c>
      <c r="K30" s="50" t="n">
        <v>12.22</v>
      </c>
      <c r="L30" s="50" t="n">
        <v>115571.09</v>
      </c>
      <c r="M30" s="46" t="inlineStr">
        <is>
          <t>USD</t>
        </is>
      </c>
      <c r="N30" s="46" t="inlineStr">
        <is>
          <t>FOB</t>
        </is>
      </c>
      <c r="O30" s="46" t="inlineStr">
        <is>
          <t>N</t>
        </is>
      </c>
      <c r="P30" s="50" t="n">
        <v>1243.0705</v>
      </c>
      <c r="Q30" s="49">
        <f>IF(OR(L30="",M30="",P30=""),"",L30*P30)</f>
        <v/>
      </c>
    </row>
    <row r="31" ht="15" customHeight="1" s="32">
      <c r="A31" s="46" t="inlineStr">
        <is>
          <t>R-HB-0030</t>
        </is>
      </c>
      <c r="B31" s="47" t="n">
        <v>44947</v>
      </c>
      <c r="C31" s="46" t="inlineStr">
        <is>
          <t>2023-01</t>
        </is>
      </c>
      <c r="D31" s="46" t="n">
        <v>2023</v>
      </c>
      <c r="E31" s="46" t="inlineStr">
        <is>
          <t>P-HB-001</t>
        </is>
      </c>
      <c r="F31" s="46" t="inlineStr">
        <is>
          <t>C-HB-07</t>
        </is>
      </c>
      <c r="G31" s="48" t="inlineStr">
        <is>
          <t>인도</t>
        </is>
      </c>
      <c r="H31" s="46" t="inlineStr">
        <is>
          <t>IN</t>
        </is>
      </c>
      <c r="I31" s="49" t="n">
        <v>68725</v>
      </c>
      <c r="J31" s="46" t="inlineStr">
        <is>
          <t>EA</t>
        </is>
      </c>
      <c r="K31" s="50" t="n">
        <v>30.93</v>
      </c>
      <c r="L31" s="50" t="n">
        <v>286627.64</v>
      </c>
      <c r="M31" s="46" t="inlineStr">
        <is>
          <t>USD</t>
        </is>
      </c>
      <c r="N31" s="46" t="inlineStr">
        <is>
          <t>FOB</t>
        </is>
      </c>
      <c r="O31" s="46" t="inlineStr">
        <is>
          <t>N</t>
        </is>
      </c>
      <c r="P31" s="50" t="n">
        <v>1243.0705</v>
      </c>
      <c r="Q31" s="49">
        <f>IF(OR(L31="",M31="",P31=""),"",L31*P31)</f>
        <v/>
      </c>
    </row>
    <row r="32" ht="15" customHeight="1" s="32">
      <c r="A32" s="46" t="inlineStr">
        <is>
          <t>R-HB-0031</t>
        </is>
      </c>
      <c r="B32" s="47" t="n">
        <v>44948</v>
      </c>
      <c r="C32" s="46" t="inlineStr">
        <is>
          <t>2023-01</t>
        </is>
      </c>
      <c r="D32" s="46" t="n">
        <v>2023</v>
      </c>
      <c r="E32" s="46" t="inlineStr">
        <is>
          <t>P-HB-001</t>
        </is>
      </c>
      <c r="F32" s="46" t="inlineStr">
        <is>
          <t>C-HB-05</t>
        </is>
      </c>
      <c r="G32" s="48" t="inlineStr">
        <is>
          <t>독일</t>
        </is>
      </c>
      <c r="H32" s="46" t="inlineStr">
        <is>
          <t>DE</t>
        </is>
      </c>
      <c r="I32" s="49" t="n">
        <v>121061</v>
      </c>
      <c r="J32" s="46" t="inlineStr">
        <is>
          <t>EA</t>
        </is>
      </c>
      <c r="K32" s="50" t="n">
        <v>54.48</v>
      </c>
      <c r="L32" s="50" t="n">
        <v>508762.05</v>
      </c>
      <c r="M32" s="46" t="inlineStr">
        <is>
          <t>USD</t>
        </is>
      </c>
      <c r="N32" s="46" t="inlineStr">
        <is>
          <t>FOB</t>
        </is>
      </c>
      <c r="O32" s="46" t="inlineStr">
        <is>
          <t>N</t>
        </is>
      </c>
      <c r="P32" s="50" t="n">
        <v>1243.0705</v>
      </c>
      <c r="Q32" s="49">
        <f>IF(OR(L32="",M32="",P32=""),"",L32*P32)</f>
        <v/>
      </c>
    </row>
    <row r="33" ht="15" customHeight="1" s="32">
      <c r="A33" s="46" t="inlineStr">
        <is>
          <t>R-HB-0032</t>
        </is>
      </c>
      <c r="B33" s="47" t="n">
        <v>44948</v>
      </c>
      <c r="C33" s="46" t="inlineStr">
        <is>
          <t>2023-01</t>
        </is>
      </c>
      <c r="D33" s="46" t="n">
        <v>2023</v>
      </c>
      <c r="E33" s="46" t="inlineStr">
        <is>
          <t>P-HB-001</t>
        </is>
      </c>
      <c r="F33" s="46" t="inlineStr">
        <is>
          <t>C-HB-09</t>
        </is>
      </c>
      <c r="G33" s="48" t="inlineStr">
        <is>
          <t>중국</t>
        </is>
      </c>
      <c r="H33" s="46" t="inlineStr">
        <is>
          <t>CN</t>
        </is>
      </c>
      <c r="I33" s="49" t="n">
        <v>94931</v>
      </c>
      <c r="J33" s="46" t="inlineStr">
        <is>
          <t>EA</t>
        </is>
      </c>
      <c r="K33" s="50" t="n">
        <v>42.72</v>
      </c>
      <c r="L33" s="50" t="n">
        <v>405693.96</v>
      </c>
      <c r="M33" s="46" t="inlineStr">
        <is>
          <t>USD</t>
        </is>
      </c>
      <c r="N33" s="46" t="inlineStr">
        <is>
          <t>FOB</t>
        </is>
      </c>
      <c r="O33" s="46" t="inlineStr">
        <is>
          <t>N</t>
        </is>
      </c>
      <c r="P33" s="50" t="n">
        <v>1243.0705</v>
      </c>
      <c r="Q33" s="49">
        <f>IF(OR(L33="",M33="",P33=""),"",L33*P33)</f>
        <v/>
      </c>
    </row>
    <row r="34" ht="15" customHeight="1" s="32">
      <c r="A34" s="46" t="inlineStr">
        <is>
          <t>R-HB-0033</t>
        </is>
      </c>
      <c r="B34" s="47" t="n">
        <v>44951</v>
      </c>
      <c r="C34" s="46" t="inlineStr">
        <is>
          <t>2023-01</t>
        </is>
      </c>
      <c r="D34" s="46" t="n">
        <v>2023</v>
      </c>
      <c r="E34" s="46" t="inlineStr">
        <is>
          <t>P-HB-003</t>
        </is>
      </c>
      <c r="F34" s="46" t="inlineStr">
        <is>
          <t>C-HB-04</t>
        </is>
      </c>
      <c r="G34" s="48" t="inlineStr">
        <is>
          <t>캐나다</t>
        </is>
      </c>
      <c r="H34" s="46" t="inlineStr">
        <is>
          <t>CA</t>
        </is>
      </c>
      <c r="I34" s="49" t="n">
        <v>5256</v>
      </c>
      <c r="J34" s="46" t="inlineStr">
        <is>
          <t>EA</t>
        </is>
      </c>
      <c r="K34" s="50" t="n">
        <v>3.42</v>
      </c>
      <c r="L34" s="50" t="n">
        <v>31941.08</v>
      </c>
      <c r="M34" s="46" t="inlineStr">
        <is>
          <t>USD</t>
        </is>
      </c>
      <c r="N34" s="46" t="inlineStr">
        <is>
          <t>FOB</t>
        </is>
      </c>
      <c r="O34" s="46" t="inlineStr">
        <is>
          <t>N</t>
        </is>
      </c>
      <c r="P34" s="50" t="n">
        <v>1243.0705</v>
      </c>
      <c r="Q34" s="49">
        <f>IF(OR(L34="",M34="",P34=""),"",L34*P34)</f>
        <v/>
      </c>
    </row>
    <row r="35" ht="15" customHeight="1" s="32">
      <c r="A35" s="46" t="inlineStr">
        <is>
          <t>R-HB-0034</t>
        </is>
      </c>
      <c r="B35" s="47" t="n">
        <v>44951</v>
      </c>
      <c r="C35" s="46" t="inlineStr">
        <is>
          <t>2023-01</t>
        </is>
      </c>
      <c r="D35" s="46" t="n">
        <v>2023</v>
      </c>
      <c r="E35" s="46" t="inlineStr">
        <is>
          <t>P-HB-004</t>
        </is>
      </c>
      <c r="F35" s="46" t="inlineStr">
        <is>
          <t>C-HB-04</t>
        </is>
      </c>
      <c r="G35" s="48" t="inlineStr">
        <is>
          <t>캐나다</t>
        </is>
      </c>
      <c r="H35" s="46" t="inlineStr">
        <is>
          <t>CA</t>
        </is>
      </c>
      <c r="I35" s="49" t="n">
        <v>1711</v>
      </c>
      <c r="J35" s="46" t="inlineStr">
        <is>
          <t>EA</t>
        </is>
      </c>
      <c r="K35" s="50" t="n">
        <v>1.88</v>
      </c>
      <c r="L35" s="50" t="n">
        <v>49163.95</v>
      </c>
      <c r="M35" s="46" t="inlineStr">
        <is>
          <t>USD</t>
        </is>
      </c>
      <c r="N35" s="46" t="inlineStr">
        <is>
          <t>FOB</t>
        </is>
      </c>
      <c r="O35" s="46" t="inlineStr">
        <is>
          <t>N</t>
        </is>
      </c>
      <c r="P35" s="50" t="n">
        <v>1243.0705</v>
      </c>
      <c r="Q35" s="49">
        <f>IF(OR(L35="",M35="",P35=""),"",L35*P35)</f>
        <v/>
      </c>
    </row>
    <row r="36" ht="15" customHeight="1" s="32">
      <c r="A36" s="46" t="inlineStr">
        <is>
          <t>R-HB-0035</t>
        </is>
      </c>
      <c r="B36" s="47" t="n">
        <v>44952</v>
      </c>
      <c r="C36" s="46" t="inlineStr">
        <is>
          <t>2023-01</t>
        </is>
      </c>
      <c r="D36" s="46" t="n">
        <v>2023</v>
      </c>
      <c r="E36" s="46" t="inlineStr">
        <is>
          <t>P-HB-004</t>
        </is>
      </c>
      <c r="F36" s="46" t="inlineStr">
        <is>
          <t>C-HB-01</t>
        </is>
      </c>
      <c r="G36" s="48" t="inlineStr">
        <is>
          <t>미국</t>
        </is>
      </c>
      <c r="H36" s="46" t="inlineStr">
        <is>
          <t>US</t>
        </is>
      </c>
      <c r="I36" s="49" t="n">
        <v>20825</v>
      </c>
      <c r="J36" s="46" t="inlineStr">
        <is>
          <t>EA</t>
        </is>
      </c>
      <c r="K36" s="50" t="n">
        <v>22.91</v>
      </c>
      <c r="L36" s="50" t="n">
        <v>577238.61</v>
      </c>
      <c r="M36" s="46" t="inlineStr">
        <is>
          <t>USD</t>
        </is>
      </c>
      <c r="N36" s="46" t="inlineStr">
        <is>
          <t>FOB</t>
        </is>
      </c>
      <c r="O36" s="46" t="inlineStr">
        <is>
          <t>N</t>
        </is>
      </c>
      <c r="P36" s="50" t="n">
        <v>1243.0705</v>
      </c>
      <c r="Q36" s="49">
        <f>IF(OR(L36="",M36="",P36=""),"",L36*P36)</f>
        <v/>
      </c>
    </row>
    <row r="37" ht="15" customHeight="1" s="32">
      <c r="A37" s="46" t="inlineStr">
        <is>
          <t>R-HB-0036</t>
        </is>
      </c>
      <c r="B37" s="47" t="n">
        <v>44952</v>
      </c>
      <c r="C37" s="46" t="inlineStr">
        <is>
          <t>2023-01</t>
        </is>
      </c>
      <c r="D37" s="46" t="n">
        <v>2023</v>
      </c>
      <c r="E37" s="46" t="inlineStr">
        <is>
          <t>P-HB-002</t>
        </is>
      </c>
      <c r="F37" s="46" t="inlineStr">
        <is>
          <t>C-HB-02</t>
        </is>
      </c>
      <c r="G37" s="48" t="inlineStr">
        <is>
          <t>미국</t>
        </is>
      </c>
      <c r="H37" s="46" t="inlineStr">
        <is>
          <t>US</t>
        </is>
      </c>
      <c r="I37" s="49" t="n">
        <v>129</v>
      </c>
      <c r="J37" s="46" t="inlineStr">
        <is>
          <t>EA</t>
        </is>
      </c>
      <c r="K37" s="50" t="n">
        <v>0.28</v>
      </c>
      <c r="L37" s="50" t="n">
        <v>36257.79</v>
      </c>
      <c r="M37" s="46" t="inlineStr">
        <is>
          <t>USD</t>
        </is>
      </c>
      <c r="N37" s="46" t="inlineStr">
        <is>
          <t>FOB</t>
        </is>
      </c>
      <c r="O37" s="46" t="inlineStr">
        <is>
          <t>N</t>
        </is>
      </c>
      <c r="P37" s="50" t="n">
        <v>1243.0705</v>
      </c>
      <c r="Q37" s="49">
        <f>IF(OR(L37="",M37="",P37=""),"",L37*P37)</f>
        <v/>
      </c>
    </row>
    <row r="38" ht="15" customHeight="1" s="32">
      <c r="A38" s="46" t="inlineStr">
        <is>
          <t>R-HB-0037</t>
        </is>
      </c>
      <c r="B38" s="47" t="n">
        <v>44961</v>
      </c>
      <c r="C38" s="46" t="inlineStr">
        <is>
          <t>2023-02</t>
        </is>
      </c>
      <c r="D38" s="46" t="n">
        <v>2023</v>
      </c>
      <c r="E38" s="46" t="inlineStr">
        <is>
          <t>P-HB-004</t>
        </is>
      </c>
      <c r="F38" s="46" t="inlineStr">
        <is>
          <t>C-HB-06</t>
        </is>
      </c>
      <c r="G38" s="48" t="inlineStr">
        <is>
          <t>베트남</t>
        </is>
      </c>
      <c r="H38" s="46" t="inlineStr">
        <is>
          <t>VN</t>
        </is>
      </c>
      <c r="I38" s="49" t="n">
        <v>11148</v>
      </c>
      <c r="J38" s="46" t="inlineStr">
        <is>
          <t>EA</t>
        </is>
      </c>
      <c r="K38" s="50" t="n">
        <v>12.26</v>
      </c>
      <c r="L38" s="50" t="n">
        <v>318425.21</v>
      </c>
      <c r="M38" s="46" t="inlineStr">
        <is>
          <t>USD</t>
        </is>
      </c>
      <c r="N38" s="46" t="inlineStr">
        <is>
          <t>FOB</t>
        </is>
      </c>
      <c r="O38" s="46" t="inlineStr">
        <is>
          <t>N</t>
        </is>
      </c>
      <c r="P38" s="50" t="n">
        <v>1275.4205</v>
      </c>
      <c r="Q38" s="49">
        <f>IF(OR(L38="",M38="",P38=""),"",L38*P38)</f>
        <v/>
      </c>
    </row>
    <row r="39" ht="15" customHeight="1" s="32">
      <c r="A39" s="46" t="inlineStr">
        <is>
          <t>R-HB-0038</t>
        </is>
      </c>
      <c r="B39" s="47" t="n">
        <v>44962</v>
      </c>
      <c r="C39" s="46" t="inlineStr">
        <is>
          <t>2023-02</t>
        </is>
      </c>
      <c r="D39" s="46" t="n">
        <v>2023</v>
      </c>
      <c r="E39" s="46" t="inlineStr">
        <is>
          <t>P-HB-002</t>
        </is>
      </c>
      <c r="F39" s="46" t="inlineStr">
        <is>
          <t>C-HB-03</t>
        </is>
      </c>
      <c r="G39" s="48" t="inlineStr">
        <is>
          <t>멕시코</t>
        </is>
      </c>
      <c r="H39" s="46" t="inlineStr">
        <is>
          <t>MX</t>
        </is>
      </c>
      <c r="I39" s="49" t="n">
        <v>47</v>
      </c>
      <c r="J39" s="46" t="inlineStr">
        <is>
          <t>EA</t>
        </is>
      </c>
      <c r="K39" s="50" t="n">
        <v>0.1</v>
      </c>
      <c r="L39" s="50" t="n">
        <v>13267.67</v>
      </c>
      <c r="M39" s="46" t="inlineStr">
        <is>
          <t>USD</t>
        </is>
      </c>
      <c r="N39" s="46" t="inlineStr">
        <is>
          <t>FOB</t>
        </is>
      </c>
      <c r="O39" s="46" t="inlineStr">
        <is>
          <t>N</t>
        </is>
      </c>
      <c r="P39" s="50" t="n">
        <v>1275.4205</v>
      </c>
      <c r="Q39" s="49">
        <f>IF(OR(L39="",M39="",P39=""),"",L39*P39)</f>
        <v/>
      </c>
    </row>
    <row r="40" ht="15" customHeight="1" s="32">
      <c r="A40" s="46" t="inlineStr">
        <is>
          <t>R-HB-0039</t>
        </is>
      </c>
      <c r="B40" s="47" t="n">
        <v>44962</v>
      </c>
      <c r="C40" s="46" t="inlineStr">
        <is>
          <t>2023-02</t>
        </is>
      </c>
      <c r="D40" s="46" t="n">
        <v>2023</v>
      </c>
      <c r="E40" s="46" t="inlineStr">
        <is>
          <t>P-HB-004</t>
        </is>
      </c>
      <c r="F40" s="46" t="inlineStr">
        <is>
          <t>C-HB-04</t>
        </is>
      </c>
      <c r="G40" s="48" t="inlineStr">
        <is>
          <t>캐나다</t>
        </is>
      </c>
      <c r="H40" s="46" t="inlineStr">
        <is>
          <t>CA</t>
        </is>
      </c>
      <c r="I40" s="49" t="n">
        <v>1635</v>
      </c>
      <c r="J40" s="46" t="inlineStr">
        <is>
          <t>EA</t>
        </is>
      </c>
      <c r="K40" s="50" t="n">
        <v>1.8</v>
      </c>
      <c r="L40" s="50" t="n">
        <v>45386.55</v>
      </c>
      <c r="M40" s="46" t="inlineStr">
        <is>
          <t>USD</t>
        </is>
      </c>
      <c r="N40" s="46" t="inlineStr">
        <is>
          <t>FOB</t>
        </is>
      </c>
      <c r="O40" s="46" t="inlineStr">
        <is>
          <t>N</t>
        </is>
      </c>
      <c r="P40" s="50" t="n">
        <v>1275.4205</v>
      </c>
      <c r="Q40" s="49">
        <f>IF(OR(L40="",M40="",P40=""),"",L40*P40)</f>
        <v/>
      </c>
    </row>
    <row r="41" ht="15" customHeight="1" s="32">
      <c r="A41" s="46" t="inlineStr">
        <is>
          <t>R-HB-0040</t>
        </is>
      </c>
      <c r="B41" s="47" t="n">
        <v>44962</v>
      </c>
      <c r="C41" s="46" t="inlineStr">
        <is>
          <t>2023-02</t>
        </is>
      </c>
      <c r="D41" s="46" t="n">
        <v>2023</v>
      </c>
      <c r="E41" s="46" t="inlineStr">
        <is>
          <t>P-HB-001</t>
        </is>
      </c>
      <c r="F41" s="46" t="inlineStr">
        <is>
          <t>C-HB-09</t>
        </is>
      </c>
      <c r="G41" s="48" t="inlineStr">
        <is>
          <t>중국</t>
        </is>
      </c>
      <c r="H41" s="46" t="inlineStr">
        <is>
          <t>CN</t>
        </is>
      </c>
      <c r="I41" s="49" t="n">
        <v>89268</v>
      </c>
      <c r="J41" s="46" t="inlineStr">
        <is>
          <t>EA</t>
        </is>
      </c>
      <c r="K41" s="50" t="n">
        <v>40.17</v>
      </c>
      <c r="L41" s="50" t="n">
        <v>368586.01</v>
      </c>
      <c r="M41" s="46" t="inlineStr">
        <is>
          <t>USD</t>
        </is>
      </c>
      <c r="N41" s="46" t="inlineStr">
        <is>
          <t>FOB</t>
        </is>
      </c>
      <c r="O41" s="46" t="inlineStr">
        <is>
          <t>N</t>
        </is>
      </c>
      <c r="P41" s="50" t="n">
        <v>1275.4205</v>
      </c>
      <c r="Q41" s="49">
        <f>IF(OR(L41="",M41="",P41=""),"",L41*P41)</f>
        <v/>
      </c>
    </row>
    <row r="42" ht="15" customHeight="1" s="32">
      <c r="A42" s="46" t="inlineStr">
        <is>
          <t>R-HB-0041</t>
        </is>
      </c>
      <c r="B42" s="47" t="n">
        <v>44963</v>
      </c>
      <c r="C42" s="46" t="inlineStr">
        <is>
          <t>2023-02</t>
        </is>
      </c>
      <c r="D42" s="46" t="n">
        <v>2023</v>
      </c>
      <c r="E42" s="46" t="inlineStr">
        <is>
          <t>P-HB-003</t>
        </is>
      </c>
      <c r="F42" s="46" t="inlineStr">
        <is>
          <t>C-HB-05</t>
        </is>
      </c>
      <c r="G42" s="48" t="inlineStr">
        <is>
          <t>독일</t>
        </is>
      </c>
      <c r="H42" s="46" t="inlineStr">
        <is>
          <t>DE</t>
        </is>
      </c>
      <c r="I42" s="49" t="n">
        <v>49424</v>
      </c>
      <c r="J42" s="46" t="inlineStr">
        <is>
          <t>EA</t>
        </is>
      </c>
      <c r="K42" s="50" t="n">
        <v>32.13</v>
      </c>
      <c r="L42" s="50" t="n">
        <v>283921.08</v>
      </c>
      <c r="M42" s="46" t="inlineStr">
        <is>
          <t>USD</t>
        </is>
      </c>
      <c r="N42" s="46" t="inlineStr">
        <is>
          <t>FOB</t>
        </is>
      </c>
      <c r="O42" s="46" t="inlineStr">
        <is>
          <t>N</t>
        </is>
      </c>
      <c r="P42" s="50" t="n">
        <v>1275.4205</v>
      </c>
      <c r="Q42" s="49">
        <f>IF(OR(L42="",M42="",P42=""),"",L42*P42)</f>
        <v/>
      </c>
    </row>
    <row r="43" ht="15" customHeight="1" s="32">
      <c r="A43" s="46" t="inlineStr">
        <is>
          <t>R-HB-0042</t>
        </is>
      </c>
      <c r="B43" s="47" t="n">
        <v>44963</v>
      </c>
      <c r="C43" s="46" t="inlineStr">
        <is>
          <t>2023-02</t>
        </is>
      </c>
      <c r="D43" s="46" t="n">
        <v>2023</v>
      </c>
      <c r="E43" s="46" t="inlineStr">
        <is>
          <t>P-HB-002</t>
        </is>
      </c>
      <c r="F43" s="46" t="inlineStr">
        <is>
          <t>C-HB-06</t>
        </is>
      </c>
      <c r="G43" s="48" t="inlineStr">
        <is>
          <t>베트남</t>
        </is>
      </c>
      <c r="H43" s="46" t="inlineStr">
        <is>
          <t>VN</t>
        </is>
      </c>
      <c r="I43" s="49" t="n">
        <v>170</v>
      </c>
      <c r="J43" s="46" t="inlineStr">
        <is>
          <t>EA</t>
        </is>
      </c>
      <c r="K43" s="50" t="n">
        <v>0.37</v>
      </c>
      <c r="L43" s="50" t="n">
        <v>45000.38</v>
      </c>
      <c r="M43" s="46" t="inlineStr">
        <is>
          <t>USD</t>
        </is>
      </c>
      <c r="N43" s="46" t="inlineStr">
        <is>
          <t>FOB</t>
        </is>
      </c>
      <c r="O43" s="46" t="inlineStr">
        <is>
          <t>N</t>
        </is>
      </c>
      <c r="P43" s="50" t="n">
        <v>1275.4205</v>
      </c>
      <c r="Q43" s="49">
        <f>IF(OR(L43="",M43="",P43=""),"",L43*P43)</f>
        <v/>
      </c>
    </row>
    <row r="44" ht="15" customHeight="1" s="32">
      <c r="A44" s="46" t="inlineStr">
        <is>
          <t>R-HB-0043</t>
        </is>
      </c>
      <c r="B44" s="47" t="n">
        <v>44965</v>
      </c>
      <c r="C44" s="46" t="inlineStr">
        <is>
          <t>2023-02</t>
        </is>
      </c>
      <c r="D44" s="46" t="n">
        <v>2023</v>
      </c>
      <c r="E44" s="46" t="inlineStr">
        <is>
          <t>P-HB-002</t>
        </is>
      </c>
      <c r="F44" s="46" t="inlineStr">
        <is>
          <t>C-HB-04</t>
        </is>
      </c>
      <c r="G44" s="48" t="inlineStr">
        <is>
          <t>캐나다</t>
        </is>
      </c>
      <c r="H44" s="46" t="inlineStr">
        <is>
          <t>CA</t>
        </is>
      </c>
      <c r="I44" s="49" t="n">
        <v>23</v>
      </c>
      <c r="J44" s="46" t="inlineStr">
        <is>
          <t>EA</t>
        </is>
      </c>
      <c r="K44" s="50" t="n">
        <v>0.05</v>
      </c>
      <c r="L44" s="50" t="n">
        <v>6315.26</v>
      </c>
      <c r="M44" s="46" t="inlineStr">
        <is>
          <t>USD</t>
        </is>
      </c>
      <c r="N44" s="46" t="inlineStr">
        <is>
          <t>FOB</t>
        </is>
      </c>
      <c r="O44" s="46" t="inlineStr">
        <is>
          <t>N</t>
        </is>
      </c>
      <c r="P44" s="50" t="n">
        <v>1275.4205</v>
      </c>
      <c r="Q44" s="49">
        <f>IF(OR(L44="",M44="",P44=""),"",L44*P44)</f>
        <v/>
      </c>
    </row>
    <row r="45" ht="15" customHeight="1" s="32">
      <c r="A45" s="46" t="inlineStr">
        <is>
          <t>R-HB-0044</t>
        </is>
      </c>
      <c r="B45" s="47" t="n">
        <v>44965</v>
      </c>
      <c r="C45" s="46" t="inlineStr">
        <is>
          <t>2023-02</t>
        </is>
      </c>
      <c r="D45" s="46" t="n">
        <v>2023</v>
      </c>
      <c r="E45" s="46" t="inlineStr">
        <is>
          <t>P-HB-003</t>
        </is>
      </c>
      <c r="F45" s="46" t="inlineStr">
        <is>
          <t>C-HB-07</t>
        </is>
      </c>
      <c r="G45" s="48" t="inlineStr">
        <is>
          <t>인도</t>
        </is>
      </c>
      <c r="H45" s="46" t="inlineStr">
        <is>
          <t>IN</t>
        </is>
      </c>
      <c r="I45" s="49" t="n">
        <v>26477</v>
      </c>
      <c r="J45" s="46" t="inlineStr">
        <is>
          <t>EA</t>
        </is>
      </c>
      <c r="K45" s="50" t="n">
        <v>17.21</v>
      </c>
      <c r="L45" s="50" t="n">
        <v>152336.99</v>
      </c>
      <c r="M45" s="46" t="inlineStr">
        <is>
          <t>USD</t>
        </is>
      </c>
      <c r="N45" s="46" t="inlineStr">
        <is>
          <t>FOB</t>
        </is>
      </c>
      <c r="O45" s="46" t="inlineStr">
        <is>
          <t>N</t>
        </is>
      </c>
      <c r="P45" s="50" t="n">
        <v>1275.4205</v>
      </c>
      <c r="Q45" s="49">
        <f>IF(OR(L45="",M45="",P45=""),"",L45*P45)</f>
        <v/>
      </c>
    </row>
    <row r="46" ht="15" customHeight="1" s="32">
      <c r="A46" s="46" t="inlineStr">
        <is>
          <t>R-HB-0045</t>
        </is>
      </c>
      <c r="B46" s="47" t="n">
        <v>44966</v>
      </c>
      <c r="C46" s="46" t="inlineStr">
        <is>
          <t>2023-02</t>
        </is>
      </c>
      <c r="D46" s="46" t="n">
        <v>2023</v>
      </c>
      <c r="E46" s="46" t="inlineStr">
        <is>
          <t>P-HB-003</t>
        </is>
      </c>
      <c r="F46" s="46" t="inlineStr">
        <is>
          <t>C-HB-02</t>
        </is>
      </c>
      <c r="G46" s="48" t="inlineStr">
        <is>
          <t>미국</t>
        </is>
      </c>
      <c r="H46" s="46" t="inlineStr">
        <is>
          <t>US</t>
        </is>
      </c>
      <c r="I46" s="49" t="n">
        <v>32581</v>
      </c>
      <c r="J46" s="46" t="inlineStr">
        <is>
          <t>EA</t>
        </is>
      </c>
      <c r="K46" s="50" t="n">
        <v>21.18</v>
      </c>
      <c r="L46" s="50" t="n">
        <v>178215.27</v>
      </c>
      <c r="M46" s="46" t="inlineStr">
        <is>
          <t>USD</t>
        </is>
      </c>
      <c r="N46" s="46" t="inlineStr">
        <is>
          <t>FOB</t>
        </is>
      </c>
      <c r="O46" s="46" t="inlineStr">
        <is>
          <t>N</t>
        </is>
      </c>
      <c r="P46" s="50" t="n">
        <v>1275.4205</v>
      </c>
      <c r="Q46" s="49">
        <f>IF(OR(L46="",M46="",P46=""),"",L46*P46)</f>
        <v/>
      </c>
    </row>
    <row r="47" ht="15" customHeight="1" s="32">
      <c r="A47" s="46" t="inlineStr">
        <is>
          <t>R-HB-0046</t>
        </is>
      </c>
      <c r="B47" s="47" t="n">
        <v>44966</v>
      </c>
      <c r="C47" s="46" t="inlineStr">
        <is>
          <t>2023-02</t>
        </is>
      </c>
      <c r="D47" s="46" t="n">
        <v>2023</v>
      </c>
      <c r="E47" s="46" t="inlineStr">
        <is>
          <t>P-HB-001</t>
        </is>
      </c>
      <c r="F47" s="46" t="inlineStr">
        <is>
          <t>C-HB-08</t>
        </is>
      </c>
      <c r="G47" s="48" t="inlineStr">
        <is>
          <t>중국</t>
        </is>
      </c>
      <c r="H47" s="46" t="inlineStr">
        <is>
          <t>CN</t>
        </is>
      </c>
      <c r="I47" s="49" t="n">
        <v>147923</v>
      </c>
      <c r="J47" s="46" t="inlineStr">
        <is>
          <t>EA</t>
        </is>
      </c>
      <c r="K47" s="50" t="n">
        <v>66.56999999999999</v>
      </c>
      <c r="L47" s="50" t="n">
        <v>591803.8</v>
      </c>
      <c r="M47" s="46" t="inlineStr">
        <is>
          <t>USD</t>
        </is>
      </c>
      <c r="N47" s="46" t="inlineStr">
        <is>
          <t>FOB</t>
        </is>
      </c>
      <c r="O47" s="46" t="inlineStr">
        <is>
          <t>N</t>
        </is>
      </c>
      <c r="P47" s="50" t="n">
        <v>1275.4205</v>
      </c>
      <c r="Q47" s="49">
        <f>IF(OR(L47="",M47="",P47=""),"",L47*P47)</f>
        <v/>
      </c>
    </row>
    <row r="48" ht="15" customHeight="1" s="32">
      <c r="A48" s="46" t="inlineStr">
        <is>
          <t>R-HB-0047</t>
        </is>
      </c>
      <c r="B48" s="47" t="n">
        <v>44966</v>
      </c>
      <c r="C48" s="46" t="inlineStr">
        <is>
          <t>2023-02</t>
        </is>
      </c>
      <c r="D48" s="46" t="n">
        <v>2023</v>
      </c>
      <c r="E48" s="46" t="inlineStr">
        <is>
          <t>P-HB-003</t>
        </is>
      </c>
      <c r="F48" s="46" t="inlineStr">
        <is>
          <t>C-HB-08</t>
        </is>
      </c>
      <c r="G48" s="48" t="inlineStr">
        <is>
          <t>중국</t>
        </is>
      </c>
      <c r="H48" s="46" t="inlineStr">
        <is>
          <t>CN</t>
        </is>
      </c>
      <c r="I48" s="49" t="n">
        <v>50605</v>
      </c>
      <c r="J48" s="46" t="inlineStr">
        <is>
          <t>EA</t>
        </is>
      </c>
      <c r="K48" s="50" t="n">
        <v>32.89</v>
      </c>
      <c r="L48" s="50" t="n">
        <v>276191.89</v>
      </c>
      <c r="M48" s="46" t="inlineStr">
        <is>
          <t>USD</t>
        </is>
      </c>
      <c r="N48" s="46" t="inlineStr">
        <is>
          <t>FOB</t>
        </is>
      </c>
      <c r="O48" s="46" t="inlineStr">
        <is>
          <t>N</t>
        </is>
      </c>
      <c r="P48" s="50" t="n">
        <v>1275.4205</v>
      </c>
      <c r="Q48" s="49">
        <f>IF(OR(L48="",M48="",P48=""),"",L48*P48)</f>
        <v/>
      </c>
    </row>
    <row r="49" ht="15" customHeight="1" s="32">
      <c r="A49" s="46" t="inlineStr">
        <is>
          <t>R-HB-0048</t>
        </is>
      </c>
      <c r="B49" s="47" t="n">
        <v>44967</v>
      </c>
      <c r="C49" s="46" t="inlineStr">
        <is>
          <t>2023-02</t>
        </is>
      </c>
      <c r="D49" s="46" t="n">
        <v>2023</v>
      </c>
      <c r="E49" s="46" t="inlineStr">
        <is>
          <t>P-HB-001</t>
        </is>
      </c>
      <c r="F49" s="46" t="inlineStr">
        <is>
          <t>C-HB-02</t>
        </is>
      </c>
      <c r="G49" s="48" t="inlineStr">
        <is>
          <t>미국</t>
        </is>
      </c>
      <c r="H49" s="46" t="inlineStr">
        <is>
          <t>US</t>
        </is>
      </c>
      <c r="I49" s="49" t="n">
        <v>78879</v>
      </c>
      <c r="J49" s="46" t="inlineStr">
        <is>
          <t>EA</t>
        </is>
      </c>
      <c r="K49" s="50" t="n">
        <v>35.5</v>
      </c>
      <c r="L49" s="50" t="n">
        <v>304162.5</v>
      </c>
      <c r="M49" s="46" t="inlineStr">
        <is>
          <t>USD</t>
        </is>
      </c>
      <c r="N49" s="46" t="inlineStr">
        <is>
          <t>FOB</t>
        </is>
      </c>
      <c r="O49" s="46" t="inlineStr">
        <is>
          <t>N</t>
        </is>
      </c>
      <c r="P49" s="50" t="n">
        <v>1275.4205</v>
      </c>
      <c r="Q49" s="49">
        <f>IF(OR(L49="",M49="",P49=""),"",L49*P49)</f>
        <v/>
      </c>
    </row>
    <row r="50" ht="15" customHeight="1" s="32">
      <c r="A50" s="46" t="inlineStr">
        <is>
          <t>R-HB-0049</t>
        </is>
      </c>
      <c r="B50" s="47" t="n">
        <v>44969</v>
      </c>
      <c r="C50" s="46" t="inlineStr">
        <is>
          <t>2023-02</t>
        </is>
      </c>
      <c r="D50" s="46" t="n">
        <v>2023</v>
      </c>
      <c r="E50" s="46" t="inlineStr">
        <is>
          <t>P-HB-002</t>
        </is>
      </c>
      <c r="F50" s="46" t="inlineStr">
        <is>
          <t>C-HB-01</t>
        </is>
      </c>
      <c r="G50" s="48" t="inlineStr">
        <is>
          <t>미국</t>
        </is>
      </c>
      <c r="H50" s="46" t="inlineStr">
        <is>
          <t>US</t>
        </is>
      </c>
      <c r="I50" s="49" t="n">
        <v>254</v>
      </c>
      <c r="J50" s="46" t="inlineStr">
        <is>
          <t>EA</t>
        </is>
      </c>
      <c r="K50" s="50" t="n">
        <v>0.5600000000000001</v>
      </c>
      <c r="L50" s="50" t="n">
        <v>72030.78999999999</v>
      </c>
      <c r="M50" s="46" t="inlineStr">
        <is>
          <t>USD</t>
        </is>
      </c>
      <c r="N50" s="46" t="inlineStr">
        <is>
          <t>FOB</t>
        </is>
      </c>
      <c r="O50" s="46" t="inlineStr">
        <is>
          <t>N</t>
        </is>
      </c>
      <c r="P50" s="50" t="n">
        <v>1275.4205</v>
      </c>
      <c r="Q50" s="49">
        <f>IF(OR(L50="",M50="",P50=""),"",L50*P50)</f>
        <v/>
      </c>
    </row>
    <row r="51" ht="15" customHeight="1" s="32">
      <c r="A51" s="46" t="inlineStr">
        <is>
          <t>R-HB-0050</t>
        </is>
      </c>
      <c r="B51" s="47" t="n">
        <v>44969</v>
      </c>
      <c r="C51" s="46" t="inlineStr">
        <is>
          <t>2023-02</t>
        </is>
      </c>
      <c r="D51" s="46" t="n">
        <v>2023</v>
      </c>
      <c r="E51" s="46" t="inlineStr">
        <is>
          <t>P-HB-002</t>
        </is>
      </c>
      <c r="F51" s="46" t="inlineStr">
        <is>
          <t>C-HB-07</t>
        </is>
      </c>
      <c r="G51" s="48" t="inlineStr">
        <is>
          <t>인도</t>
        </is>
      </c>
      <c r="H51" s="46" t="inlineStr">
        <is>
          <t>IN</t>
        </is>
      </c>
      <c r="I51" s="49" t="n">
        <v>114</v>
      </c>
      <c r="J51" s="46" t="inlineStr">
        <is>
          <t>EA</t>
        </is>
      </c>
      <c r="K51" s="50" t="n">
        <v>0.25</v>
      </c>
      <c r="L51" s="50" t="n">
        <v>31886.74</v>
      </c>
      <c r="M51" s="46" t="inlineStr">
        <is>
          <t>USD</t>
        </is>
      </c>
      <c r="N51" s="46" t="inlineStr">
        <is>
          <t>FOB</t>
        </is>
      </c>
      <c r="O51" s="46" t="inlineStr">
        <is>
          <t>N</t>
        </is>
      </c>
      <c r="P51" s="50" t="n">
        <v>1275.4205</v>
      </c>
      <c r="Q51" s="49">
        <f>IF(OR(L51="",M51="",P51=""),"",L51*P51)</f>
        <v/>
      </c>
    </row>
    <row r="52" ht="15" customHeight="1" s="32">
      <c r="A52" s="46" t="inlineStr">
        <is>
          <t>R-HB-0051</t>
        </is>
      </c>
      <c r="B52" s="47" t="n">
        <v>44970</v>
      </c>
      <c r="C52" s="46" t="inlineStr">
        <is>
          <t>2023-02</t>
        </is>
      </c>
      <c r="D52" s="46" t="n">
        <v>2023</v>
      </c>
      <c r="E52" s="46" t="inlineStr">
        <is>
          <t>P-HB-001</t>
        </is>
      </c>
      <c r="F52" s="46" t="inlineStr">
        <is>
          <t>C-HB-06</t>
        </is>
      </c>
      <c r="G52" s="48" t="inlineStr">
        <is>
          <t>베트남</t>
        </is>
      </c>
      <c r="H52" s="46" t="inlineStr">
        <is>
          <t>VN</t>
        </is>
      </c>
      <c r="I52" s="49" t="n">
        <v>109866</v>
      </c>
      <c r="J52" s="46" t="inlineStr">
        <is>
          <t>EA</t>
        </is>
      </c>
      <c r="K52" s="50" t="n">
        <v>49.44</v>
      </c>
      <c r="L52" s="50" t="n">
        <v>450442.62</v>
      </c>
      <c r="M52" s="46" t="inlineStr">
        <is>
          <t>USD</t>
        </is>
      </c>
      <c r="N52" s="46" t="inlineStr">
        <is>
          <t>FOB</t>
        </is>
      </c>
      <c r="O52" s="46" t="inlineStr">
        <is>
          <t>N</t>
        </is>
      </c>
      <c r="P52" s="50" t="n">
        <v>1275.4205</v>
      </c>
      <c r="Q52" s="49">
        <f>IF(OR(L52="",M52="",P52=""),"",L52*P52)</f>
        <v/>
      </c>
    </row>
    <row r="53" ht="15" customHeight="1" s="32">
      <c r="A53" s="46" t="inlineStr">
        <is>
          <t>R-HB-0052</t>
        </is>
      </c>
      <c r="B53" s="47" t="n">
        <v>44970</v>
      </c>
      <c r="C53" s="46" t="inlineStr">
        <is>
          <t>2023-02</t>
        </is>
      </c>
      <c r="D53" s="46" t="n">
        <v>2023</v>
      </c>
      <c r="E53" s="46" t="inlineStr">
        <is>
          <t>P-HB-001</t>
        </is>
      </c>
      <c r="F53" s="46" t="inlineStr">
        <is>
          <t>C-HB-07</t>
        </is>
      </c>
      <c r="G53" s="48" t="inlineStr">
        <is>
          <t>인도</t>
        </is>
      </c>
      <c r="H53" s="46" t="inlineStr">
        <is>
          <t>IN</t>
        </is>
      </c>
      <c r="I53" s="49" t="n">
        <v>69853</v>
      </c>
      <c r="J53" s="46" t="inlineStr">
        <is>
          <t>EA</t>
        </is>
      </c>
      <c r="K53" s="50" t="n">
        <v>31.43</v>
      </c>
      <c r="L53" s="50" t="n">
        <v>283028.23</v>
      </c>
      <c r="M53" s="46" t="inlineStr">
        <is>
          <t>USD</t>
        </is>
      </c>
      <c r="N53" s="46" t="inlineStr">
        <is>
          <t>FOB</t>
        </is>
      </c>
      <c r="O53" s="46" t="inlineStr">
        <is>
          <t>N</t>
        </is>
      </c>
      <c r="P53" s="50" t="n">
        <v>1275.4205</v>
      </c>
      <c r="Q53" s="49">
        <f>IF(OR(L53="",M53="",P53=""),"",L53*P53)</f>
        <v/>
      </c>
    </row>
    <row r="54" ht="15" customHeight="1" s="32">
      <c r="A54" s="46" t="inlineStr">
        <is>
          <t>R-HB-0053</t>
        </is>
      </c>
      <c r="B54" s="47" t="n">
        <v>44970</v>
      </c>
      <c r="C54" s="46" t="inlineStr">
        <is>
          <t>2023-02</t>
        </is>
      </c>
      <c r="D54" s="46" t="n">
        <v>2023</v>
      </c>
      <c r="E54" s="46" t="inlineStr">
        <is>
          <t>P-HB-004</t>
        </is>
      </c>
      <c r="F54" s="46" t="inlineStr">
        <is>
          <t>C-HB-07</t>
        </is>
      </c>
      <c r="G54" s="48" t="inlineStr">
        <is>
          <t>인도</t>
        </is>
      </c>
      <c r="H54" s="46" t="inlineStr">
        <is>
          <t>IN</t>
        </is>
      </c>
      <c r="I54" s="49" t="n">
        <v>8405</v>
      </c>
      <c r="J54" s="46" t="inlineStr">
        <is>
          <t>EA</t>
        </is>
      </c>
      <c r="K54" s="50" t="n">
        <v>9.25</v>
      </c>
      <c r="L54" s="50" t="n">
        <v>237791.89</v>
      </c>
      <c r="M54" s="46" t="inlineStr">
        <is>
          <t>USD</t>
        </is>
      </c>
      <c r="N54" s="46" t="inlineStr">
        <is>
          <t>FOB</t>
        </is>
      </c>
      <c r="O54" s="46" t="inlineStr">
        <is>
          <t>N</t>
        </is>
      </c>
      <c r="P54" s="50" t="n">
        <v>1275.4205</v>
      </c>
      <c r="Q54" s="49">
        <f>IF(OR(L54="",M54="",P54=""),"",L54*P54)</f>
        <v/>
      </c>
    </row>
    <row r="55" ht="15" customHeight="1" s="32">
      <c r="A55" s="46" t="inlineStr">
        <is>
          <t>R-HB-0054</t>
        </is>
      </c>
      <c r="B55" s="47" t="n">
        <v>44971</v>
      </c>
      <c r="C55" s="46" t="inlineStr">
        <is>
          <t>2023-02</t>
        </is>
      </c>
      <c r="D55" s="46" t="n">
        <v>2023</v>
      </c>
      <c r="E55" s="46" t="inlineStr">
        <is>
          <t>P-HB-003</t>
        </is>
      </c>
      <c r="F55" s="46" t="inlineStr">
        <is>
          <t>C-HB-03</t>
        </is>
      </c>
      <c r="G55" s="48" t="inlineStr">
        <is>
          <t>멕시코</t>
        </is>
      </c>
      <c r="H55" s="46" t="inlineStr">
        <is>
          <t>MX</t>
        </is>
      </c>
      <c r="I55" s="49" t="n">
        <v>9332</v>
      </c>
      <c r="J55" s="46" t="inlineStr">
        <is>
          <t>EA</t>
        </is>
      </c>
      <c r="K55" s="50" t="n">
        <v>6.07</v>
      </c>
      <c r="L55" s="50" t="n">
        <v>53509.76</v>
      </c>
      <c r="M55" s="46" t="inlineStr">
        <is>
          <t>USD</t>
        </is>
      </c>
      <c r="N55" s="46" t="inlineStr">
        <is>
          <t>FOB</t>
        </is>
      </c>
      <c r="O55" s="46" t="inlineStr">
        <is>
          <t>N</t>
        </is>
      </c>
      <c r="P55" s="50" t="n">
        <v>1275.4205</v>
      </c>
      <c r="Q55" s="49">
        <f>IF(OR(L55="",M55="",P55=""),"",L55*P55)</f>
        <v/>
      </c>
    </row>
    <row r="56" ht="15" customHeight="1" s="32">
      <c r="A56" s="46" t="inlineStr">
        <is>
          <t>R-HB-0055</t>
        </is>
      </c>
      <c r="B56" s="47" t="n">
        <v>44973</v>
      </c>
      <c r="C56" s="46" t="inlineStr">
        <is>
          <t>2023-02</t>
        </is>
      </c>
      <c r="D56" s="46" t="n">
        <v>2023</v>
      </c>
      <c r="E56" s="46" t="inlineStr">
        <is>
          <t>P-HB-003</t>
        </is>
      </c>
      <c r="F56" s="46" t="inlineStr">
        <is>
          <t>C-HB-01</t>
        </is>
      </c>
      <c r="G56" s="48" t="inlineStr">
        <is>
          <t>미국</t>
        </is>
      </c>
      <c r="H56" s="46" t="inlineStr">
        <is>
          <t>US</t>
        </is>
      </c>
      <c r="I56" s="49" t="n">
        <v>54771</v>
      </c>
      <c r="J56" s="46" t="inlineStr">
        <is>
          <t>EA</t>
        </is>
      </c>
      <c r="K56" s="50" t="n">
        <v>35.6</v>
      </c>
      <c r="L56" s="50" t="n">
        <v>296280.68</v>
      </c>
      <c r="M56" s="46" t="inlineStr">
        <is>
          <t>USD</t>
        </is>
      </c>
      <c r="N56" s="46" t="inlineStr">
        <is>
          <t>FOB</t>
        </is>
      </c>
      <c r="O56" s="46" t="inlineStr">
        <is>
          <t>N</t>
        </is>
      </c>
      <c r="P56" s="50" t="n">
        <v>1275.4205</v>
      </c>
      <c r="Q56" s="49">
        <f>IF(OR(L56="",M56="",P56=""),"",L56*P56)</f>
        <v/>
      </c>
    </row>
    <row r="57" ht="15" customHeight="1" s="32">
      <c r="A57" s="46" t="inlineStr">
        <is>
          <t>R-HB-0056</t>
        </is>
      </c>
      <c r="B57" s="47" t="n">
        <v>44973</v>
      </c>
      <c r="C57" s="46" t="inlineStr">
        <is>
          <t>2023-02</t>
        </is>
      </c>
      <c r="D57" s="46" t="n">
        <v>2023</v>
      </c>
      <c r="E57" s="46" t="inlineStr">
        <is>
          <t>P-HB-002</t>
        </is>
      </c>
      <c r="F57" s="46" t="inlineStr">
        <is>
          <t>C-HB-02</t>
        </is>
      </c>
      <c r="G57" s="48" t="inlineStr">
        <is>
          <t>미국</t>
        </is>
      </c>
      <c r="H57" s="46" t="inlineStr">
        <is>
          <t>US</t>
        </is>
      </c>
      <c r="I57" s="49" t="n">
        <v>144</v>
      </c>
      <c r="J57" s="46" t="inlineStr">
        <is>
          <t>EA</t>
        </is>
      </c>
      <c r="K57" s="50" t="n">
        <v>0.32</v>
      </c>
      <c r="L57" s="50" t="n">
        <v>39024.36</v>
      </c>
      <c r="M57" s="46" t="inlineStr">
        <is>
          <t>USD</t>
        </is>
      </c>
      <c r="N57" s="46" t="inlineStr">
        <is>
          <t>FOB</t>
        </is>
      </c>
      <c r="O57" s="46" t="inlineStr">
        <is>
          <t>N</t>
        </is>
      </c>
      <c r="P57" s="50" t="n">
        <v>1275.4205</v>
      </c>
      <c r="Q57" s="49">
        <f>IF(OR(L57="",M57="",P57=""),"",L57*P57)</f>
        <v/>
      </c>
    </row>
    <row r="58" ht="15" customHeight="1" s="32">
      <c r="A58" s="46" t="inlineStr">
        <is>
          <t>R-HB-0057</t>
        </is>
      </c>
      <c r="B58" s="47" t="n">
        <v>44975</v>
      </c>
      <c r="C58" s="46" t="inlineStr">
        <is>
          <t>2023-02</t>
        </is>
      </c>
      <c r="D58" s="46" t="n">
        <v>2023</v>
      </c>
      <c r="E58" s="46" t="inlineStr">
        <is>
          <t>P-HB-004</t>
        </is>
      </c>
      <c r="F58" s="46" t="inlineStr">
        <is>
          <t>C-HB-01</t>
        </is>
      </c>
      <c r="G58" s="48" t="inlineStr">
        <is>
          <t>미국</t>
        </is>
      </c>
      <c r="H58" s="46" t="inlineStr">
        <is>
          <t>US</t>
        </is>
      </c>
      <c r="I58" s="49" t="n">
        <v>17424</v>
      </c>
      <c r="J58" s="46" t="inlineStr">
        <is>
          <t>EA</t>
        </is>
      </c>
      <c r="K58" s="50" t="n">
        <v>19.17</v>
      </c>
      <c r="L58" s="50" t="n">
        <v>489985.82</v>
      </c>
      <c r="M58" s="46" t="inlineStr">
        <is>
          <t>USD</t>
        </is>
      </c>
      <c r="N58" s="46" t="inlineStr">
        <is>
          <t>FOB</t>
        </is>
      </c>
      <c r="O58" s="46" t="inlineStr">
        <is>
          <t>N</t>
        </is>
      </c>
      <c r="P58" s="50" t="n">
        <v>1275.4205</v>
      </c>
      <c r="Q58" s="49">
        <f>IF(OR(L58="",M58="",P58=""),"",L58*P58)</f>
        <v/>
      </c>
    </row>
    <row r="59" ht="15" customHeight="1" s="32">
      <c r="A59" s="46" t="inlineStr">
        <is>
          <t>R-HB-0058</t>
        </is>
      </c>
      <c r="B59" s="47" t="n">
        <v>44975</v>
      </c>
      <c r="C59" s="46" t="inlineStr">
        <is>
          <t>2023-02</t>
        </is>
      </c>
      <c r="D59" s="46" t="n">
        <v>2023</v>
      </c>
      <c r="E59" s="46" t="inlineStr">
        <is>
          <t>P-HB-004</t>
        </is>
      </c>
      <c r="F59" s="46" t="inlineStr">
        <is>
          <t>C-HB-02</t>
        </is>
      </c>
      <c r="G59" s="48" t="inlineStr">
        <is>
          <t>미국</t>
        </is>
      </c>
      <c r="H59" s="46" t="inlineStr">
        <is>
          <t>US</t>
        </is>
      </c>
      <c r="I59" s="49" t="n">
        <v>9880</v>
      </c>
      <c r="J59" s="46" t="inlineStr">
        <is>
          <t>EA</t>
        </is>
      </c>
      <c r="K59" s="50" t="n">
        <v>10.87</v>
      </c>
      <c r="L59" s="50" t="n">
        <v>273837.34</v>
      </c>
      <c r="M59" s="46" t="inlineStr">
        <is>
          <t>USD</t>
        </is>
      </c>
      <c r="N59" s="46" t="inlineStr">
        <is>
          <t>FOB</t>
        </is>
      </c>
      <c r="O59" s="46" t="inlineStr">
        <is>
          <t>N</t>
        </is>
      </c>
      <c r="P59" s="50" t="n">
        <v>1275.4205</v>
      </c>
      <c r="Q59" s="49">
        <f>IF(OR(L59="",M59="",P59=""),"",L59*P59)</f>
        <v/>
      </c>
    </row>
    <row r="60" ht="15" customHeight="1" s="32">
      <c r="A60" s="46" t="inlineStr">
        <is>
          <t>R-HB-0059</t>
        </is>
      </c>
      <c r="B60" s="47" t="n">
        <v>44975</v>
      </c>
      <c r="C60" s="46" t="inlineStr">
        <is>
          <t>2023-02</t>
        </is>
      </c>
      <c r="D60" s="46" t="n">
        <v>2023</v>
      </c>
      <c r="E60" s="46" t="inlineStr">
        <is>
          <t>P-HB-001</t>
        </is>
      </c>
      <c r="F60" s="46" t="inlineStr">
        <is>
          <t>C-HB-04</t>
        </is>
      </c>
      <c r="G60" s="48" t="inlineStr">
        <is>
          <t>캐나다</t>
        </is>
      </c>
      <c r="H60" s="46" t="inlineStr">
        <is>
          <t>CA</t>
        </is>
      </c>
      <c r="I60" s="49" t="n">
        <v>14770</v>
      </c>
      <c r="J60" s="46" t="inlineStr">
        <is>
          <t>EA</t>
        </is>
      </c>
      <c r="K60" s="50" t="n">
        <v>6.65</v>
      </c>
      <c r="L60" s="50" t="n">
        <v>57738.55</v>
      </c>
      <c r="M60" s="46" t="inlineStr">
        <is>
          <t>USD</t>
        </is>
      </c>
      <c r="N60" s="46" t="inlineStr">
        <is>
          <t>FOB</t>
        </is>
      </c>
      <c r="O60" s="46" t="inlineStr">
        <is>
          <t>N</t>
        </is>
      </c>
      <c r="P60" s="50" t="n">
        <v>1275.4205</v>
      </c>
      <c r="Q60" s="49">
        <f>IF(OR(L60="",M60="",P60=""),"",L60*P60)</f>
        <v/>
      </c>
    </row>
    <row r="61" ht="15" customHeight="1" s="32">
      <c r="A61" s="46" t="inlineStr">
        <is>
          <t>R-HB-0060</t>
        </is>
      </c>
      <c r="B61" s="47" t="n">
        <v>44975</v>
      </c>
      <c r="C61" s="46" t="inlineStr">
        <is>
          <t>2023-02</t>
        </is>
      </c>
      <c r="D61" s="46" t="n">
        <v>2023</v>
      </c>
      <c r="E61" s="46" t="inlineStr">
        <is>
          <t>P-HB-004</t>
        </is>
      </c>
      <c r="F61" s="46" t="inlineStr">
        <is>
          <t>C-HB-09</t>
        </is>
      </c>
      <c r="G61" s="48" t="inlineStr">
        <is>
          <t>중국</t>
        </is>
      </c>
      <c r="H61" s="46" t="inlineStr">
        <is>
          <t>CN</t>
        </is>
      </c>
      <c r="I61" s="49" t="n">
        <v>11551</v>
      </c>
      <c r="J61" s="46" t="inlineStr">
        <is>
          <t>EA</t>
        </is>
      </c>
      <c r="K61" s="50" t="n">
        <v>12.71</v>
      </c>
      <c r="L61" s="50" t="n">
        <v>318199.2</v>
      </c>
      <c r="M61" s="46" t="inlineStr">
        <is>
          <t>USD</t>
        </is>
      </c>
      <c r="N61" s="46" t="inlineStr">
        <is>
          <t>FOB</t>
        </is>
      </c>
      <c r="O61" s="46" t="inlineStr">
        <is>
          <t>N</t>
        </is>
      </c>
      <c r="P61" s="50" t="n">
        <v>1275.4205</v>
      </c>
      <c r="Q61" s="49">
        <f>IF(OR(L61="",M61="",P61=""),"",L61*P61)</f>
        <v/>
      </c>
    </row>
    <row r="62" ht="15" customHeight="1" s="32">
      <c r="A62" s="46" t="inlineStr">
        <is>
          <t>R-HB-0061</t>
        </is>
      </c>
      <c r="B62" s="47" t="n">
        <v>44976</v>
      </c>
      <c r="C62" s="46" t="inlineStr">
        <is>
          <t>2023-02</t>
        </is>
      </c>
      <c r="D62" s="46" t="n">
        <v>2023</v>
      </c>
      <c r="E62" s="46" t="inlineStr">
        <is>
          <t>P-HB-001</t>
        </is>
      </c>
      <c r="F62" s="46" t="inlineStr">
        <is>
          <t>C-HB-05</t>
        </is>
      </c>
      <c r="G62" s="48" t="inlineStr">
        <is>
          <t>독일</t>
        </is>
      </c>
      <c r="H62" s="46" t="inlineStr">
        <is>
          <t>DE</t>
        </is>
      </c>
      <c r="I62" s="49" t="n">
        <v>132663</v>
      </c>
      <c r="J62" s="46" t="inlineStr">
        <is>
          <t>EA</t>
        </is>
      </c>
      <c r="K62" s="50" t="n">
        <v>59.7</v>
      </c>
      <c r="L62" s="50" t="n">
        <v>528515.1800000001</v>
      </c>
      <c r="M62" s="46" t="inlineStr">
        <is>
          <t>USD</t>
        </is>
      </c>
      <c r="N62" s="46" t="inlineStr">
        <is>
          <t>FOB</t>
        </is>
      </c>
      <c r="O62" s="46" t="inlineStr">
        <is>
          <t>N</t>
        </is>
      </c>
      <c r="P62" s="50" t="n">
        <v>1275.4205</v>
      </c>
      <c r="Q62" s="49">
        <f>IF(OR(L62="",M62="",P62=""),"",L62*P62)</f>
        <v/>
      </c>
    </row>
    <row r="63" ht="15" customHeight="1" s="32">
      <c r="A63" s="46" t="inlineStr">
        <is>
          <t>R-HB-0062</t>
        </is>
      </c>
      <c r="B63" s="47" t="n">
        <v>44976</v>
      </c>
      <c r="C63" s="46" t="inlineStr">
        <is>
          <t>2023-02</t>
        </is>
      </c>
      <c r="D63" s="46" t="n">
        <v>2023</v>
      </c>
      <c r="E63" s="46" t="inlineStr">
        <is>
          <t>P-HB-003</t>
        </is>
      </c>
      <c r="F63" s="46" t="inlineStr">
        <is>
          <t>C-HB-09</t>
        </is>
      </c>
      <c r="G63" s="48" t="inlineStr">
        <is>
          <t>중국</t>
        </is>
      </c>
      <c r="H63" s="46" t="inlineStr">
        <is>
          <t>CN</t>
        </is>
      </c>
      <c r="I63" s="49" t="n">
        <v>31587</v>
      </c>
      <c r="J63" s="46" t="inlineStr">
        <is>
          <t>EA</t>
        </is>
      </c>
      <c r="K63" s="50" t="n">
        <v>20.53</v>
      </c>
      <c r="L63" s="50" t="n">
        <v>183923.51</v>
      </c>
      <c r="M63" s="46" t="inlineStr">
        <is>
          <t>USD</t>
        </is>
      </c>
      <c r="N63" s="46" t="inlineStr">
        <is>
          <t>FOB</t>
        </is>
      </c>
      <c r="O63" s="46" t="inlineStr">
        <is>
          <t>N</t>
        </is>
      </c>
      <c r="P63" s="50" t="n">
        <v>1275.4205</v>
      </c>
      <c r="Q63" s="49">
        <f>IF(OR(L63="",M63="",P63=""),"",L63*P63)</f>
        <v/>
      </c>
    </row>
    <row r="64" ht="15" customHeight="1" s="32">
      <c r="A64" s="46" t="inlineStr">
        <is>
          <t>R-HB-0063</t>
        </is>
      </c>
      <c r="B64" s="47" t="n">
        <v>44977</v>
      </c>
      <c r="C64" s="46" t="inlineStr">
        <is>
          <t>2023-02</t>
        </is>
      </c>
      <c r="D64" s="46" t="n">
        <v>2023</v>
      </c>
      <c r="E64" s="46" t="inlineStr">
        <is>
          <t>P-HB-003</t>
        </is>
      </c>
      <c r="F64" s="46" t="inlineStr">
        <is>
          <t>C-HB-04</t>
        </is>
      </c>
      <c r="G64" s="48" t="inlineStr">
        <is>
          <t>캐나다</t>
        </is>
      </c>
      <c r="H64" s="46" t="inlineStr">
        <is>
          <t>CA</t>
        </is>
      </c>
      <c r="I64" s="49" t="n">
        <v>5124</v>
      </c>
      <c r="J64" s="46" t="inlineStr">
        <is>
          <t>EA</t>
        </is>
      </c>
      <c r="K64" s="50" t="n">
        <v>3.33</v>
      </c>
      <c r="L64" s="50" t="n">
        <v>29802.71</v>
      </c>
      <c r="M64" s="46" t="inlineStr">
        <is>
          <t>USD</t>
        </is>
      </c>
      <c r="N64" s="46" t="inlineStr">
        <is>
          <t>FOB</t>
        </is>
      </c>
      <c r="O64" s="46" t="inlineStr">
        <is>
          <t>N</t>
        </is>
      </c>
      <c r="P64" s="50" t="n">
        <v>1275.4205</v>
      </c>
      <c r="Q64" s="49">
        <f>IF(OR(L64="",M64="",P64=""),"",L64*P64)</f>
        <v/>
      </c>
    </row>
    <row r="65" ht="15" customHeight="1" s="32">
      <c r="A65" s="46" t="inlineStr">
        <is>
          <t>R-HB-0064</t>
        </is>
      </c>
      <c r="B65" s="47" t="n">
        <v>44977</v>
      </c>
      <c r="C65" s="46" t="inlineStr">
        <is>
          <t>2023-02</t>
        </is>
      </c>
      <c r="D65" s="46" t="n">
        <v>2023</v>
      </c>
      <c r="E65" s="46" t="inlineStr">
        <is>
          <t>P-HB-004</t>
        </is>
      </c>
      <c r="F65" s="46" t="inlineStr">
        <is>
          <t>C-HB-05</t>
        </is>
      </c>
      <c r="G65" s="48" t="inlineStr">
        <is>
          <t>독일</t>
        </is>
      </c>
      <c r="H65" s="46" t="inlineStr">
        <is>
          <t>DE</t>
        </is>
      </c>
      <c r="I65" s="49" t="n">
        <v>15979</v>
      </c>
      <c r="J65" s="46" t="inlineStr">
        <is>
          <t>EA</t>
        </is>
      </c>
      <c r="K65" s="50" t="n">
        <v>17.58</v>
      </c>
      <c r="L65" s="50" t="n">
        <v>442968.81</v>
      </c>
      <c r="M65" s="46" t="inlineStr">
        <is>
          <t>USD</t>
        </is>
      </c>
      <c r="N65" s="46" t="inlineStr">
        <is>
          <t>FOB</t>
        </is>
      </c>
      <c r="O65" s="46" t="inlineStr">
        <is>
          <t>N</t>
        </is>
      </c>
      <c r="P65" s="50" t="n">
        <v>1275.4205</v>
      </c>
      <c r="Q65" s="49">
        <f>IF(OR(L65="",M65="",P65=""),"",L65*P65)</f>
        <v/>
      </c>
    </row>
    <row r="66" ht="15" customHeight="1" s="32">
      <c r="A66" s="46" t="inlineStr">
        <is>
          <t>R-HB-0065</t>
        </is>
      </c>
      <c r="B66" s="47" t="n">
        <v>44978</v>
      </c>
      <c r="C66" s="46" t="inlineStr">
        <is>
          <t>2023-02</t>
        </is>
      </c>
      <c r="D66" s="46" t="n">
        <v>2023</v>
      </c>
      <c r="E66" s="46" t="inlineStr">
        <is>
          <t>P-HB-001</t>
        </is>
      </c>
      <c r="F66" s="46" t="inlineStr">
        <is>
          <t>C-HB-01</t>
        </is>
      </c>
      <c r="G66" s="48" t="inlineStr">
        <is>
          <t>미국</t>
        </is>
      </c>
      <c r="H66" s="46" t="inlineStr">
        <is>
          <t>US</t>
        </is>
      </c>
      <c r="I66" s="49" t="n">
        <v>141502</v>
      </c>
      <c r="J66" s="46" t="inlineStr">
        <is>
          <t>EA</t>
        </is>
      </c>
      <c r="K66" s="50" t="n">
        <v>63.68</v>
      </c>
      <c r="L66" s="50" t="n">
        <v>569369.63</v>
      </c>
      <c r="M66" s="46" t="inlineStr">
        <is>
          <t>USD</t>
        </is>
      </c>
      <c r="N66" s="46" t="inlineStr">
        <is>
          <t>FOB</t>
        </is>
      </c>
      <c r="O66" s="46" t="inlineStr">
        <is>
          <t>N</t>
        </is>
      </c>
      <c r="P66" s="50" t="n">
        <v>1275.4205</v>
      </c>
      <c r="Q66" s="49">
        <f>IF(OR(L66="",M66="",P66=""),"",L66*P66)</f>
        <v/>
      </c>
    </row>
    <row r="67" ht="15" customHeight="1" s="32">
      <c r="A67" s="46" t="inlineStr">
        <is>
          <t>R-HB-0066</t>
        </is>
      </c>
      <c r="B67" s="47" t="n">
        <v>44980</v>
      </c>
      <c r="C67" s="46" t="inlineStr">
        <is>
          <t>2023-02</t>
        </is>
      </c>
      <c r="D67" s="46" t="n">
        <v>2023</v>
      </c>
      <c r="E67" s="46" t="inlineStr">
        <is>
          <t>P-HB-004</t>
        </is>
      </c>
      <c r="F67" s="46" t="inlineStr">
        <is>
          <t>C-HB-03</t>
        </is>
      </c>
      <c r="G67" s="48" t="inlineStr">
        <is>
          <t>멕시코</t>
        </is>
      </c>
      <c r="H67" s="46" t="inlineStr">
        <is>
          <t>MX</t>
        </is>
      </c>
      <c r="I67" s="49" t="n">
        <v>3283</v>
      </c>
      <c r="J67" s="46" t="inlineStr">
        <is>
          <t>EA</t>
        </is>
      </c>
      <c r="K67" s="50" t="n">
        <v>3.61</v>
      </c>
      <c r="L67" s="50" t="n">
        <v>91190.84</v>
      </c>
      <c r="M67" s="46" t="inlineStr">
        <is>
          <t>USD</t>
        </is>
      </c>
      <c r="N67" s="46" t="inlineStr">
        <is>
          <t>FOB</t>
        </is>
      </c>
      <c r="O67" s="46" t="inlineStr">
        <is>
          <t>N</t>
        </is>
      </c>
      <c r="P67" s="50" t="n">
        <v>1275.4205</v>
      </c>
      <c r="Q67" s="49">
        <f>IF(OR(L67="",M67="",P67=""),"",L67*P67)</f>
        <v/>
      </c>
    </row>
    <row r="68" ht="15" customHeight="1" s="32">
      <c r="A68" s="46" t="inlineStr">
        <is>
          <t>R-HB-0067</t>
        </is>
      </c>
      <c r="B68" s="47" t="n">
        <v>44980</v>
      </c>
      <c r="C68" s="46" t="inlineStr">
        <is>
          <t>2023-02</t>
        </is>
      </c>
      <c r="D68" s="46" t="n">
        <v>2023</v>
      </c>
      <c r="E68" s="46" t="inlineStr">
        <is>
          <t>P-HB-004</t>
        </is>
      </c>
      <c r="F68" s="46" t="inlineStr">
        <is>
          <t>C-HB-08</t>
        </is>
      </c>
      <c r="G68" s="48" t="inlineStr">
        <is>
          <t>중국</t>
        </is>
      </c>
      <c r="H68" s="46" t="inlineStr">
        <is>
          <t>CN</t>
        </is>
      </c>
      <c r="I68" s="49" t="n">
        <v>16741</v>
      </c>
      <c r="J68" s="46" t="inlineStr">
        <is>
          <t>EA</t>
        </is>
      </c>
      <c r="K68" s="50" t="n">
        <v>18.42</v>
      </c>
      <c r="L68" s="50" t="n">
        <v>456376.95</v>
      </c>
      <c r="M68" s="46" t="inlineStr">
        <is>
          <t>USD</t>
        </is>
      </c>
      <c r="N68" s="46" t="inlineStr">
        <is>
          <t>FOB</t>
        </is>
      </c>
      <c r="O68" s="46" t="inlineStr">
        <is>
          <t>N</t>
        </is>
      </c>
      <c r="P68" s="50" t="n">
        <v>1275.4205</v>
      </c>
      <c r="Q68" s="49">
        <f>IF(OR(L68="",M68="",P68=""),"",L68*P68)</f>
        <v/>
      </c>
    </row>
    <row r="69" ht="15" customHeight="1" s="32">
      <c r="A69" s="46" t="inlineStr">
        <is>
          <t>R-HB-0068</t>
        </is>
      </c>
      <c r="B69" s="47" t="n">
        <v>44981</v>
      </c>
      <c r="C69" s="46" t="inlineStr">
        <is>
          <t>2023-02</t>
        </is>
      </c>
      <c r="D69" s="46" t="n">
        <v>2023</v>
      </c>
      <c r="E69" s="46" t="inlineStr">
        <is>
          <t>P-HB-002</t>
        </is>
      </c>
      <c r="F69" s="46" t="inlineStr">
        <is>
          <t>C-HB-08</t>
        </is>
      </c>
      <c r="G69" s="48" t="inlineStr">
        <is>
          <t>중국</t>
        </is>
      </c>
      <c r="H69" s="46" t="inlineStr">
        <is>
          <t>CN</t>
        </is>
      </c>
      <c r="I69" s="49" t="n">
        <v>200</v>
      </c>
      <c r="J69" s="46" t="inlineStr">
        <is>
          <t>EA</t>
        </is>
      </c>
      <c r="K69" s="50" t="n">
        <v>0.44</v>
      </c>
      <c r="L69" s="50" t="n">
        <v>56147.94</v>
      </c>
      <c r="M69" s="46" t="inlineStr">
        <is>
          <t>USD</t>
        </is>
      </c>
      <c r="N69" s="46" t="inlineStr">
        <is>
          <t>FOB</t>
        </is>
      </c>
      <c r="O69" s="46" t="inlineStr">
        <is>
          <t>N</t>
        </is>
      </c>
      <c r="P69" s="50" t="n">
        <v>1275.4205</v>
      </c>
      <c r="Q69" s="49">
        <f>IF(OR(L69="",M69="",P69=""),"",L69*P69)</f>
        <v/>
      </c>
    </row>
    <row r="70" ht="15" customHeight="1" s="32">
      <c r="A70" s="46" t="inlineStr">
        <is>
          <t>R-HB-0069</t>
        </is>
      </c>
      <c r="B70" s="47" t="n">
        <v>44982</v>
      </c>
      <c r="C70" s="46" t="inlineStr">
        <is>
          <t>2023-02</t>
        </is>
      </c>
      <c r="D70" s="46" t="n">
        <v>2023</v>
      </c>
      <c r="E70" s="46" t="inlineStr">
        <is>
          <t>P-HB-002</t>
        </is>
      </c>
      <c r="F70" s="46" t="inlineStr">
        <is>
          <t>C-HB-09</t>
        </is>
      </c>
      <c r="G70" s="48" t="inlineStr">
        <is>
          <t>중국</t>
        </is>
      </c>
      <c r="H70" s="46" t="inlineStr">
        <is>
          <t>CN</t>
        </is>
      </c>
      <c r="I70" s="49" t="n">
        <v>134</v>
      </c>
      <c r="J70" s="46" t="inlineStr">
        <is>
          <t>EA</t>
        </is>
      </c>
      <c r="K70" s="50" t="n">
        <v>0.29</v>
      </c>
      <c r="L70" s="50" t="n">
        <v>38160.1</v>
      </c>
      <c r="M70" s="46" t="inlineStr">
        <is>
          <t>USD</t>
        </is>
      </c>
      <c r="N70" s="46" t="inlineStr">
        <is>
          <t>FOB</t>
        </is>
      </c>
      <c r="O70" s="46" t="inlineStr">
        <is>
          <t>N</t>
        </is>
      </c>
      <c r="P70" s="50" t="n">
        <v>1275.4205</v>
      </c>
      <c r="Q70" s="49">
        <f>IF(OR(L70="",M70="",P70=""),"",L70*P70)</f>
        <v/>
      </c>
    </row>
    <row r="71" ht="15" customHeight="1" s="32">
      <c r="A71" s="46" t="inlineStr">
        <is>
          <t>R-HB-0070</t>
        </is>
      </c>
      <c r="B71" s="47" t="n">
        <v>44983</v>
      </c>
      <c r="C71" s="46" t="inlineStr">
        <is>
          <t>2023-02</t>
        </is>
      </c>
      <c r="D71" s="46" t="n">
        <v>2023</v>
      </c>
      <c r="E71" s="46" t="inlineStr">
        <is>
          <t>P-HB-003</t>
        </is>
      </c>
      <c r="F71" s="46" t="inlineStr">
        <is>
          <t>C-HB-06</t>
        </is>
      </c>
      <c r="G71" s="48" t="inlineStr">
        <is>
          <t>베트남</t>
        </is>
      </c>
      <c r="H71" s="46" t="inlineStr">
        <is>
          <t>VN</t>
        </is>
      </c>
      <c r="I71" s="49" t="n">
        <v>33161</v>
      </c>
      <c r="J71" s="46" t="inlineStr">
        <is>
          <t>EA</t>
        </is>
      </c>
      <c r="K71" s="50" t="n">
        <v>21.55</v>
      </c>
      <c r="L71" s="50" t="n">
        <v>192131.93</v>
      </c>
      <c r="M71" s="46" t="inlineStr">
        <is>
          <t>USD</t>
        </is>
      </c>
      <c r="N71" s="46" t="inlineStr">
        <is>
          <t>FOB</t>
        </is>
      </c>
      <c r="O71" s="46" t="inlineStr">
        <is>
          <t>N</t>
        </is>
      </c>
      <c r="P71" s="50" t="n">
        <v>1275.4205</v>
      </c>
      <c r="Q71" s="49">
        <f>IF(OR(L71="",M71="",P71=""),"",L71*P71)</f>
        <v/>
      </c>
    </row>
    <row r="72" ht="15" customHeight="1" s="32">
      <c r="A72" s="46" t="inlineStr">
        <is>
          <t>R-HB-0071</t>
        </is>
      </c>
      <c r="B72" s="47" t="n">
        <v>44984</v>
      </c>
      <c r="C72" s="46" t="inlineStr">
        <is>
          <t>2023-02</t>
        </is>
      </c>
      <c r="D72" s="46" t="n">
        <v>2023</v>
      </c>
      <c r="E72" s="46" t="inlineStr">
        <is>
          <t>P-HB-001</t>
        </is>
      </c>
      <c r="F72" s="46" t="inlineStr">
        <is>
          <t>C-HB-03</t>
        </is>
      </c>
      <c r="G72" s="48" t="inlineStr">
        <is>
          <t>멕시코</t>
        </is>
      </c>
      <c r="H72" s="46" t="inlineStr">
        <is>
          <t>MX</t>
        </is>
      </c>
      <c r="I72" s="49" t="n">
        <v>26680</v>
      </c>
      <c r="J72" s="46" t="inlineStr">
        <is>
          <t>EA</t>
        </is>
      </c>
      <c r="K72" s="50" t="n">
        <v>12.01</v>
      </c>
      <c r="L72" s="50" t="n">
        <v>109038.53</v>
      </c>
      <c r="M72" s="46" t="inlineStr">
        <is>
          <t>USD</t>
        </is>
      </c>
      <c r="N72" s="46" t="inlineStr">
        <is>
          <t>FOB</t>
        </is>
      </c>
      <c r="O72" s="46" t="inlineStr">
        <is>
          <t>N</t>
        </is>
      </c>
      <c r="P72" s="50" t="n">
        <v>1275.4205</v>
      </c>
      <c r="Q72" s="49">
        <f>IF(OR(L72="",M72="",P72=""),"",L72*P72)</f>
        <v/>
      </c>
    </row>
    <row r="73" ht="15" customHeight="1" s="32">
      <c r="A73" s="46" t="inlineStr">
        <is>
          <t>R-HB-0072</t>
        </is>
      </c>
      <c r="B73" s="47" t="n">
        <v>44984</v>
      </c>
      <c r="C73" s="46" t="inlineStr">
        <is>
          <t>2023-02</t>
        </is>
      </c>
      <c r="D73" s="46" t="n">
        <v>2023</v>
      </c>
      <c r="E73" s="46" t="inlineStr">
        <is>
          <t>P-HB-002</t>
        </is>
      </c>
      <c r="F73" s="46" t="inlineStr">
        <is>
          <t>C-HB-05</t>
        </is>
      </c>
      <c r="G73" s="48" t="inlineStr">
        <is>
          <t>독일</t>
        </is>
      </c>
      <c r="H73" s="46" t="inlineStr">
        <is>
          <t>DE</t>
        </is>
      </c>
      <c r="I73" s="49" t="n">
        <v>219</v>
      </c>
      <c r="J73" s="46" t="inlineStr">
        <is>
          <t>EA</t>
        </is>
      </c>
      <c r="K73" s="50" t="n">
        <v>0.48</v>
      </c>
      <c r="L73" s="50" t="n">
        <v>59868.17</v>
      </c>
      <c r="M73" s="46" t="inlineStr">
        <is>
          <t>USD</t>
        </is>
      </c>
      <c r="N73" s="46" t="inlineStr">
        <is>
          <t>FOB</t>
        </is>
      </c>
      <c r="O73" s="46" t="inlineStr">
        <is>
          <t>N</t>
        </is>
      </c>
      <c r="P73" s="50" t="n">
        <v>1275.4205</v>
      </c>
      <c r="Q73" s="49">
        <f>IF(OR(L73="",M73="",P73=""),"",L73*P73)</f>
        <v/>
      </c>
    </row>
    <row r="74" ht="15" customHeight="1" s="32">
      <c r="A74" s="46" t="inlineStr">
        <is>
          <t>R-HB-0073</t>
        </is>
      </c>
      <c r="B74" s="47" t="n">
        <v>44988</v>
      </c>
      <c r="C74" s="46" t="inlineStr">
        <is>
          <t>2023-03</t>
        </is>
      </c>
      <c r="D74" s="46" t="n">
        <v>2023</v>
      </c>
      <c r="E74" s="46" t="inlineStr">
        <is>
          <t>P-HB-003</t>
        </is>
      </c>
      <c r="F74" s="46" t="inlineStr">
        <is>
          <t>C-HB-02</t>
        </is>
      </c>
      <c r="G74" s="48" t="inlineStr">
        <is>
          <t>미국</t>
        </is>
      </c>
      <c r="H74" s="46" t="inlineStr">
        <is>
          <t>US</t>
        </is>
      </c>
      <c r="I74" s="49" t="n">
        <v>29002</v>
      </c>
      <c r="J74" s="46" t="inlineStr">
        <is>
          <t>EA</t>
        </is>
      </c>
      <c r="K74" s="50" t="n">
        <v>18.85</v>
      </c>
      <c r="L74" s="50" t="n">
        <v>160331.29</v>
      </c>
      <c r="M74" s="46" t="inlineStr">
        <is>
          <t>USD</t>
        </is>
      </c>
      <c r="N74" s="46" t="inlineStr">
        <is>
          <t>FOB</t>
        </is>
      </c>
      <c r="O74" s="46" t="inlineStr">
        <is>
          <t>N</t>
        </is>
      </c>
      <c r="P74" s="50" t="n">
        <v>1306.0161</v>
      </c>
      <c r="Q74" s="49">
        <f>IF(OR(L74="",M74="",P74=""),"",L74*P74)</f>
        <v/>
      </c>
    </row>
    <row r="75" ht="15" customHeight="1" s="32">
      <c r="A75" s="46" t="inlineStr">
        <is>
          <t>R-HB-0074</t>
        </is>
      </c>
      <c r="B75" s="47" t="n">
        <v>44988</v>
      </c>
      <c r="C75" s="46" t="inlineStr">
        <is>
          <t>2023-03</t>
        </is>
      </c>
      <c r="D75" s="46" t="n">
        <v>2023</v>
      </c>
      <c r="E75" s="46" t="inlineStr">
        <is>
          <t>P-HB-003</t>
        </is>
      </c>
      <c r="F75" s="46" t="inlineStr">
        <is>
          <t>C-HB-04</t>
        </is>
      </c>
      <c r="G75" s="48" t="inlineStr">
        <is>
          <t>캐나다</t>
        </is>
      </c>
      <c r="H75" s="46" t="inlineStr">
        <is>
          <t>CA</t>
        </is>
      </c>
      <c r="I75" s="49" t="n">
        <v>4490</v>
      </c>
      <c r="J75" s="46" t="inlineStr">
        <is>
          <t>EA</t>
        </is>
      </c>
      <c r="K75" s="50" t="n">
        <v>2.92</v>
      </c>
      <c r="L75" s="50" t="n">
        <v>24870.81</v>
      </c>
      <c r="M75" s="46" t="inlineStr">
        <is>
          <t>USD</t>
        </is>
      </c>
      <c r="N75" s="46" t="inlineStr">
        <is>
          <t>FOB</t>
        </is>
      </c>
      <c r="O75" s="46" t="inlineStr">
        <is>
          <t>N</t>
        </is>
      </c>
      <c r="P75" s="50" t="n">
        <v>1306.0161</v>
      </c>
      <c r="Q75" s="49">
        <f>IF(OR(L75="",M75="",P75=""),"",L75*P75)</f>
        <v/>
      </c>
    </row>
    <row r="76" ht="15" customHeight="1" s="32">
      <c r="A76" s="46" t="inlineStr">
        <is>
          <t>R-HB-0075</t>
        </is>
      </c>
      <c r="B76" s="47" t="n">
        <v>44988</v>
      </c>
      <c r="C76" s="46" t="inlineStr">
        <is>
          <t>2023-03</t>
        </is>
      </c>
      <c r="D76" s="46" t="n">
        <v>2023</v>
      </c>
      <c r="E76" s="46" t="inlineStr">
        <is>
          <t>P-HB-001</t>
        </is>
      </c>
      <c r="F76" s="46" t="inlineStr">
        <is>
          <t>C-HB-08</t>
        </is>
      </c>
      <c r="G76" s="48" t="inlineStr">
        <is>
          <t>중국</t>
        </is>
      </c>
      <c r="H76" s="46" t="inlineStr">
        <is>
          <t>CN</t>
        </is>
      </c>
      <c r="I76" s="49" t="n">
        <v>125497</v>
      </c>
      <c r="J76" s="46" t="inlineStr">
        <is>
          <t>EA</t>
        </is>
      </c>
      <c r="K76" s="50" t="n">
        <v>56.47</v>
      </c>
      <c r="L76" s="50" t="n">
        <v>493270.22</v>
      </c>
      <c r="M76" s="46" t="inlineStr">
        <is>
          <t>USD</t>
        </is>
      </c>
      <c r="N76" s="46" t="inlineStr">
        <is>
          <t>FOB</t>
        </is>
      </c>
      <c r="O76" s="46" t="inlineStr">
        <is>
          <t>N</t>
        </is>
      </c>
      <c r="P76" s="50" t="n">
        <v>1306.0161</v>
      </c>
      <c r="Q76" s="49">
        <f>IF(OR(L76="",M76="",P76=""),"",L76*P76)</f>
        <v/>
      </c>
    </row>
    <row r="77" ht="15" customHeight="1" s="32">
      <c r="A77" s="46" t="inlineStr">
        <is>
          <t>R-HB-0076</t>
        </is>
      </c>
      <c r="B77" s="47" t="n">
        <v>44990</v>
      </c>
      <c r="C77" s="46" t="inlineStr">
        <is>
          <t>2023-03</t>
        </is>
      </c>
      <c r="D77" s="46" t="n">
        <v>2023</v>
      </c>
      <c r="E77" s="46" t="inlineStr">
        <is>
          <t>P-HB-001</t>
        </is>
      </c>
      <c r="F77" s="46" t="inlineStr">
        <is>
          <t>C-HB-09</t>
        </is>
      </c>
      <c r="G77" s="48" t="inlineStr">
        <is>
          <t>중국</t>
        </is>
      </c>
      <c r="H77" s="46" t="inlineStr">
        <is>
          <t>CN</t>
        </is>
      </c>
      <c r="I77" s="49" t="n">
        <v>91641</v>
      </c>
      <c r="J77" s="46" t="inlineStr">
        <is>
          <t>EA</t>
        </is>
      </c>
      <c r="K77" s="50" t="n">
        <v>41.24</v>
      </c>
      <c r="L77" s="50" t="n">
        <v>355467.71</v>
      </c>
      <c r="M77" s="46" t="inlineStr">
        <is>
          <t>USD</t>
        </is>
      </c>
      <c r="N77" s="46" t="inlineStr">
        <is>
          <t>FOB</t>
        </is>
      </c>
      <c r="O77" s="46" t="inlineStr">
        <is>
          <t>N</t>
        </is>
      </c>
      <c r="P77" s="50" t="n">
        <v>1306.0161</v>
      </c>
      <c r="Q77" s="49">
        <f>IF(OR(L77="",M77="",P77=""),"",L77*P77)</f>
        <v/>
      </c>
    </row>
    <row r="78" ht="15" customHeight="1" s="32">
      <c r="A78" s="46" t="inlineStr">
        <is>
          <t>R-HB-0077</t>
        </is>
      </c>
      <c r="B78" s="47" t="n">
        <v>44991</v>
      </c>
      <c r="C78" s="46" t="inlineStr">
        <is>
          <t>2023-03</t>
        </is>
      </c>
      <c r="D78" s="46" t="n">
        <v>2023</v>
      </c>
      <c r="E78" s="46" t="inlineStr">
        <is>
          <t>P-HB-004</t>
        </is>
      </c>
      <c r="F78" s="46" t="inlineStr">
        <is>
          <t>C-HB-04</t>
        </is>
      </c>
      <c r="G78" s="48" t="inlineStr">
        <is>
          <t>캐나다</t>
        </is>
      </c>
      <c r="H78" s="46" t="inlineStr">
        <is>
          <t>CA</t>
        </is>
      </c>
      <c r="I78" s="49" t="n">
        <v>1439</v>
      </c>
      <c r="J78" s="46" t="inlineStr">
        <is>
          <t>EA</t>
        </is>
      </c>
      <c r="K78" s="50" t="n">
        <v>1.58</v>
      </c>
      <c r="L78" s="50" t="n">
        <v>39141.68</v>
      </c>
      <c r="M78" s="46" t="inlineStr">
        <is>
          <t>USD</t>
        </is>
      </c>
      <c r="N78" s="46" t="inlineStr">
        <is>
          <t>FOB</t>
        </is>
      </c>
      <c r="O78" s="46" t="inlineStr">
        <is>
          <t>N</t>
        </is>
      </c>
      <c r="P78" s="50" t="n">
        <v>1306.0161</v>
      </c>
      <c r="Q78" s="49">
        <f>IF(OR(L78="",M78="",P78=""),"",L78*P78)</f>
        <v/>
      </c>
    </row>
    <row r="79" ht="15" customHeight="1" s="32">
      <c r="A79" s="46" t="inlineStr">
        <is>
          <t>R-HB-0078</t>
        </is>
      </c>
      <c r="B79" s="47" t="n">
        <v>44992</v>
      </c>
      <c r="C79" s="46" t="inlineStr">
        <is>
          <t>2023-03</t>
        </is>
      </c>
      <c r="D79" s="46" t="n">
        <v>2023</v>
      </c>
      <c r="E79" s="46" t="inlineStr">
        <is>
          <t>P-HB-004</t>
        </is>
      </c>
      <c r="F79" s="46" t="inlineStr">
        <is>
          <t>C-HB-01</t>
        </is>
      </c>
      <c r="G79" s="48" t="inlineStr">
        <is>
          <t>미국</t>
        </is>
      </c>
      <c r="H79" s="46" t="inlineStr">
        <is>
          <t>US</t>
        </is>
      </c>
      <c r="I79" s="49" t="n">
        <v>15832</v>
      </c>
      <c r="J79" s="46" t="inlineStr">
        <is>
          <t>EA</t>
        </is>
      </c>
      <c r="K79" s="50" t="n">
        <v>17.42</v>
      </c>
      <c r="L79" s="50" t="n">
        <v>454964.55</v>
      </c>
      <c r="M79" s="46" t="inlineStr">
        <is>
          <t>USD</t>
        </is>
      </c>
      <c r="N79" s="46" t="inlineStr">
        <is>
          <t>FOB</t>
        </is>
      </c>
      <c r="O79" s="46" t="inlineStr">
        <is>
          <t>N</t>
        </is>
      </c>
      <c r="P79" s="50" t="n">
        <v>1306.0161</v>
      </c>
      <c r="Q79" s="49">
        <f>IF(OR(L79="",M79="",P79=""),"",L79*P79)</f>
        <v/>
      </c>
    </row>
    <row r="80" ht="15" customHeight="1" s="32">
      <c r="A80" s="46" t="inlineStr">
        <is>
          <t>R-HB-0079</t>
        </is>
      </c>
      <c r="B80" s="47" t="n">
        <v>44992</v>
      </c>
      <c r="C80" s="46" t="inlineStr">
        <is>
          <t>2023-03</t>
        </is>
      </c>
      <c r="D80" s="46" t="n">
        <v>2023</v>
      </c>
      <c r="E80" s="46" t="inlineStr">
        <is>
          <t>P-HB-004</t>
        </is>
      </c>
      <c r="F80" s="46" t="inlineStr">
        <is>
          <t>C-HB-07</t>
        </is>
      </c>
      <c r="G80" s="48" t="inlineStr">
        <is>
          <t>인도</t>
        </is>
      </c>
      <c r="H80" s="46" t="inlineStr">
        <is>
          <t>IN</t>
        </is>
      </c>
      <c r="I80" s="49" t="n">
        <v>7249</v>
      </c>
      <c r="J80" s="46" t="inlineStr">
        <is>
          <t>EA</t>
        </is>
      </c>
      <c r="K80" s="50" t="n">
        <v>7.97</v>
      </c>
      <c r="L80" s="50" t="n">
        <v>198337.66</v>
      </c>
      <c r="M80" s="46" t="inlineStr">
        <is>
          <t>USD</t>
        </is>
      </c>
      <c r="N80" s="46" t="inlineStr">
        <is>
          <t>FOB</t>
        </is>
      </c>
      <c r="O80" s="46" t="inlineStr">
        <is>
          <t>N</t>
        </is>
      </c>
      <c r="P80" s="50" t="n">
        <v>1306.0161</v>
      </c>
      <c r="Q80" s="49">
        <f>IF(OR(L80="",M80="",P80=""),"",L80*P80)</f>
        <v/>
      </c>
    </row>
    <row r="81" ht="15" customHeight="1" s="32">
      <c r="A81" s="46" t="inlineStr">
        <is>
          <t>R-HB-0080</t>
        </is>
      </c>
      <c r="B81" s="47" t="n">
        <v>44993</v>
      </c>
      <c r="C81" s="46" t="inlineStr">
        <is>
          <t>2023-03</t>
        </is>
      </c>
      <c r="D81" s="46" t="n">
        <v>2023</v>
      </c>
      <c r="E81" s="46" t="inlineStr">
        <is>
          <t>P-HB-002</t>
        </is>
      </c>
      <c r="F81" s="46" t="inlineStr">
        <is>
          <t>C-HB-09</t>
        </is>
      </c>
      <c r="G81" s="48" t="inlineStr">
        <is>
          <t>중국</t>
        </is>
      </c>
      <c r="H81" s="46" t="inlineStr">
        <is>
          <t>CN</t>
        </is>
      </c>
      <c r="I81" s="49" t="n">
        <v>132</v>
      </c>
      <c r="J81" s="46" t="inlineStr">
        <is>
          <t>EA</t>
        </is>
      </c>
      <c r="K81" s="50" t="n">
        <v>0.29</v>
      </c>
      <c r="L81" s="50" t="n">
        <v>34891.29</v>
      </c>
      <c r="M81" s="46" t="inlineStr">
        <is>
          <t>USD</t>
        </is>
      </c>
      <c r="N81" s="46" t="inlineStr">
        <is>
          <t>FOB</t>
        </is>
      </c>
      <c r="O81" s="46" t="inlineStr">
        <is>
          <t>N</t>
        </is>
      </c>
      <c r="P81" s="50" t="n">
        <v>1306.0161</v>
      </c>
      <c r="Q81" s="49">
        <f>IF(OR(L81="",M81="",P81=""),"",L81*P81)</f>
        <v/>
      </c>
    </row>
    <row r="82" ht="15" customHeight="1" s="32">
      <c r="A82" s="46" t="inlineStr">
        <is>
          <t>R-HB-0081</t>
        </is>
      </c>
      <c r="B82" s="47" t="n">
        <v>44994</v>
      </c>
      <c r="C82" s="46" t="inlineStr">
        <is>
          <t>2023-03</t>
        </is>
      </c>
      <c r="D82" s="46" t="n">
        <v>2023</v>
      </c>
      <c r="E82" s="46" t="inlineStr">
        <is>
          <t>P-HB-002</t>
        </is>
      </c>
      <c r="F82" s="46" t="inlineStr">
        <is>
          <t>C-HB-03</t>
        </is>
      </c>
      <c r="G82" s="48" t="inlineStr">
        <is>
          <t>멕시코</t>
        </is>
      </c>
      <c r="H82" s="46" t="inlineStr">
        <is>
          <t>MX</t>
        </is>
      </c>
      <c r="I82" s="49" t="n">
        <v>43</v>
      </c>
      <c r="J82" s="46" t="inlineStr">
        <is>
          <t>EA</t>
        </is>
      </c>
      <c r="K82" s="50" t="n">
        <v>0.09</v>
      </c>
      <c r="L82" s="50" t="n">
        <v>10909.29</v>
      </c>
      <c r="M82" s="46" t="inlineStr">
        <is>
          <t>USD</t>
        </is>
      </c>
      <c r="N82" s="46" t="inlineStr">
        <is>
          <t>FOB</t>
        </is>
      </c>
      <c r="O82" s="46" t="inlineStr">
        <is>
          <t>N</t>
        </is>
      </c>
      <c r="P82" s="50" t="n">
        <v>1306.0161</v>
      </c>
      <c r="Q82" s="49">
        <f>IF(OR(L82="",M82="",P82=""),"",L82*P82)</f>
        <v/>
      </c>
    </row>
    <row r="83" ht="15" customHeight="1" s="32">
      <c r="A83" s="46" t="inlineStr">
        <is>
          <t>R-HB-0082</t>
        </is>
      </c>
      <c r="B83" s="47" t="n">
        <v>44994</v>
      </c>
      <c r="C83" s="46" t="inlineStr">
        <is>
          <t>2023-03</t>
        </is>
      </c>
      <c r="D83" s="46" t="n">
        <v>2023</v>
      </c>
      <c r="E83" s="46" t="inlineStr">
        <is>
          <t>P-HB-002</t>
        </is>
      </c>
      <c r="F83" s="46" t="inlineStr">
        <is>
          <t>C-HB-07</t>
        </is>
      </c>
      <c r="G83" s="48" t="inlineStr">
        <is>
          <t>인도</t>
        </is>
      </c>
      <c r="H83" s="46" t="inlineStr">
        <is>
          <t>IN</t>
        </is>
      </c>
      <c r="I83" s="49" t="n">
        <v>102</v>
      </c>
      <c r="J83" s="46" t="inlineStr">
        <is>
          <t>EA</t>
        </is>
      </c>
      <c r="K83" s="50" t="n">
        <v>0.22</v>
      </c>
      <c r="L83" s="50" t="n">
        <v>27035.68</v>
      </c>
      <c r="M83" s="46" t="inlineStr">
        <is>
          <t>USD</t>
        </is>
      </c>
      <c r="N83" s="46" t="inlineStr">
        <is>
          <t>FOB</t>
        </is>
      </c>
      <c r="O83" s="46" t="inlineStr">
        <is>
          <t>N</t>
        </is>
      </c>
      <c r="P83" s="50" t="n">
        <v>1306.0161</v>
      </c>
      <c r="Q83" s="49">
        <f>IF(OR(L83="",M83="",P83=""),"",L83*P83)</f>
        <v/>
      </c>
    </row>
    <row r="84" ht="15" customHeight="1" s="32">
      <c r="A84" s="46" t="inlineStr">
        <is>
          <t>R-HB-0083</t>
        </is>
      </c>
      <c r="B84" s="47" t="n">
        <v>44996</v>
      </c>
      <c r="C84" s="46" t="inlineStr">
        <is>
          <t>2023-03</t>
        </is>
      </c>
      <c r="D84" s="46" t="n">
        <v>2023</v>
      </c>
      <c r="E84" s="46" t="inlineStr">
        <is>
          <t>P-HB-004</t>
        </is>
      </c>
      <c r="F84" s="46" t="inlineStr">
        <is>
          <t>C-HB-09</t>
        </is>
      </c>
      <c r="G84" s="48" t="inlineStr">
        <is>
          <t>중국</t>
        </is>
      </c>
      <c r="H84" s="46" t="inlineStr">
        <is>
          <t>CN</t>
        </is>
      </c>
      <c r="I84" s="49" t="n">
        <v>9971</v>
      </c>
      <c r="J84" s="46" t="inlineStr">
        <is>
          <t>EA</t>
        </is>
      </c>
      <c r="K84" s="50" t="n">
        <v>10.97</v>
      </c>
      <c r="L84" s="50" t="n">
        <v>270818.62</v>
      </c>
      <c r="M84" s="46" t="inlineStr">
        <is>
          <t>USD</t>
        </is>
      </c>
      <c r="N84" s="46" t="inlineStr">
        <is>
          <t>FOB</t>
        </is>
      </c>
      <c r="O84" s="46" t="inlineStr">
        <is>
          <t>N</t>
        </is>
      </c>
      <c r="P84" s="50" t="n">
        <v>1306.0161</v>
      </c>
      <c r="Q84" s="49">
        <f>IF(OR(L84="",M84="",P84=""),"",L84*P84)</f>
        <v/>
      </c>
    </row>
    <row r="85" ht="15" customHeight="1" s="32">
      <c r="A85" s="46" t="inlineStr">
        <is>
          <t>R-HB-0084</t>
        </is>
      </c>
      <c r="B85" s="47" t="n">
        <v>44998</v>
      </c>
      <c r="C85" s="46" t="inlineStr">
        <is>
          <t>2023-03</t>
        </is>
      </c>
      <c r="D85" s="46" t="n">
        <v>2023</v>
      </c>
      <c r="E85" s="46" t="inlineStr">
        <is>
          <t>P-HB-002</t>
        </is>
      </c>
      <c r="F85" s="46" t="inlineStr">
        <is>
          <t>C-HB-01</t>
        </is>
      </c>
      <c r="G85" s="48" t="inlineStr">
        <is>
          <t>미국</t>
        </is>
      </c>
      <c r="H85" s="46" t="inlineStr">
        <is>
          <t>US</t>
        </is>
      </c>
      <c r="I85" s="49" t="n">
        <v>210</v>
      </c>
      <c r="J85" s="46" t="inlineStr">
        <is>
          <t>EA</t>
        </is>
      </c>
      <c r="K85" s="50" t="n">
        <v>0.46</v>
      </c>
      <c r="L85" s="50" t="n">
        <v>56735.14</v>
      </c>
      <c r="M85" s="46" t="inlineStr">
        <is>
          <t>USD</t>
        </is>
      </c>
      <c r="N85" s="46" t="inlineStr">
        <is>
          <t>FOB</t>
        </is>
      </c>
      <c r="O85" s="46" t="inlineStr">
        <is>
          <t>N</t>
        </is>
      </c>
      <c r="P85" s="50" t="n">
        <v>1306.0161</v>
      </c>
      <c r="Q85" s="49">
        <f>IF(OR(L85="",M85="",P85=""),"",L85*P85)</f>
        <v/>
      </c>
    </row>
    <row r="86" ht="15" customHeight="1" s="32">
      <c r="A86" s="46" t="inlineStr">
        <is>
          <t>R-HB-0085</t>
        </is>
      </c>
      <c r="B86" s="47" t="n">
        <v>44998</v>
      </c>
      <c r="C86" s="46" t="inlineStr">
        <is>
          <t>2023-03</t>
        </is>
      </c>
      <c r="D86" s="46" t="n">
        <v>2023</v>
      </c>
      <c r="E86" s="46" t="inlineStr">
        <is>
          <t>P-HB-001</t>
        </is>
      </c>
      <c r="F86" s="46" t="inlineStr">
        <is>
          <t>C-HB-05</t>
        </is>
      </c>
      <c r="G86" s="48" t="inlineStr">
        <is>
          <t>독일</t>
        </is>
      </c>
      <c r="H86" s="46" t="inlineStr">
        <is>
          <t>DE</t>
        </is>
      </c>
      <c r="I86" s="49" t="n">
        <v>136485</v>
      </c>
      <c r="J86" s="46" t="inlineStr">
        <is>
          <t>EA</t>
        </is>
      </c>
      <c r="K86" s="50" t="n">
        <v>61.42</v>
      </c>
      <c r="L86" s="50" t="n">
        <v>511163.12</v>
      </c>
      <c r="M86" s="46" t="inlineStr">
        <is>
          <t>USD</t>
        </is>
      </c>
      <c r="N86" s="46" t="inlineStr">
        <is>
          <t>FOB</t>
        </is>
      </c>
      <c r="O86" s="46" t="inlineStr">
        <is>
          <t>N</t>
        </is>
      </c>
      <c r="P86" s="50" t="n">
        <v>1306.0161</v>
      </c>
      <c r="Q86" s="49">
        <f>IF(OR(L86="",M86="",P86=""),"",L86*P86)</f>
        <v/>
      </c>
    </row>
    <row r="87" ht="15" customHeight="1" s="32">
      <c r="A87" s="46" t="inlineStr">
        <is>
          <t>R-HB-0086</t>
        </is>
      </c>
      <c r="B87" s="47" t="n">
        <v>44998</v>
      </c>
      <c r="C87" s="46" t="inlineStr">
        <is>
          <t>2023-03</t>
        </is>
      </c>
      <c r="D87" s="46" t="n">
        <v>2023</v>
      </c>
      <c r="E87" s="46" t="inlineStr">
        <is>
          <t>P-HB-002</t>
        </is>
      </c>
      <c r="F87" s="46" t="inlineStr">
        <is>
          <t>C-HB-06</t>
        </is>
      </c>
      <c r="G87" s="48" t="inlineStr">
        <is>
          <t>베트남</t>
        </is>
      </c>
      <c r="H87" s="46" t="inlineStr">
        <is>
          <t>VN</t>
        </is>
      </c>
      <c r="I87" s="49" t="n">
        <v>176</v>
      </c>
      <c r="J87" s="46" t="inlineStr">
        <is>
          <t>EA</t>
        </is>
      </c>
      <c r="K87" s="50" t="n">
        <v>0.39</v>
      </c>
      <c r="L87" s="50" t="n">
        <v>45067.22</v>
      </c>
      <c r="M87" s="46" t="inlineStr">
        <is>
          <t>USD</t>
        </is>
      </c>
      <c r="N87" s="46" t="inlineStr">
        <is>
          <t>FOB</t>
        </is>
      </c>
      <c r="O87" s="46" t="inlineStr">
        <is>
          <t>N</t>
        </is>
      </c>
      <c r="P87" s="50" t="n">
        <v>1306.0161</v>
      </c>
      <c r="Q87" s="49">
        <f>IF(OR(L87="",M87="",P87=""),"",L87*P87)</f>
        <v/>
      </c>
    </row>
    <row r="88" ht="15" customHeight="1" s="32">
      <c r="A88" s="46" t="inlineStr">
        <is>
          <t>R-HB-0087</t>
        </is>
      </c>
      <c r="B88" s="47" t="n">
        <v>44998</v>
      </c>
      <c r="C88" s="46" t="inlineStr">
        <is>
          <t>2023-03</t>
        </is>
      </c>
      <c r="D88" s="46" t="n">
        <v>2023</v>
      </c>
      <c r="E88" s="46" t="inlineStr">
        <is>
          <t>P-HB-003</t>
        </is>
      </c>
      <c r="F88" s="46" t="inlineStr">
        <is>
          <t>C-HB-07</t>
        </is>
      </c>
      <c r="G88" s="48" t="inlineStr">
        <is>
          <t>인도</t>
        </is>
      </c>
      <c r="H88" s="46" t="inlineStr">
        <is>
          <t>IN</t>
        </is>
      </c>
      <c r="I88" s="49" t="n">
        <v>26700</v>
      </c>
      <c r="J88" s="46" t="inlineStr">
        <is>
          <t>EA</t>
        </is>
      </c>
      <c r="K88" s="50" t="n">
        <v>17.36</v>
      </c>
      <c r="L88" s="50" t="n">
        <v>141764.25</v>
      </c>
      <c r="M88" s="46" t="inlineStr">
        <is>
          <t>USD</t>
        </is>
      </c>
      <c r="N88" s="46" t="inlineStr">
        <is>
          <t>FOB</t>
        </is>
      </c>
      <c r="O88" s="46" t="inlineStr">
        <is>
          <t>N</t>
        </is>
      </c>
      <c r="P88" s="50" t="n">
        <v>1306.0161</v>
      </c>
      <c r="Q88" s="49">
        <f>IF(OR(L88="",M88="",P88=""),"",L88*P88)</f>
        <v/>
      </c>
    </row>
    <row r="89" ht="15" customHeight="1" s="32">
      <c r="A89" s="46" t="inlineStr">
        <is>
          <t>R-HB-0088</t>
        </is>
      </c>
      <c r="B89" s="47" t="n">
        <v>44999</v>
      </c>
      <c r="C89" s="46" t="inlineStr">
        <is>
          <t>2023-03</t>
        </is>
      </c>
      <c r="D89" s="46" t="n">
        <v>2023</v>
      </c>
      <c r="E89" s="46" t="inlineStr">
        <is>
          <t>P-HB-001</t>
        </is>
      </c>
      <c r="F89" s="46" t="inlineStr">
        <is>
          <t>C-HB-01</t>
        </is>
      </c>
      <c r="G89" s="48" t="inlineStr">
        <is>
          <t>미국</t>
        </is>
      </c>
      <c r="H89" s="46" t="inlineStr">
        <is>
          <t>US</t>
        </is>
      </c>
      <c r="I89" s="49" t="n">
        <v>163314</v>
      </c>
      <c r="J89" s="46" t="inlineStr">
        <is>
          <t>EA</t>
        </is>
      </c>
      <c r="K89" s="50" t="n">
        <v>73.48999999999999</v>
      </c>
      <c r="L89" s="50" t="n">
        <v>605907.0600000001</v>
      </c>
      <c r="M89" s="46" t="inlineStr">
        <is>
          <t>USD</t>
        </is>
      </c>
      <c r="N89" s="46" t="inlineStr">
        <is>
          <t>FOB</t>
        </is>
      </c>
      <c r="O89" s="46" t="inlineStr">
        <is>
          <t>N</t>
        </is>
      </c>
      <c r="P89" s="50" t="n">
        <v>1306.0161</v>
      </c>
      <c r="Q89" s="49">
        <f>IF(OR(L89="",M89="",P89=""),"",L89*P89)</f>
        <v/>
      </c>
    </row>
    <row r="90" ht="15" customHeight="1" s="32">
      <c r="A90" s="46" t="inlineStr">
        <is>
          <t>R-HB-0089</t>
        </is>
      </c>
      <c r="B90" s="47" t="n">
        <v>45000</v>
      </c>
      <c r="C90" s="46" t="inlineStr">
        <is>
          <t>2023-03</t>
        </is>
      </c>
      <c r="D90" s="46" t="n">
        <v>2023</v>
      </c>
      <c r="E90" s="46" t="inlineStr">
        <is>
          <t>P-HB-001</t>
        </is>
      </c>
      <c r="F90" s="46" t="inlineStr">
        <is>
          <t>C-HB-02</t>
        </is>
      </c>
      <c r="G90" s="48" t="inlineStr">
        <is>
          <t>미국</t>
        </is>
      </c>
      <c r="H90" s="46" t="inlineStr">
        <is>
          <t>US</t>
        </is>
      </c>
      <c r="I90" s="49" t="n">
        <v>84857</v>
      </c>
      <c r="J90" s="46" t="inlineStr">
        <is>
          <t>EA</t>
        </is>
      </c>
      <c r="K90" s="50" t="n">
        <v>38.19</v>
      </c>
      <c r="L90" s="50" t="n">
        <v>323250.29</v>
      </c>
      <c r="M90" s="46" t="inlineStr">
        <is>
          <t>USD</t>
        </is>
      </c>
      <c r="N90" s="46" t="inlineStr">
        <is>
          <t>FOB</t>
        </is>
      </c>
      <c r="O90" s="46" t="inlineStr">
        <is>
          <t>N</t>
        </is>
      </c>
      <c r="P90" s="50" t="n">
        <v>1306.0161</v>
      </c>
      <c r="Q90" s="49">
        <f>IF(OR(L90="",M90="",P90=""),"",L90*P90)</f>
        <v/>
      </c>
    </row>
    <row r="91" ht="15" customHeight="1" s="32">
      <c r="A91" s="46" t="inlineStr">
        <is>
          <t>R-HB-0090</t>
        </is>
      </c>
      <c r="B91" s="47" t="n">
        <v>45000</v>
      </c>
      <c r="C91" s="46" t="inlineStr">
        <is>
          <t>2023-03</t>
        </is>
      </c>
      <c r="D91" s="46" t="n">
        <v>2023</v>
      </c>
      <c r="E91" s="46" t="inlineStr">
        <is>
          <t>P-HB-002</t>
        </is>
      </c>
      <c r="F91" s="46" t="inlineStr">
        <is>
          <t>C-HB-04</t>
        </is>
      </c>
      <c r="G91" s="48" t="inlineStr">
        <is>
          <t>캐나다</t>
        </is>
      </c>
      <c r="H91" s="46" t="inlineStr">
        <is>
          <t>CA</t>
        </is>
      </c>
      <c r="I91" s="49" t="n">
        <v>22</v>
      </c>
      <c r="J91" s="46" t="inlineStr">
        <is>
          <t>EA</t>
        </is>
      </c>
      <c r="K91" s="50" t="n">
        <v>0.05</v>
      </c>
      <c r="L91" s="50" t="n">
        <v>5699.06</v>
      </c>
      <c r="M91" s="46" t="inlineStr">
        <is>
          <t>USD</t>
        </is>
      </c>
      <c r="N91" s="46" t="inlineStr">
        <is>
          <t>FOB</t>
        </is>
      </c>
      <c r="O91" s="46" t="inlineStr">
        <is>
          <t>N</t>
        </is>
      </c>
      <c r="P91" s="50" t="n">
        <v>1306.0161</v>
      </c>
      <c r="Q91" s="49">
        <f>IF(OR(L91="",M91="",P91=""),"",L91*P91)</f>
        <v/>
      </c>
    </row>
    <row r="92" ht="15" customHeight="1" s="32">
      <c r="A92" s="46" t="inlineStr">
        <is>
          <t>R-HB-0091</t>
        </is>
      </c>
      <c r="B92" s="47" t="n">
        <v>45001</v>
      </c>
      <c r="C92" s="46" t="inlineStr">
        <is>
          <t>2023-03</t>
        </is>
      </c>
      <c r="D92" s="46" t="n">
        <v>2023</v>
      </c>
      <c r="E92" s="46" t="inlineStr">
        <is>
          <t>P-HB-003</t>
        </is>
      </c>
      <c r="F92" s="46" t="inlineStr">
        <is>
          <t>C-HB-08</t>
        </is>
      </c>
      <c r="G92" s="48" t="inlineStr">
        <is>
          <t>중국</t>
        </is>
      </c>
      <c r="H92" s="46" t="inlineStr">
        <is>
          <t>CN</t>
        </is>
      </c>
      <c r="I92" s="49" t="n">
        <v>53901</v>
      </c>
      <c r="J92" s="46" t="inlineStr">
        <is>
          <t>EA</t>
        </is>
      </c>
      <c r="K92" s="50" t="n">
        <v>35.04</v>
      </c>
      <c r="L92" s="50" t="n">
        <v>283737.43</v>
      </c>
      <c r="M92" s="46" t="inlineStr">
        <is>
          <t>USD</t>
        </is>
      </c>
      <c r="N92" s="46" t="inlineStr">
        <is>
          <t>FOB</t>
        </is>
      </c>
      <c r="O92" s="46" t="inlineStr">
        <is>
          <t>N</t>
        </is>
      </c>
      <c r="P92" s="50" t="n">
        <v>1306.0161</v>
      </c>
      <c r="Q92" s="49">
        <f>IF(OR(L92="",M92="",P92=""),"",L92*P92)</f>
        <v/>
      </c>
    </row>
    <row r="93" ht="15" customHeight="1" s="32">
      <c r="A93" s="46" t="inlineStr">
        <is>
          <t>R-HB-0092</t>
        </is>
      </c>
      <c r="B93" s="47" t="n">
        <v>45002</v>
      </c>
      <c r="C93" s="46" t="inlineStr">
        <is>
          <t>2023-03</t>
        </is>
      </c>
      <c r="D93" s="46" t="n">
        <v>2023</v>
      </c>
      <c r="E93" s="46" t="inlineStr">
        <is>
          <t>P-HB-003</t>
        </is>
      </c>
      <c r="F93" s="46" t="inlineStr">
        <is>
          <t>C-HB-06</t>
        </is>
      </c>
      <c r="G93" s="48" t="inlineStr">
        <is>
          <t>베트남</t>
        </is>
      </c>
      <c r="H93" s="46" t="inlineStr">
        <is>
          <t>VN</t>
        </is>
      </c>
      <c r="I93" s="49" t="n">
        <v>38265</v>
      </c>
      <c r="J93" s="46" t="inlineStr">
        <is>
          <t>EA</t>
        </is>
      </c>
      <c r="K93" s="50" t="n">
        <v>24.87</v>
      </c>
      <c r="L93" s="50" t="n">
        <v>200886.61</v>
      </c>
      <c r="M93" s="46" t="inlineStr">
        <is>
          <t>USD</t>
        </is>
      </c>
      <c r="N93" s="46" t="inlineStr">
        <is>
          <t>FOB</t>
        </is>
      </c>
      <c r="O93" s="46" t="inlineStr">
        <is>
          <t>N</t>
        </is>
      </c>
      <c r="P93" s="50" t="n">
        <v>1306.0161</v>
      </c>
      <c r="Q93" s="49">
        <f>IF(OR(L93="",M93="",P93=""),"",L93*P93)</f>
        <v/>
      </c>
    </row>
    <row r="94" ht="15" customHeight="1" s="32">
      <c r="A94" s="46" t="inlineStr">
        <is>
          <t>R-HB-0093</t>
        </is>
      </c>
      <c r="B94" s="47" t="n">
        <v>45003</v>
      </c>
      <c r="C94" s="46" t="inlineStr">
        <is>
          <t>2023-03</t>
        </is>
      </c>
      <c r="D94" s="46" t="n">
        <v>2023</v>
      </c>
      <c r="E94" s="46" t="inlineStr">
        <is>
          <t>P-HB-001</t>
        </is>
      </c>
      <c r="F94" s="46" t="inlineStr">
        <is>
          <t>C-HB-06</t>
        </is>
      </c>
      <c r="G94" s="48" t="inlineStr">
        <is>
          <t>베트남</t>
        </is>
      </c>
      <c r="H94" s="46" t="inlineStr">
        <is>
          <t>VN</t>
        </is>
      </c>
      <c r="I94" s="49" t="n">
        <v>102873</v>
      </c>
      <c r="J94" s="46" t="inlineStr">
        <is>
          <t>EA</t>
        </is>
      </c>
      <c r="K94" s="50" t="n">
        <v>46.29</v>
      </c>
      <c r="L94" s="50" t="n">
        <v>406232.68</v>
      </c>
      <c r="M94" s="46" t="inlineStr">
        <is>
          <t>USD</t>
        </is>
      </c>
      <c r="N94" s="46" t="inlineStr">
        <is>
          <t>FOB</t>
        </is>
      </c>
      <c r="O94" s="46" t="inlineStr">
        <is>
          <t>N</t>
        </is>
      </c>
      <c r="P94" s="50" t="n">
        <v>1306.0161</v>
      </c>
      <c r="Q94" s="49">
        <f>IF(OR(L94="",M94="",P94=""),"",L94*P94)</f>
        <v/>
      </c>
    </row>
    <row r="95" ht="15" customHeight="1" s="32">
      <c r="A95" s="46" t="inlineStr">
        <is>
          <t>R-HB-0094</t>
        </is>
      </c>
      <c r="B95" s="47" t="n">
        <v>45003</v>
      </c>
      <c r="C95" s="46" t="inlineStr">
        <is>
          <t>2023-03</t>
        </is>
      </c>
      <c r="D95" s="46" t="n">
        <v>2023</v>
      </c>
      <c r="E95" s="46" t="inlineStr">
        <is>
          <t>P-HB-001</t>
        </is>
      </c>
      <c r="F95" s="46" t="inlineStr">
        <is>
          <t>C-HB-07</t>
        </is>
      </c>
      <c r="G95" s="48" t="inlineStr">
        <is>
          <t>인도</t>
        </is>
      </c>
      <c r="H95" s="46" t="inlineStr">
        <is>
          <t>IN</t>
        </is>
      </c>
      <c r="I95" s="49" t="n">
        <v>74256</v>
      </c>
      <c r="J95" s="46" t="inlineStr">
        <is>
          <t>EA</t>
        </is>
      </c>
      <c r="K95" s="50" t="n">
        <v>33.42</v>
      </c>
      <c r="L95" s="50" t="n">
        <v>278284.63</v>
      </c>
      <c r="M95" s="46" t="inlineStr">
        <is>
          <t>USD</t>
        </is>
      </c>
      <c r="N95" s="46" t="inlineStr">
        <is>
          <t>FOB</t>
        </is>
      </c>
      <c r="O95" s="46" t="inlineStr">
        <is>
          <t>N</t>
        </is>
      </c>
      <c r="P95" s="50" t="n">
        <v>1306.0161</v>
      </c>
      <c r="Q95" s="49">
        <f>IF(OR(L95="",M95="",P95=""),"",L95*P95)</f>
        <v/>
      </c>
    </row>
    <row r="96" ht="15" customHeight="1" s="32">
      <c r="A96" s="46" t="inlineStr">
        <is>
          <t>R-HB-0095</t>
        </is>
      </c>
      <c r="B96" s="47" t="n">
        <v>45005</v>
      </c>
      <c r="C96" s="46" t="inlineStr">
        <is>
          <t>2023-03</t>
        </is>
      </c>
      <c r="D96" s="46" t="n">
        <v>2023</v>
      </c>
      <c r="E96" s="46" t="inlineStr">
        <is>
          <t>P-HB-003</t>
        </is>
      </c>
      <c r="F96" s="46" t="inlineStr">
        <is>
          <t>C-HB-01</t>
        </is>
      </c>
      <c r="G96" s="48" t="inlineStr">
        <is>
          <t>미국</t>
        </is>
      </c>
      <c r="H96" s="46" t="inlineStr">
        <is>
          <t>US</t>
        </is>
      </c>
      <c r="I96" s="49" t="n">
        <v>55298</v>
      </c>
      <c r="J96" s="46" t="inlineStr">
        <is>
          <t>EA</t>
        </is>
      </c>
      <c r="K96" s="50" t="n">
        <v>35.94</v>
      </c>
      <c r="L96" s="50" t="n">
        <v>286764.32</v>
      </c>
      <c r="M96" s="46" t="inlineStr">
        <is>
          <t>USD</t>
        </is>
      </c>
      <c r="N96" s="46" t="inlineStr">
        <is>
          <t>FOB</t>
        </is>
      </c>
      <c r="O96" s="46" t="inlineStr">
        <is>
          <t>N</t>
        </is>
      </c>
      <c r="P96" s="50" t="n">
        <v>1306.0161</v>
      </c>
      <c r="Q96" s="49">
        <f>IF(OR(L96="",M96="",P96=""),"",L96*P96)</f>
        <v/>
      </c>
    </row>
    <row r="97" ht="15" customHeight="1" s="32">
      <c r="A97" s="46" t="inlineStr">
        <is>
          <t>R-HB-0096</t>
        </is>
      </c>
      <c r="B97" s="47" t="n">
        <v>45005</v>
      </c>
      <c r="C97" s="46" t="inlineStr">
        <is>
          <t>2023-03</t>
        </is>
      </c>
      <c r="D97" s="46" t="n">
        <v>2023</v>
      </c>
      <c r="E97" s="46" t="inlineStr">
        <is>
          <t>P-HB-001</t>
        </is>
      </c>
      <c r="F97" s="46" t="inlineStr">
        <is>
          <t>C-HB-03</t>
        </is>
      </c>
      <c r="G97" s="48" t="inlineStr">
        <is>
          <t>멕시코</t>
        </is>
      </c>
      <c r="H97" s="46" t="inlineStr">
        <is>
          <t>MX</t>
        </is>
      </c>
      <c r="I97" s="49" t="n">
        <v>24628</v>
      </c>
      <c r="J97" s="46" t="inlineStr">
        <is>
          <t>EA</t>
        </is>
      </c>
      <c r="K97" s="50" t="n">
        <v>11.08</v>
      </c>
      <c r="L97" s="50" t="n">
        <v>97468.35000000001</v>
      </c>
      <c r="M97" s="46" t="inlineStr">
        <is>
          <t>USD</t>
        </is>
      </c>
      <c r="N97" s="46" t="inlineStr">
        <is>
          <t>FOB</t>
        </is>
      </c>
      <c r="O97" s="46" t="inlineStr">
        <is>
          <t>N</t>
        </is>
      </c>
      <c r="P97" s="50" t="n">
        <v>1306.0161</v>
      </c>
      <c r="Q97" s="49">
        <f>IF(OR(L97="",M97="",P97=""),"",L97*P97)</f>
        <v/>
      </c>
    </row>
    <row r="98" ht="15" customHeight="1" s="32">
      <c r="A98" s="46" t="inlineStr">
        <is>
          <t>R-HB-0097</t>
        </is>
      </c>
      <c r="B98" s="47" t="n">
        <v>45005</v>
      </c>
      <c r="C98" s="46" t="inlineStr">
        <is>
          <t>2023-03</t>
        </is>
      </c>
      <c r="D98" s="46" t="n">
        <v>2023</v>
      </c>
      <c r="E98" s="46" t="inlineStr">
        <is>
          <t>P-HB-001</t>
        </is>
      </c>
      <c r="F98" s="46" t="inlineStr">
        <is>
          <t>C-HB-04</t>
        </is>
      </c>
      <c r="G98" s="48" t="inlineStr">
        <is>
          <t>캐나다</t>
        </is>
      </c>
      <c r="H98" s="46" t="inlineStr">
        <is>
          <t>CA</t>
        </is>
      </c>
      <c r="I98" s="49" t="n">
        <v>14916</v>
      </c>
      <c r="J98" s="46" t="inlineStr">
        <is>
          <t>EA</t>
        </is>
      </c>
      <c r="K98" s="50" t="n">
        <v>6.71</v>
      </c>
      <c r="L98" s="50" t="n">
        <v>54811.02</v>
      </c>
      <c r="M98" s="46" t="inlineStr">
        <is>
          <t>USD</t>
        </is>
      </c>
      <c r="N98" s="46" t="inlineStr">
        <is>
          <t>FOB</t>
        </is>
      </c>
      <c r="O98" s="46" t="inlineStr">
        <is>
          <t>N</t>
        </is>
      </c>
      <c r="P98" s="50" t="n">
        <v>1306.0161</v>
      </c>
      <c r="Q98" s="49">
        <f>IF(OR(L98="",M98="",P98=""),"",L98*P98)</f>
        <v/>
      </c>
    </row>
    <row r="99" ht="15" customHeight="1" s="32">
      <c r="A99" s="46" t="inlineStr">
        <is>
          <t>R-HB-0098</t>
        </is>
      </c>
      <c r="B99" s="47" t="n">
        <v>45005</v>
      </c>
      <c r="C99" s="46" t="inlineStr">
        <is>
          <t>2023-03</t>
        </is>
      </c>
      <c r="D99" s="46" t="n">
        <v>2023</v>
      </c>
      <c r="E99" s="46" t="inlineStr">
        <is>
          <t>P-HB-004</t>
        </is>
      </c>
      <c r="F99" s="46" t="inlineStr">
        <is>
          <t>C-HB-06</t>
        </is>
      </c>
      <c r="G99" s="48" t="inlineStr">
        <is>
          <t>베트남</t>
        </is>
      </c>
      <c r="H99" s="46" t="inlineStr">
        <is>
          <t>VN</t>
        </is>
      </c>
      <c r="I99" s="49" t="n">
        <v>11798</v>
      </c>
      <c r="J99" s="46" t="inlineStr">
        <is>
          <t>EA</t>
        </is>
      </c>
      <c r="K99" s="50" t="n">
        <v>12.98</v>
      </c>
      <c r="L99" s="50" t="n">
        <v>328686.15</v>
      </c>
      <c r="M99" s="46" t="inlineStr">
        <is>
          <t>USD</t>
        </is>
      </c>
      <c r="N99" s="46" t="inlineStr">
        <is>
          <t>FOB</t>
        </is>
      </c>
      <c r="O99" s="46" t="inlineStr">
        <is>
          <t>N</t>
        </is>
      </c>
      <c r="P99" s="50" t="n">
        <v>1306.0161</v>
      </c>
      <c r="Q99" s="49">
        <f>IF(OR(L99="",M99="",P99=""),"",L99*P99)</f>
        <v/>
      </c>
    </row>
    <row r="100" ht="15" customHeight="1" s="32">
      <c r="A100" s="46" t="inlineStr">
        <is>
          <t>R-HB-0099</t>
        </is>
      </c>
      <c r="B100" s="47" t="n">
        <v>45005</v>
      </c>
      <c r="C100" s="46" t="inlineStr">
        <is>
          <t>2023-03</t>
        </is>
      </c>
      <c r="D100" s="46" t="n">
        <v>2023</v>
      </c>
      <c r="E100" s="46" t="inlineStr">
        <is>
          <t>P-HB-002</t>
        </is>
      </c>
      <c r="F100" s="46" t="inlineStr">
        <is>
          <t>C-HB-08</t>
        </is>
      </c>
      <c r="G100" s="48" t="inlineStr">
        <is>
          <t>중국</t>
        </is>
      </c>
      <c r="H100" s="46" t="inlineStr">
        <is>
          <t>CN</t>
        </is>
      </c>
      <c r="I100" s="49" t="n">
        <v>211</v>
      </c>
      <c r="J100" s="46" t="inlineStr">
        <is>
          <t>EA</t>
        </is>
      </c>
      <c r="K100" s="50" t="n">
        <v>0.46</v>
      </c>
      <c r="L100" s="50" t="n">
        <v>57182.02</v>
      </c>
      <c r="M100" s="46" t="inlineStr">
        <is>
          <t>USD</t>
        </is>
      </c>
      <c r="N100" s="46" t="inlineStr">
        <is>
          <t>FOB</t>
        </is>
      </c>
      <c r="O100" s="46" t="inlineStr">
        <is>
          <t>N</t>
        </is>
      </c>
      <c r="P100" s="50" t="n">
        <v>1306.0161</v>
      </c>
      <c r="Q100" s="49">
        <f>IF(OR(L100="",M100="",P100=""),"",L100*P100)</f>
        <v/>
      </c>
    </row>
    <row r="101" ht="15" customHeight="1" s="32">
      <c r="A101" s="46" t="inlineStr">
        <is>
          <t>R-HB-0100</t>
        </is>
      </c>
      <c r="B101" s="47" t="n">
        <v>45007</v>
      </c>
      <c r="C101" s="46" t="inlineStr">
        <is>
          <t>2023-03</t>
        </is>
      </c>
      <c r="D101" s="46" t="n">
        <v>2023</v>
      </c>
      <c r="E101" s="46" t="inlineStr">
        <is>
          <t>P-HB-004</t>
        </is>
      </c>
      <c r="F101" s="46" t="inlineStr">
        <is>
          <t>C-HB-02</t>
        </is>
      </c>
      <c r="G101" s="48" t="inlineStr">
        <is>
          <t>미국</t>
        </is>
      </c>
      <c r="H101" s="46" t="inlineStr">
        <is>
          <t>US</t>
        </is>
      </c>
      <c r="I101" s="49" t="n">
        <v>9632</v>
      </c>
      <c r="J101" s="46" t="inlineStr">
        <is>
          <t>EA</t>
        </is>
      </c>
      <c r="K101" s="50" t="n">
        <v>10.6</v>
      </c>
      <c r="L101" s="50" t="n">
        <v>268667.57</v>
      </c>
      <c r="M101" s="46" t="inlineStr">
        <is>
          <t>USD</t>
        </is>
      </c>
      <c r="N101" s="46" t="inlineStr">
        <is>
          <t>FOB</t>
        </is>
      </c>
      <c r="O101" s="46" t="inlineStr">
        <is>
          <t>N</t>
        </is>
      </c>
      <c r="P101" s="50" t="n">
        <v>1306.0161</v>
      </c>
      <c r="Q101" s="49">
        <f>IF(OR(L101="",M101="",P101=""),"",L101*P101)</f>
        <v/>
      </c>
    </row>
    <row r="102" ht="15" customHeight="1" s="32">
      <c r="A102" s="46" t="inlineStr">
        <is>
          <t>R-HB-0101</t>
        </is>
      </c>
      <c r="B102" s="47" t="n">
        <v>45010</v>
      </c>
      <c r="C102" s="46" t="inlineStr">
        <is>
          <t>2023-03</t>
        </is>
      </c>
      <c r="D102" s="46" t="n">
        <v>2023</v>
      </c>
      <c r="E102" s="46" t="inlineStr">
        <is>
          <t>P-HB-002</t>
        </is>
      </c>
      <c r="F102" s="46" t="inlineStr">
        <is>
          <t>C-HB-02</t>
        </is>
      </c>
      <c r="G102" s="48" t="inlineStr">
        <is>
          <t>미국</t>
        </is>
      </c>
      <c r="H102" s="46" t="inlineStr">
        <is>
          <t>US</t>
        </is>
      </c>
      <c r="I102" s="49" t="n">
        <v>126</v>
      </c>
      <c r="J102" s="46" t="inlineStr">
        <is>
          <t>EA</t>
        </is>
      </c>
      <c r="K102" s="50" t="n">
        <v>0.28</v>
      </c>
      <c r="L102" s="50" t="n">
        <v>32708.25</v>
      </c>
      <c r="M102" s="46" t="inlineStr">
        <is>
          <t>USD</t>
        </is>
      </c>
      <c r="N102" s="46" t="inlineStr">
        <is>
          <t>FOB</t>
        </is>
      </c>
      <c r="O102" s="46" t="inlineStr">
        <is>
          <t>N</t>
        </is>
      </c>
      <c r="P102" s="50" t="n">
        <v>1306.0161</v>
      </c>
      <c r="Q102" s="49">
        <f>IF(OR(L102="",M102="",P102=""),"",L102*P102)</f>
        <v/>
      </c>
    </row>
    <row r="103" ht="15" customHeight="1" s="32">
      <c r="A103" s="46" t="inlineStr">
        <is>
          <t>R-HB-0102</t>
        </is>
      </c>
      <c r="B103" s="47" t="n">
        <v>45010</v>
      </c>
      <c r="C103" s="46" t="inlineStr">
        <is>
          <t>2023-03</t>
        </is>
      </c>
      <c r="D103" s="46" t="n">
        <v>2023</v>
      </c>
      <c r="E103" s="46" t="inlineStr">
        <is>
          <t>P-HB-004</t>
        </is>
      </c>
      <c r="F103" s="46" t="inlineStr">
        <is>
          <t>C-HB-03</t>
        </is>
      </c>
      <c r="G103" s="48" t="inlineStr">
        <is>
          <t>멕시코</t>
        </is>
      </c>
      <c r="H103" s="46" t="inlineStr">
        <is>
          <t>MX</t>
        </is>
      </c>
      <c r="I103" s="49" t="n">
        <v>3111</v>
      </c>
      <c r="J103" s="46" t="inlineStr">
        <is>
          <t>EA</t>
        </is>
      </c>
      <c r="K103" s="50" t="n">
        <v>3.42</v>
      </c>
      <c r="L103" s="50" t="n">
        <v>86126.28</v>
      </c>
      <c r="M103" s="46" t="inlineStr">
        <is>
          <t>USD</t>
        </is>
      </c>
      <c r="N103" s="46" t="inlineStr">
        <is>
          <t>FOB</t>
        </is>
      </c>
      <c r="O103" s="46" t="inlineStr">
        <is>
          <t>N</t>
        </is>
      </c>
      <c r="P103" s="50" t="n">
        <v>1306.0161</v>
      </c>
      <c r="Q103" s="49">
        <f>IF(OR(L103="",M103="",P103=""),"",L103*P103)</f>
        <v/>
      </c>
    </row>
    <row r="104" ht="15" customHeight="1" s="32">
      <c r="A104" s="46" t="inlineStr">
        <is>
          <t>R-HB-0103</t>
        </is>
      </c>
      <c r="B104" s="47" t="n">
        <v>45010</v>
      </c>
      <c r="C104" s="46" t="inlineStr">
        <is>
          <t>2023-03</t>
        </is>
      </c>
      <c r="D104" s="46" t="n">
        <v>2023</v>
      </c>
      <c r="E104" s="46" t="inlineStr">
        <is>
          <t>P-HB-004</t>
        </is>
      </c>
      <c r="F104" s="46" t="inlineStr">
        <is>
          <t>C-HB-05</t>
        </is>
      </c>
      <c r="G104" s="48" t="inlineStr">
        <is>
          <t>독일</t>
        </is>
      </c>
      <c r="H104" s="46" t="inlineStr">
        <is>
          <t>DE</t>
        </is>
      </c>
      <c r="I104" s="49" t="n">
        <v>14456</v>
      </c>
      <c r="J104" s="46" t="inlineStr">
        <is>
          <t>EA</t>
        </is>
      </c>
      <c r="K104" s="50" t="n">
        <v>15.9</v>
      </c>
      <c r="L104" s="50" t="n">
        <v>420539.7</v>
      </c>
      <c r="M104" s="46" t="inlineStr">
        <is>
          <t>USD</t>
        </is>
      </c>
      <c r="N104" s="46" t="inlineStr">
        <is>
          <t>FOB</t>
        </is>
      </c>
      <c r="O104" s="46" t="inlineStr">
        <is>
          <t>N</t>
        </is>
      </c>
      <c r="P104" s="50" t="n">
        <v>1306.0161</v>
      </c>
      <c r="Q104" s="49">
        <f>IF(OR(L104="",M104="",P104=""),"",L104*P104)</f>
        <v/>
      </c>
    </row>
    <row r="105" ht="15" customHeight="1" s="32">
      <c r="A105" s="46" t="inlineStr">
        <is>
          <t>R-HB-0104</t>
        </is>
      </c>
      <c r="B105" s="47" t="n">
        <v>45010</v>
      </c>
      <c r="C105" s="46" t="inlineStr">
        <is>
          <t>2023-03</t>
        </is>
      </c>
      <c r="D105" s="46" t="n">
        <v>2023</v>
      </c>
      <c r="E105" s="46" t="inlineStr">
        <is>
          <t>P-HB-003</t>
        </is>
      </c>
      <c r="F105" s="46" t="inlineStr">
        <is>
          <t>C-HB-09</t>
        </is>
      </c>
      <c r="G105" s="48" t="inlineStr">
        <is>
          <t>중국</t>
        </is>
      </c>
      <c r="H105" s="46" t="inlineStr">
        <is>
          <t>CN</t>
        </is>
      </c>
      <c r="I105" s="49" t="n">
        <v>33902</v>
      </c>
      <c r="J105" s="46" t="inlineStr">
        <is>
          <t>EA</t>
        </is>
      </c>
      <c r="K105" s="50" t="n">
        <v>22.04</v>
      </c>
      <c r="L105" s="50" t="n">
        <v>184460.46</v>
      </c>
      <c r="M105" s="46" t="inlineStr">
        <is>
          <t>USD</t>
        </is>
      </c>
      <c r="N105" s="46" t="inlineStr">
        <is>
          <t>FOB</t>
        </is>
      </c>
      <c r="O105" s="46" t="inlineStr">
        <is>
          <t>N</t>
        </is>
      </c>
      <c r="P105" s="50" t="n">
        <v>1306.0161</v>
      </c>
      <c r="Q105" s="49">
        <f>IF(OR(L105="",M105="",P105=""),"",L105*P105)</f>
        <v/>
      </c>
    </row>
    <row r="106" ht="15" customHeight="1" s="32">
      <c r="A106" s="46" t="inlineStr">
        <is>
          <t>R-HB-0105</t>
        </is>
      </c>
      <c r="B106" s="47" t="n">
        <v>45011</v>
      </c>
      <c r="C106" s="46" t="inlineStr">
        <is>
          <t>2023-03</t>
        </is>
      </c>
      <c r="D106" s="46" t="n">
        <v>2023</v>
      </c>
      <c r="E106" s="46" t="inlineStr">
        <is>
          <t>P-HB-002</t>
        </is>
      </c>
      <c r="F106" s="46" t="inlineStr">
        <is>
          <t>C-HB-05</t>
        </is>
      </c>
      <c r="G106" s="48" t="inlineStr">
        <is>
          <t>독일</t>
        </is>
      </c>
      <c r="H106" s="46" t="inlineStr">
        <is>
          <t>DE</t>
        </is>
      </c>
      <c r="I106" s="49" t="n">
        <v>188</v>
      </c>
      <c r="J106" s="46" t="inlineStr">
        <is>
          <t>EA</t>
        </is>
      </c>
      <c r="K106" s="50" t="n">
        <v>0.41</v>
      </c>
      <c r="L106" s="50" t="n">
        <v>48516.42</v>
      </c>
      <c r="M106" s="46" t="inlineStr">
        <is>
          <t>USD</t>
        </is>
      </c>
      <c r="N106" s="46" t="inlineStr">
        <is>
          <t>FOB</t>
        </is>
      </c>
      <c r="O106" s="46" t="inlineStr">
        <is>
          <t>N</t>
        </is>
      </c>
      <c r="P106" s="50" t="n">
        <v>1306.0161</v>
      </c>
      <c r="Q106" s="49">
        <f>IF(OR(L106="",M106="",P106=""),"",L106*P106)</f>
        <v/>
      </c>
    </row>
    <row r="107" ht="15" customHeight="1" s="32">
      <c r="A107" s="46" t="inlineStr">
        <is>
          <t>R-HB-0106</t>
        </is>
      </c>
      <c r="B107" s="47" t="n">
        <v>45011</v>
      </c>
      <c r="C107" s="46" t="inlineStr">
        <is>
          <t>2023-03</t>
        </is>
      </c>
      <c r="D107" s="46" t="n">
        <v>2023</v>
      </c>
      <c r="E107" s="46" t="inlineStr">
        <is>
          <t>P-HB-003</t>
        </is>
      </c>
      <c r="F107" s="46" t="inlineStr">
        <is>
          <t>C-HB-05</t>
        </is>
      </c>
      <c r="G107" s="48" t="inlineStr">
        <is>
          <t>독일</t>
        </is>
      </c>
      <c r="H107" s="46" t="inlineStr">
        <is>
          <t>DE</t>
        </is>
      </c>
      <c r="I107" s="49" t="n">
        <v>44258</v>
      </c>
      <c r="J107" s="46" t="inlineStr">
        <is>
          <t>EA</t>
        </is>
      </c>
      <c r="K107" s="50" t="n">
        <v>28.77</v>
      </c>
      <c r="L107" s="50" t="n">
        <v>243942.26</v>
      </c>
      <c r="M107" s="46" t="inlineStr">
        <is>
          <t>USD</t>
        </is>
      </c>
      <c r="N107" s="46" t="inlineStr">
        <is>
          <t>FOB</t>
        </is>
      </c>
      <c r="O107" s="46" t="inlineStr">
        <is>
          <t>N</t>
        </is>
      </c>
      <c r="P107" s="50" t="n">
        <v>1306.0161</v>
      </c>
      <c r="Q107" s="49">
        <f>IF(OR(L107="",M107="",P107=""),"",L107*P107)</f>
        <v/>
      </c>
    </row>
    <row r="108" ht="15" customHeight="1" s="32">
      <c r="A108" s="46" t="inlineStr">
        <is>
          <t>R-HB-0107</t>
        </is>
      </c>
      <c r="B108" s="47" t="n">
        <v>45012</v>
      </c>
      <c r="C108" s="46" t="inlineStr">
        <is>
          <t>2023-03</t>
        </is>
      </c>
      <c r="D108" s="46" t="n">
        <v>2023</v>
      </c>
      <c r="E108" s="46" t="inlineStr">
        <is>
          <t>P-HB-003</t>
        </is>
      </c>
      <c r="F108" s="46" t="inlineStr">
        <is>
          <t>C-HB-03</t>
        </is>
      </c>
      <c r="G108" s="48" t="inlineStr">
        <is>
          <t>멕시코</t>
        </is>
      </c>
      <c r="H108" s="46" t="inlineStr">
        <is>
          <t>MX</t>
        </is>
      </c>
      <c r="I108" s="49" t="n">
        <v>10415</v>
      </c>
      <c r="J108" s="46" t="inlineStr">
        <is>
          <t>EA</t>
        </is>
      </c>
      <c r="K108" s="50" t="n">
        <v>6.77</v>
      </c>
      <c r="L108" s="50" t="n">
        <v>54575.22</v>
      </c>
      <c r="M108" s="46" t="inlineStr">
        <is>
          <t>USD</t>
        </is>
      </c>
      <c r="N108" s="46" t="inlineStr">
        <is>
          <t>FOB</t>
        </is>
      </c>
      <c r="O108" s="46" t="inlineStr">
        <is>
          <t>N</t>
        </is>
      </c>
      <c r="P108" s="50" t="n">
        <v>1306.0161</v>
      </c>
      <c r="Q108" s="49">
        <f>IF(OR(L108="",M108="",P108=""),"",L108*P108)</f>
        <v/>
      </c>
    </row>
    <row r="109" ht="15" customHeight="1" s="32">
      <c r="A109" s="46" t="inlineStr">
        <is>
          <t>R-HB-0108</t>
        </is>
      </c>
      <c r="B109" s="47" t="n">
        <v>45012</v>
      </c>
      <c r="C109" s="46" t="inlineStr">
        <is>
          <t>2023-03</t>
        </is>
      </c>
      <c r="D109" s="46" t="n">
        <v>2023</v>
      </c>
      <c r="E109" s="46" t="inlineStr">
        <is>
          <t>P-HB-004</t>
        </is>
      </c>
      <c r="F109" s="46" t="inlineStr">
        <is>
          <t>C-HB-08</t>
        </is>
      </c>
      <c r="G109" s="48" t="inlineStr">
        <is>
          <t>중국</t>
        </is>
      </c>
      <c r="H109" s="46" t="inlineStr">
        <is>
          <t>CN</t>
        </is>
      </c>
      <c r="I109" s="49" t="n">
        <v>14747</v>
      </c>
      <c r="J109" s="46" t="inlineStr">
        <is>
          <t>EA</t>
        </is>
      </c>
      <c r="K109" s="50" t="n">
        <v>16.22</v>
      </c>
      <c r="L109" s="50" t="n">
        <v>409584</v>
      </c>
      <c r="M109" s="46" t="inlineStr">
        <is>
          <t>USD</t>
        </is>
      </c>
      <c r="N109" s="46" t="inlineStr">
        <is>
          <t>FOB</t>
        </is>
      </c>
      <c r="O109" s="46" t="inlineStr">
        <is>
          <t>N</t>
        </is>
      </c>
      <c r="P109" s="50" t="n">
        <v>1306.0161</v>
      </c>
      <c r="Q109" s="49">
        <f>IF(OR(L109="",M109="",P109=""),"",L109*P109)</f>
        <v/>
      </c>
    </row>
    <row r="110" ht="15" customHeight="1" s="32">
      <c r="A110" s="46" t="inlineStr">
        <is>
          <t>R-HB-0109</t>
        </is>
      </c>
      <c r="B110" s="47" t="n">
        <v>45019</v>
      </c>
      <c r="C110" s="46" t="inlineStr">
        <is>
          <t>2023-04</t>
        </is>
      </c>
      <c r="D110" s="46" t="n">
        <v>2023</v>
      </c>
      <c r="E110" s="46" t="inlineStr">
        <is>
          <t>P-HB-002</t>
        </is>
      </c>
      <c r="F110" s="46" t="inlineStr">
        <is>
          <t>C-HB-03</t>
        </is>
      </c>
      <c r="G110" s="48" t="inlineStr">
        <is>
          <t>멕시코</t>
        </is>
      </c>
      <c r="H110" s="46" t="inlineStr">
        <is>
          <t>MX</t>
        </is>
      </c>
      <c r="I110" s="49" t="n">
        <v>46</v>
      </c>
      <c r="J110" s="46" t="inlineStr">
        <is>
          <t>EA</t>
        </is>
      </c>
      <c r="K110" s="50" t="n">
        <v>0.1</v>
      </c>
      <c r="L110" s="50" t="n">
        <v>10973.05</v>
      </c>
      <c r="M110" s="46" t="inlineStr">
        <is>
          <t>USD</t>
        </is>
      </c>
      <c r="N110" s="46" t="inlineStr">
        <is>
          <t>FOB</t>
        </is>
      </c>
      <c r="O110" s="46" t="inlineStr">
        <is>
          <t>N</t>
        </is>
      </c>
      <c r="P110" s="50" t="n">
        <v>1322.057</v>
      </c>
      <c r="Q110" s="49">
        <f>IF(OR(L110="",M110="",P110=""),"",L110*P110)</f>
        <v/>
      </c>
    </row>
    <row r="111" ht="15" customHeight="1" s="32">
      <c r="A111" s="46" t="inlineStr">
        <is>
          <t>R-HB-0110</t>
        </is>
      </c>
      <c r="B111" s="47" t="n">
        <v>45019</v>
      </c>
      <c r="C111" s="46" t="inlineStr">
        <is>
          <t>2023-04</t>
        </is>
      </c>
      <c r="D111" s="46" t="n">
        <v>2023</v>
      </c>
      <c r="E111" s="46" t="inlineStr">
        <is>
          <t>P-HB-004</t>
        </is>
      </c>
      <c r="F111" s="46" t="inlineStr">
        <is>
          <t>C-HB-05</t>
        </is>
      </c>
      <c r="G111" s="48" t="inlineStr">
        <is>
          <t>독일</t>
        </is>
      </c>
      <c r="H111" s="46" t="inlineStr">
        <is>
          <t>DE</t>
        </is>
      </c>
      <c r="I111" s="49" t="n">
        <v>13576</v>
      </c>
      <c r="J111" s="46" t="inlineStr">
        <is>
          <t>EA</t>
        </is>
      </c>
      <c r="K111" s="50" t="n">
        <v>14.93</v>
      </c>
      <c r="L111" s="50" t="n">
        <v>394538.52</v>
      </c>
      <c r="M111" s="46" t="inlineStr">
        <is>
          <t>USD</t>
        </is>
      </c>
      <c r="N111" s="46" t="inlineStr">
        <is>
          <t>FOB</t>
        </is>
      </c>
      <c r="O111" s="46" t="inlineStr">
        <is>
          <t>N</t>
        </is>
      </c>
      <c r="P111" s="50" t="n">
        <v>1322.057</v>
      </c>
      <c r="Q111" s="49">
        <f>IF(OR(L111="",M111="",P111=""),"",L111*P111)</f>
        <v/>
      </c>
    </row>
    <row r="112" ht="15" customHeight="1" s="32">
      <c r="A112" s="46" t="inlineStr">
        <is>
          <t>R-HB-0111</t>
        </is>
      </c>
      <c r="B112" s="47" t="n">
        <v>45019</v>
      </c>
      <c r="C112" s="46" t="inlineStr">
        <is>
          <t>2023-04</t>
        </is>
      </c>
      <c r="D112" s="46" t="n">
        <v>2023</v>
      </c>
      <c r="E112" s="46" t="inlineStr">
        <is>
          <t>P-HB-003</t>
        </is>
      </c>
      <c r="F112" s="46" t="inlineStr">
        <is>
          <t>C-HB-06</t>
        </is>
      </c>
      <c r="G112" s="48" t="inlineStr">
        <is>
          <t>베트남</t>
        </is>
      </c>
      <c r="H112" s="46" t="inlineStr">
        <is>
          <t>VN</t>
        </is>
      </c>
      <c r="I112" s="49" t="n">
        <v>39686</v>
      </c>
      <c r="J112" s="46" t="inlineStr">
        <is>
          <t>EA</t>
        </is>
      </c>
      <c r="K112" s="50" t="n">
        <v>25.8</v>
      </c>
      <c r="L112" s="50" t="n">
        <v>194369.2</v>
      </c>
      <c r="M112" s="46" t="inlineStr">
        <is>
          <t>USD</t>
        </is>
      </c>
      <c r="N112" s="46" t="inlineStr">
        <is>
          <t>FOB</t>
        </is>
      </c>
      <c r="O112" s="46" t="inlineStr">
        <is>
          <t>N</t>
        </is>
      </c>
      <c r="P112" s="50" t="n">
        <v>1322.057</v>
      </c>
      <c r="Q112" s="49">
        <f>IF(OR(L112="",M112="",P112=""),"",L112*P112)</f>
        <v/>
      </c>
    </row>
    <row r="113" ht="15" customHeight="1" s="32">
      <c r="A113" s="46" t="inlineStr">
        <is>
          <t>R-HB-0112</t>
        </is>
      </c>
      <c r="B113" s="47" t="n">
        <v>45020</v>
      </c>
      <c r="C113" s="46" t="inlineStr">
        <is>
          <t>2023-04</t>
        </is>
      </c>
      <c r="D113" s="46" t="n">
        <v>2023</v>
      </c>
      <c r="E113" s="46" t="inlineStr">
        <is>
          <t>P-HB-002</t>
        </is>
      </c>
      <c r="F113" s="46" t="inlineStr">
        <is>
          <t>C-HB-01</t>
        </is>
      </c>
      <c r="G113" s="48" t="inlineStr">
        <is>
          <t>미국</t>
        </is>
      </c>
      <c r="H113" s="46" t="inlineStr">
        <is>
          <t>US</t>
        </is>
      </c>
      <c r="I113" s="49" t="n">
        <v>232</v>
      </c>
      <c r="J113" s="46" t="inlineStr">
        <is>
          <t>EA</t>
        </is>
      </c>
      <c r="K113" s="50" t="n">
        <v>0.51</v>
      </c>
      <c r="L113" s="50" t="n">
        <v>56518.92</v>
      </c>
      <c r="M113" s="46" t="inlineStr">
        <is>
          <t>USD</t>
        </is>
      </c>
      <c r="N113" s="46" t="inlineStr">
        <is>
          <t>FOB</t>
        </is>
      </c>
      <c r="O113" s="46" t="inlineStr">
        <is>
          <t>N</t>
        </is>
      </c>
      <c r="P113" s="50" t="n">
        <v>1322.057</v>
      </c>
      <c r="Q113" s="49">
        <f>IF(OR(L113="",M113="",P113=""),"",L113*P113)</f>
        <v/>
      </c>
    </row>
    <row r="114" ht="15" customHeight="1" s="32">
      <c r="A114" s="46" t="inlineStr">
        <is>
          <t>R-HB-0113</t>
        </is>
      </c>
      <c r="B114" s="47" t="n">
        <v>45020</v>
      </c>
      <c r="C114" s="46" t="inlineStr">
        <is>
          <t>2023-04</t>
        </is>
      </c>
      <c r="D114" s="46" t="n">
        <v>2023</v>
      </c>
      <c r="E114" s="46" t="inlineStr">
        <is>
          <t>P-HB-003</t>
        </is>
      </c>
      <c r="F114" s="46" t="inlineStr">
        <is>
          <t>C-HB-01</t>
        </is>
      </c>
      <c r="G114" s="48" t="inlineStr">
        <is>
          <t>미국</t>
        </is>
      </c>
      <c r="H114" s="46" t="inlineStr">
        <is>
          <t>US</t>
        </is>
      </c>
      <c r="I114" s="49" t="n">
        <v>58784</v>
      </c>
      <c r="J114" s="46" t="inlineStr">
        <is>
          <t>EA</t>
        </is>
      </c>
      <c r="K114" s="50" t="n">
        <v>38.21</v>
      </c>
      <c r="L114" s="50" t="n">
        <v>289314.21</v>
      </c>
      <c r="M114" s="46" t="inlineStr">
        <is>
          <t>USD</t>
        </is>
      </c>
      <c r="N114" s="46" t="inlineStr">
        <is>
          <t>FOB</t>
        </is>
      </c>
      <c r="O114" s="46" t="inlineStr">
        <is>
          <t>N</t>
        </is>
      </c>
      <c r="P114" s="50" t="n">
        <v>1322.057</v>
      </c>
      <c r="Q114" s="49">
        <f>IF(OR(L114="",M114="",P114=""),"",L114*P114)</f>
        <v/>
      </c>
    </row>
    <row r="115" ht="15" customHeight="1" s="32">
      <c r="A115" s="46" t="inlineStr">
        <is>
          <t>R-HB-0114</t>
        </is>
      </c>
      <c r="B115" s="47" t="n">
        <v>45020</v>
      </c>
      <c r="C115" s="46" t="inlineStr">
        <is>
          <t>2023-04</t>
        </is>
      </c>
      <c r="D115" s="46" t="n">
        <v>2023</v>
      </c>
      <c r="E115" s="46" t="inlineStr">
        <is>
          <t>P-HB-004</t>
        </is>
      </c>
      <c r="F115" s="46" t="inlineStr">
        <is>
          <t>C-HB-07</t>
        </is>
      </c>
      <c r="G115" s="48" t="inlineStr">
        <is>
          <t>인도</t>
        </is>
      </c>
      <c r="H115" s="46" t="inlineStr">
        <is>
          <t>IN</t>
        </is>
      </c>
      <c r="I115" s="49" t="n">
        <v>7626</v>
      </c>
      <c r="J115" s="46" t="inlineStr">
        <is>
          <t>EA</t>
        </is>
      </c>
      <c r="K115" s="50" t="n">
        <v>8.390000000000001</v>
      </c>
      <c r="L115" s="50" t="n">
        <v>214106.39</v>
      </c>
      <c r="M115" s="46" t="inlineStr">
        <is>
          <t>USD</t>
        </is>
      </c>
      <c r="N115" s="46" t="inlineStr">
        <is>
          <t>FOB</t>
        </is>
      </c>
      <c r="O115" s="46" t="inlineStr">
        <is>
          <t>N</t>
        </is>
      </c>
      <c r="P115" s="50" t="n">
        <v>1322.057</v>
      </c>
      <c r="Q115" s="49">
        <f>IF(OR(L115="",M115="",P115=""),"",L115*P115)</f>
        <v/>
      </c>
    </row>
    <row r="116" ht="15" customHeight="1" s="32">
      <c r="A116" s="46" t="inlineStr">
        <is>
          <t>R-HB-0115</t>
        </is>
      </c>
      <c r="B116" s="47" t="n">
        <v>45020</v>
      </c>
      <c r="C116" s="46" t="inlineStr">
        <is>
          <t>2023-04</t>
        </is>
      </c>
      <c r="D116" s="46" t="n">
        <v>2023</v>
      </c>
      <c r="E116" s="46" t="inlineStr">
        <is>
          <t>P-HB-004</t>
        </is>
      </c>
      <c r="F116" s="46" t="inlineStr">
        <is>
          <t>C-HB-08</t>
        </is>
      </c>
      <c r="G116" s="48" t="inlineStr">
        <is>
          <t>중국</t>
        </is>
      </c>
      <c r="H116" s="46" t="inlineStr">
        <is>
          <t>CN</t>
        </is>
      </c>
      <c r="I116" s="49" t="n">
        <v>13294</v>
      </c>
      <c r="J116" s="46" t="inlineStr">
        <is>
          <t>EA</t>
        </is>
      </c>
      <c r="K116" s="50" t="n">
        <v>14.62</v>
      </c>
      <c r="L116" s="50" t="n">
        <v>370528.5</v>
      </c>
      <c r="M116" s="46" t="inlineStr">
        <is>
          <t>USD</t>
        </is>
      </c>
      <c r="N116" s="46" t="inlineStr">
        <is>
          <t>FOB</t>
        </is>
      </c>
      <c r="O116" s="46" t="inlineStr">
        <is>
          <t>N</t>
        </is>
      </c>
      <c r="P116" s="50" t="n">
        <v>1322.057</v>
      </c>
      <c r="Q116" s="49">
        <f>IF(OR(L116="",M116="",P116=""),"",L116*P116)</f>
        <v/>
      </c>
    </row>
    <row r="117" ht="15" customHeight="1" s="32">
      <c r="A117" s="46" t="inlineStr">
        <is>
          <t>R-HB-0116</t>
        </is>
      </c>
      <c r="B117" s="47" t="n">
        <v>45022</v>
      </c>
      <c r="C117" s="46" t="inlineStr">
        <is>
          <t>2023-04</t>
        </is>
      </c>
      <c r="D117" s="46" t="n">
        <v>2023</v>
      </c>
      <c r="E117" s="46" t="inlineStr">
        <is>
          <t>P-HB-003</t>
        </is>
      </c>
      <c r="F117" s="46" t="inlineStr">
        <is>
          <t>C-HB-03</t>
        </is>
      </c>
      <c r="G117" s="48" t="inlineStr">
        <is>
          <t>멕시코</t>
        </is>
      </c>
      <c r="H117" s="46" t="inlineStr">
        <is>
          <t>MX</t>
        </is>
      </c>
      <c r="I117" s="49" t="n">
        <v>10705</v>
      </c>
      <c r="J117" s="46" t="inlineStr">
        <is>
          <t>EA</t>
        </is>
      </c>
      <c r="K117" s="50" t="n">
        <v>6.96</v>
      </c>
      <c r="L117" s="50" t="n">
        <v>53649.01</v>
      </c>
      <c r="M117" s="46" t="inlineStr">
        <is>
          <t>USD</t>
        </is>
      </c>
      <c r="N117" s="46" t="inlineStr">
        <is>
          <t>FOB</t>
        </is>
      </c>
      <c r="O117" s="46" t="inlineStr">
        <is>
          <t>N</t>
        </is>
      </c>
      <c r="P117" s="50" t="n">
        <v>1322.057</v>
      </c>
      <c r="Q117" s="49">
        <f>IF(OR(L117="",M117="",P117=""),"",L117*P117)</f>
        <v/>
      </c>
    </row>
    <row r="118" ht="15" customHeight="1" s="32">
      <c r="A118" s="46" t="inlineStr">
        <is>
          <t>R-HB-0117</t>
        </is>
      </c>
      <c r="B118" s="47" t="n">
        <v>45022</v>
      </c>
      <c r="C118" s="46" t="inlineStr">
        <is>
          <t>2023-04</t>
        </is>
      </c>
      <c r="D118" s="46" t="n">
        <v>2023</v>
      </c>
      <c r="E118" s="46" t="inlineStr">
        <is>
          <t>P-HB-002</t>
        </is>
      </c>
      <c r="F118" s="46" t="inlineStr">
        <is>
          <t>C-HB-04</t>
        </is>
      </c>
      <c r="G118" s="48" t="inlineStr">
        <is>
          <t>캐나다</t>
        </is>
      </c>
      <c r="H118" s="46" t="inlineStr">
        <is>
          <t>CA</t>
        </is>
      </c>
      <c r="I118" s="49" t="n">
        <v>20</v>
      </c>
      <c r="J118" s="46" t="inlineStr">
        <is>
          <t>EA</t>
        </is>
      </c>
      <c r="K118" s="50" t="n">
        <v>0.04</v>
      </c>
      <c r="L118" s="50" t="n">
        <v>5039.67</v>
      </c>
      <c r="M118" s="46" t="inlineStr">
        <is>
          <t>USD</t>
        </is>
      </c>
      <c r="N118" s="46" t="inlineStr">
        <is>
          <t>FOB</t>
        </is>
      </c>
      <c r="O118" s="46" t="inlineStr">
        <is>
          <t>N</t>
        </is>
      </c>
      <c r="P118" s="50" t="n">
        <v>1322.057</v>
      </c>
      <c r="Q118" s="49">
        <f>IF(OR(L118="",M118="",P118=""),"",L118*P118)</f>
        <v/>
      </c>
    </row>
    <row r="119" ht="15" customHeight="1" s="32">
      <c r="A119" s="46" t="inlineStr">
        <is>
          <t>R-HB-0118</t>
        </is>
      </c>
      <c r="B119" s="47" t="n">
        <v>45023</v>
      </c>
      <c r="C119" s="46" t="inlineStr">
        <is>
          <t>2023-04</t>
        </is>
      </c>
      <c r="D119" s="46" t="n">
        <v>2023</v>
      </c>
      <c r="E119" s="46" t="inlineStr">
        <is>
          <t>P-HB-002</t>
        </is>
      </c>
      <c r="F119" s="46" t="inlineStr">
        <is>
          <t>C-HB-05</t>
        </is>
      </c>
      <c r="G119" s="48" t="inlineStr">
        <is>
          <t>독일</t>
        </is>
      </c>
      <c r="H119" s="46" t="inlineStr">
        <is>
          <t>DE</t>
        </is>
      </c>
      <c r="I119" s="49" t="n">
        <v>194</v>
      </c>
      <c r="J119" s="46" t="inlineStr">
        <is>
          <t>EA</t>
        </is>
      </c>
      <c r="K119" s="50" t="n">
        <v>0.43</v>
      </c>
      <c r="L119" s="50" t="n">
        <v>46950.16</v>
      </c>
      <c r="M119" s="46" t="inlineStr">
        <is>
          <t>USD</t>
        </is>
      </c>
      <c r="N119" s="46" t="inlineStr">
        <is>
          <t>FOB</t>
        </is>
      </c>
      <c r="O119" s="46" t="inlineStr">
        <is>
          <t>N</t>
        </is>
      </c>
      <c r="P119" s="50" t="n">
        <v>1322.057</v>
      </c>
      <c r="Q119" s="49">
        <f>IF(OR(L119="",M119="",P119=""),"",L119*P119)</f>
        <v/>
      </c>
    </row>
    <row r="120" ht="15" customHeight="1" s="32">
      <c r="A120" s="46" t="inlineStr">
        <is>
          <t>R-HB-0119</t>
        </is>
      </c>
      <c r="B120" s="47" t="n">
        <v>45023</v>
      </c>
      <c r="C120" s="46" t="inlineStr">
        <is>
          <t>2023-04</t>
        </is>
      </c>
      <c r="D120" s="46" t="n">
        <v>2023</v>
      </c>
      <c r="E120" s="46" t="inlineStr">
        <is>
          <t>P-HB-002</t>
        </is>
      </c>
      <c r="F120" s="46" t="inlineStr">
        <is>
          <t>C-HB-06</t>
        </is>
      </c>
      <c r="G120" s="48" t="inlineStr">
        <is>
          <t>베트남</t>
        </is>
      </c>
      <c r="H120" s="46" t="inlineStr">
        <is>
          <t>VN</t>
        </is>
      </c>
      <c r="I120" s="49" t="n">
        <v>160</v>
      </c>
      <c r="J120" s="46" t="inlineStr">
        <is>
          <t>EA</t>
        </is>
      </c>
      <c r="K120" s="50" t="n">
        <v>0.35</v>
      </c>
      <c r="L120" s="50" t="n">
        <v>38371.5</v>
      </c>
      <c r="M120" s="46" t="inlineStr">
        <is>
          <t>USD</t>
        </is>
      </c>
      <c r="N120" s="46" t="inlineStr">
        <is>
          <t>FOB</t>
        </is>
      </c>
      <c r="O120" s="46" t="inlineStr">
        <is>
          <t>N</t>
        </is>
      </c>
      <c r="P120" s="50" t="n">
        <v>1322.057</v>
      </c>
      <c r="Q120" s="49">
        <f>IF(OR(L120="",M120="",P120=""),"",L120*P120)</f>
        <v/>
      </c>
    </row>
    <row r="121" ht="15" customHeight="1" s="32">
      <c r="A121" s="46" t="inlineStr">
        <is>
          <t>R-HB-0120</t>
        </is>
      </c>
      <c r="B121" s="47" t="n">
        <v>45023</v>
      </c>
      <c r="C121" s="46" t="inlineStr">
        <is>
          <t>2023-04</t>
        </is>
      </c>
      <c r="D121" s="46" t="n">
        <v>2023</v>
      </c>
      <c r="E121" s="46" t="inlineStr">
        <is>
          <t>P-HB-002</t>
        </is>
      </c>
      <c r="F121" s="46" t="inlineStr">
        <is>
          <t>C-HB-07</t>
        </is>
      </c>
      <c r="G121" s="48" t="inlineStr">
        <is>
          <t>인도</t>
        </is>
      </c>
      <c r="H121" s="46" t="inlineStr">
        <is>
          <t>IN</t>
        </is>
      </c>
      <c r="I121" s="49" t="n">
        <v>104</v>
      </c>
      <c r="J121" s="46" t="inlineStr">
        <is>
          <t>EA</t>
        </is>
      </c>
      <c r="K121" s="50" t="n">
        <v>0.23</v>
      </c>
      <c r="L121" s="50" t="n">
        <v>26748.76</v>
      </c>
      <c r="M121" s="46" t="inlineStr">
        <is>
          <t>USD</t>
        </is>
      </c>
      <c r="N121" s="46" t="inlineStr">
        <is>
          <t>FOB</t>
        </is>
      </c>
      <c r="O121" s="46" t="inlineStr">
        <is>
          <t>N</t>
        </is>
      </c>
      <c r="P121" s="50" t="n">
        <v>1322.057</v>
      </c>
      <c r="Q121" s="49">
        <f>IF(OR(L121="",M121="",P121=""),"",L121*P121)</f>
        <v/>
      </c>
    </row>
    <row r="122" ht="15" customHeight="1" s="32">
      <c r="A122" s="46" t="inlineStr">
        <is>
          <t>R-HB-0121</t>
        </is>
      </c>
      <c r="B122" s="47" t="n">
        <v>45026</v>
      </c>
      <c r="C122" s="46" t="inlineStr">
        <is>
          <t>2023-04</t>
        </is>
      </c>
      <c r="D122" s="46" t="n">
        <v>2023</v>
      </c>
      <c r="E122" s="46" t="inlineStr">
        <is>
          <t>P-HB-004</t>
        </is>
      </c>
      <c r="F122" s="46" t="inlineStr">
        <is>
          <t>C-HB-04</t>
        </is>
      </c>
      <c r="G122" s="48" t="inlineStr">
        <is>
          <t>캐나다</t>
        </is>
      </c>
      <c r="H122" s="46" t="inlineStr">
        <is>
          <t>CA</t>
        </is>
      </c>
      <c r="I122" s="49" t="n">
        <v>1454</v>
      </c>
      <c r="J122" s="46" t="inlineStr">
        <is>
          <t>EA</t>
        </is>
      </c>
      <c r="K122" s="50" t="n">
        <v>1.6</v>
      </c>
      <c r="L122" s="50" t="n">
        <v>41446.12</v>
      </c>
      <c r="M122" s="46" t="inlineStr">
        <is>
          <t>USD</t>
        </is>
      </c>
      <c r="N122" s="46" t="inlineStr">
        <is>
          <t>FOB</t>
        </is>
      </c>
      <c r="O122" s="46" t="inlineStr">
        <is>
          <t>N</t>
        </is>
      </c>
      <c r="P122" s="50" t="n">
        <v>1322.057</v>
      </c>
      <c r="Q122" s="49">
        <f>IF(OR(L122="",M122="",P122=""),"",L122*P122)</f>
        <v/>
      </c>
    </row>
    <row r="123" ht="15" customHeight="1" s="32">
      <c r="A123" s="46" t="inlineStr">
        <is>
          <t>R-HB-0122</t>
        </is>
      </c>
      <c r="B123" s="47" t="n">
        <v>45027</v>
      </c>
      <c r="C123" s="46" t="inlineStr">
        <is>
          <t>2023-04</t>
        </is>
      </c>
      <c r="D123" s="46" t="n">
        <v>2023</v>
      </c>
      <c r="E123" s="46" t="inlineStr">
        <is>
          <t>P-HB-001</t>
        </is>
      </c>
      <c r="F123" s="46" t="inlineStr">
        <is>
          <t>C-HB-09</t>
        </is>
      </c>
      <c r="G123" s="48" t="inlineStr">
        <is>
          <t>중국</t>
        </is>
      </c>
      <c r="H123" s="46" t="inlineStr">
        <is>
          <t>CN</t>
        </is>
      </c>
      <c r="I123" s="49" t="n">
        <v>96876</v>
      </c>
      <c r="J123" s="46" t="inlineStr">
        <is>
          <t>EA</t>
        </is>
      </c>
      <c r="K123" s="50" t="n">
        <v>43.59</v>
      </c>
      <c r="L123" s="50" t="n">
        <v>346397.67</v>
      </c>
      <c r="M123" s="46" t="inlineStr">
        <is>
          <t>USD</t>
        </is>
      </c>
      <c r="N123" s="46" t="inlineStr">
        <is>
          <t>FOB</t>
        </is>
      </c>
      <c r="O123" s="46" t="inlineStr">
        <is>
          <t>N</t>
        </is>
      </c>
      <c r="P123" s="50" t="n">
        <v>1322.057</v>
      </c>
      <c r="Q123" s="49">
        <f>IF(OR(L123="",M123="",P123=""),"",L123*P123)</f>
        <v/>
      </c>
    </row>
    <row r="124" ht="15" customHeight="1" s="32">
      <c r="A124" s="46" t="inlineStr">
        <is>
          <t>R-HB-0123</t>
        </is>
      </c>
      <c r="B124" s="47" t="n">
        <v>45028</v>
      </c>
      <c r="C124" s="46" t="inlineStr">
        <is>
          <t>2023-04</t>
        </is>
      </c>
      <c r="D124" s="46" t="n">
        <v>2023</v>
      </c>
      <c r="E124" s="46" t="inlineStr">
        <is>
          <t>P-HB-001</t>
        </is>
      </c>
      <c r="F124" s="46" t="inlineStr">
        <is>
          <t>C-HB-04</t>
        </is>
      </c>
      <c r="G124" s="48" t="inlineStr">
        <is>
          <t>캐나다</t>
        </is>
      </c>
      <c r="H124" s="46" t="inlineStr">
        <is>
          <t>CA</t>
        </is>
      </c>
      <c r="I124" s="49" t="n">
        <v>13217</v>
      </c>
      <c r="J124" s="46" t="inlineStr">
        <is>
          <t>EA</t>
        </is>
      </c>
      <c r="K124" s="50" t="n">
        <v>5.95</v>
      </c>
      <c r="L124" s="50" t="n">
        <v>49725.11</v>
      </c>
      <c r="M124" s="46" t="inlineStr">
        <is>
          <t>USD</t>
        </is>
      </c>
      <c r="N124" s="46" t="inlineStr">
        <is>
          <t>FOB</t>
        </is>
      </c>
      <c r="O124" s="46" t="inlineStr">
        <is>
          <t>N</t>
        </is>
      </c>
      <c r="P124" s="50" t="n">
        <v>1322.057</v>
      </c>
      <c r="Q124" s="49">
        <f>IF(OR(L124="",M124="",P124=""),"",L124*P124)</f>
        <v/>
      </c>
    </row>
    <row r="125" ht="15" customHeight="1" s="32">
      <c r="A125" s="46" t="inlineStr">
        <is>
          <t>R-HB-0124</t>
        </is>
      </c>
      <c r="B125" s="47" t="n">
        <v>45029</v>
      </c>
      <c r="C125" s="46" t="inlineStr">
        <is>
          <t>2023-04</t>
        </is>
      </c>
      <c r="D125" s="46" t="n">
        <v>2023</v>
      </c>
      <c r="E125" s="46" t="inlineStr">
        <is>
          <t>P-HB-003</t>
        </is>
      </c>
      <c r="F125" s="46" t="inlineStr">
        <is>
          <t>C-HB-05</t>
        </is>
      </c>
      <c r="G125" s="48" t="inlineStr">
        <is>
          <t>독일</t>
        </is>
      </c>
      <c r="H125" s="46" t="inlineStr">
        <is>
          <t>DE</t>
        </is>
      </c>
      <c r="I125" s="49" t="n">
        <v>47531</v>
      </c>
      <c r="J125" s="46" t="inlineStr">
        <is>
          <t>EA</t>
        </is>
      </c>
      <c r="K125" s="50" t="n">
        <v>30.9</v>
      </c>
      <c r="L125" s="50" t="n">
        <v>233871.5</v>
      </c>
      <c r="M125" s="46" t="inlineStr">
        <is>
          <t>USD</t>
        </is>
      </c>
      <c r="N125" s="46" t="inlineStr">
        <is>
          <t>FOB</t>
        </is>
      </c>
      <c r="O125" s="46" t="inlineStr">
        <is>
          <t>N</t>
        </is>
      </c>
      <c r="P125" s="50" t="n">
        <v>1322.057</v>
      </c>
      <c r="Q125" s="49">
        <f>IF(OR(L125="",M125="",P125=""),"",L125*P125)</f>
        <v/>
      </c>
    </row>
    <row r="126" ht="15" customHeight="1" s="32">
      <c r="A126" s="46" t="inlineStr">
        <is>
          <t>R-HB-0125</t>
        </is>
      </c>
      <c r="B126" s="47" t="n">
        <v>45029</v>
      </c>
      <c r="C126" s="46" t="inlineStr">
        <is>
          <t>2023-04</t>
        </is>
      </c>
      <c r="D126" s="46" t="n">
        <v>2023</v>
      </c>
      <c r="E126" s="46" t="inlineStr">
        <is>
          <t>P-HB-001</t>
        </is>
      </c>
      <c r="F126" s="46" t="inlineStr">
        <is>
          <t>C-HB-08</t>
        </is>
      </c>
      <c r="G126" s="48" t="inlineStr">
        <is>
          <t>중국</t>
        </is>
      </c>
      <c r="H126" s="46" t="inlineStr">
        <is>
          <t>CN</t>
        </is>
      </c>
      <c r="I126" s="49" t="n">
        <v>119388</v>
      </c>
      <c r="J126" s="46" t="inlineStr">
        <is>
          <t>EA</t>
        </is>
      </c>
      <c r="K126" s="50" t="n">
        <v>53.72</v>
      </c>
      <c r="L126" s="50" t="n">
        <v>446768.05</v>
      </c>
      <c r="M126" s="46" t="inlineStr">
        <is>
          <t>USD</t>
        </is>
      </c>
      <c r="N126" s="46" t="inlineStr">
        <is>
          <t>FOB</t>
        </is>
      </c>
      <c r="O126" s="46" t="inlineStr">
        <is>
          <t>N</t>
        </is>
      </c>
      <c r="P126" s="50" t="n">
        <v>1322.057</v>
      </c>
      <c r="Q126" s="49">
        <f>IF(OR(L126="",M126="",P126=""),"",L126*P126)</f>
        <v/>
      </c>
    </row>
    <row r="127" ht="15" customHeight="1" s="32">
      <c r="A127" s="46" t="inlineStr">
        <is>
          <t>R-HB-0126</t>
        </is>
      </c>
      <c r="B127" s="47" t="n">
        <v>45030</v>
      </c>
      <c r="C127" s="46" t="inlineStr">
        <is>
          <t>2023-04</t>
        </is>
      </c>
      <c r="D127" s="46" t="n">
        <v>2023</v>
      </c>
      <c r="E127" s="46" t="inlineStr">
        <is>
          <t>P-HB-001</t>
        </is>
      </c>
      <c r="F127" s="46" t="inlineStr">
        <is>
          <t>C-HB-02</t>
        </is>
      </c>
      <c r="G127" s="48" t="inlineStr">
        <is>
          <t>미국</t>
        </is>
      </c>
      <c r="H127" s="46" t="inlineStr">
        <is>
          <t>US</t>
        </is>
      </c>
      <c r="I127" s="49" t="n">
        <v>80743</v>
      </c>
      <c r="J127" s="46" t="inlineStr">
        <is>
          <t>EA</t>
        </is>
      </c>
      <c r="K127" s="50" t="n">
        <v>36.33</v>
      </c>
      <c r="L127" s="50" t="n">
        <v>296756.44</v>
      </c>
      <c r="M127" s="46" t="inlineStr">
        <is>
          <t>USD</t>
        </is>
      </c>
      <c r="N127" s="46" t="inlineStr">
        <is>
          <t>FOB</t>
        </is>
      </c>
      <c r="O127" s="46" t="inlineStr">
        <is>
          <t>N</t>
        </is>
      </c>
      <c r="P127" s="50" t="n">
        <v>1322.057</v>
      </c>
      <c r="Q127" s="49">
        <f>IF(OR(L127="",M127="",P127=""),"",L127*P127)</f>
        <v/>
      </c>
    </row>
    <row r="128" ht="15" customHeight="1" s="32">
      <c r="A128" s="46" t="inlineStr">
        <is>
          <t>R-HB-0127</t>
        </is>
      </c>
      <c r="B128" s="47" t="n">
        <v>45030</v>
      </c>
      <c r="C128" s="46" t="inlineStr">
        <is>
          <t>2023-04</t>
        </is>
      </c>
      <c r="D128" s="46" t="n">
        <v>2023</v>
      </c>
      <c r="E128" s="46" t="inlineStr">
        <is>
          <t>P-HB-002</t>
        </is>
      </c>
      <c r="F128" s="46" t="inlineStr">
        <is>
          <t>C-HB-02</t>
        </is>
      </c>
      <c r="G128" s="48" t="inlineStr">
        <is>
          <t>미국</t>
        </is>
      </c>
      <c r="H128" s="46" t="inlineStr">
        <is>
          <t>US</t>
        </is>
      </c>
      <c r="I128" s="49" t="n">
        <v>136</v>
      </c>
      <c r="J128" s="46" t="inlineStr">
        <is>
          <t>EA</t>
        </is>
      </c>
      <c r="K128" s="50" t="n">
        <v>0.3</v>
      </c>
      <c r="L128" s="50" t="n">
        <v>33144.4</v>
      </c>
      <c r="M128" s="46" t="inlineStr">
        <is>
          <t>USD</t>
        </is>
      </c>
      <c r="N128" s="46" t="inlineStr">
        <is>
          <t>FOB</t>
        </is>
      </c>
      <c r="O128" s="46" t="inlineStr">
        <is>
          <t>N</t>
        </is>
      </c>
      <c r="P128" s="50" t="n">
        <v>1322.057</v>
      </c>
      <c r="Q128" s="49">
        <f>IF(OR(L128="",M128="",P128=""),"",L128*P128)</f>
        <v/>
      </c>
    </row>
    <row r="129" ht="15" customHeight="1" s="32">
      <c r="A129" s="46" t="inlineStr">
        <is>
          <t>R-HB-0128</t>
        </is>
      </c>
      <c r="B129" s="47" t="n">
        <v>45031</v>
      </c>
      <c r="C129" s="46" t="inlineStr">
        <is>
          <t>2023-04</t>
        </is>
      </c>
      <c r="D129" s="46" t="n">
        <v>2023</v>
      </c>
      <c r="E129" s="46" t="inlineStr">
        <is>
          <t>P-HB-003</t>
        </is>
      </c>
      <c r="F129" s="46" t="inlineStr">
        <is>
          <t>C-HB-02</t>
        </is>
      </c>
      <c r="G129" s="48" t="inlineStr">
        <is>
          <t>미국</t>
        </is>
      </c>
      <c r="H129" s="46" t="inlineStr">
        <is>
          <t>US</t>
        </is>
      </c>
      <c r="I129" s="49" t="n">
        <v>26102</v>
      </c>
      <c r="J129" s="46" t="inlineStr">
        <is>
          <t>EA</t>
        </is>
      </c>
      <c r="K129" s="50" t="n">
        <v>16.97</v>
      </c>
      <c r="L129" s="50" t="n">
        <v>134650.84</v>
      </c>
      <c r="M129" s="46" t="inlineStr">
        <is>
          <t>USD</t>
        </is>
      </c>
      <c r="N129" s="46" t="inlineStr">
        <is>
          <t>FOB</t>
        </is>
      </c>
      <c r="O129" s="46" t="inlineStr">
        <is>
          <t>N</t>
        </is>
      </c>
      <c r="P129" s="50" t="n">
        <v>1322.057</v>
      </c>
      <c r="Q129" s="49">
        <f>IF(OR(L129="",M129="",P129=""),"",L129*P129)</f>
        <v/>
      </c>
    </row>
    <row r="130" ht="15" customHeight="1" s="32">
      <c r="A130" s="46" t="inlineStr">
        <is>
          <t>R-HB-0129</t>
        </is>
      </c>
      <c r="B130" s="47" t="n">
        <v>45031</v>
      </c>
      <c r="C130" s="46" t="inlineStr">
        <is>
          <t>2023-04</t>
        </is>
      </c>
      <c r="D130" s="46" t="n">
        <v>2023</v>
      </c>
      <c r="E130" s="46" t="inlineStr">
        <is>
          <t>P-HB-004</t>
        </is>
      </c>
      <c r="F130" s="46" t="inlineStr">
        <is>
          <t>C-HB-06</t>
        </is>
      </c>
      <c r="G130" s="48" t="inlineStr">
        <is>
          <t>베트남</t>
        </is>
      </c>
      <c r="H130" s="46" t="inlineStr">
        <is>
          <t>VN</t>
        </is>
      </c>
      <c r="I130" s="49" t="n">
        <v>10572</v>
      </c>
      <c r="J130" s="46" t="inlineStr">
        <is>
          <t>EA</t>
        </is>
      </c>
      <c r="K130" s="50" t="n">
        <v>11.63</v>
      </c>
      <c r="L130" s="50" t="n">
        <v>288432.22</v>
      </c>
      <c r="M130" s="46" t="inlineStr">
        <is>
          <t>USD</t>
        </is>
      </c>
      <c r="N130" s="46" t="inlineStr">
        <is>
          <t>FOB</t>
        </is>
      </c>
      <c r="O130" s="46" t="inlineStr">
        <is>
          <t>N</t>
        </is>
      </c>
      <c r="P130" s="50" t="n">
        <v>1322.057</v>
      </c>
      <c r="Q130" s="49">
        <f>IF(OR(L130="",M130="",P130=""),"",L130*P130)</f>
        <v/>
      </c>
    </row>
    <row r="131" ht="15" customHeight="1" s="32">
      <c r="A131" s="46" t="inlineStr">
        <is>
          <t>R-HB-0130</t>
        </is>
      </c>
      <c r="B131" s="47" t="n">
        <v>45032</v>
      </c>
      <c r="C131" s="46" t="inlineStr">
        <is>
          <t>2023-04</t>
        </is>
      </c>
      <c r="D131" s="46" t="n">
        <v>2023</v>
      </c>
      <c r="E131" s="46" t="inlineStr">
        <is>
          <t>P-HB-001</t>
        </is>
      </c>
      <c r="F131" s="46" t="inlineStr">
        <is>
          <t>C-HB-05</t>
        </is>
      </c>
      <c r="G131" s="48" t="inlineStr">
        <is>
          <t>독일</t>
        </is>
      </c>
      <c r="H131" s="46" t="inlineStr">
        <is>
          <t>DE</t>
        </is>
      </c>
      <c r="I131" s="49" t="n">
        <v>118876</v>
      </c>
      <c r="J131" s="46" t="inlineStr">
        <is>
          <t>EA</t>
        </is>
      </c>
      <c r="K131" s="50" t="n">
        <v>53.49</v>
      </c>
      <c r="L131" s="50" t="n">
        <v>417613.49</v>
      </c>
      <c r="M131" s="46" t="inlineStr">
        <is>
          <t>USD</t>
        </is>
      </c>
      <c r="N131" s="46" t="inlineStr">
        <is>
          <t>FOB</t>
        </is>
      </c>
      <c r="O131" s="46" t="inlineStr">
        <is>
          <t>N</t>
        </is>
      </c>
      <c r="P131" s="50" t="n">
        <v>1322.057</v>
      </c>
      <c r="Q131" s="49">
        <f>IF(OR(L131="",M131="",P131=""),"",L131*P131)</f>
        <v/>
      </c>
    </row>
    <row r="132" ht="15" customHeight="1" s="32">
      <c r="A132" s="46" t="inlineStr">
        <is>
          <t>R-HB-0131</t>
        </is>
      </c>
      <c r="B132" s="47" t="n">
        <v>45032</v>
      </c>
      <c r="C132" s="46" t="inlineStr">
        <is>
          <t>2023-04</t>
        </is>
      </c>
      <c r="D132" s="46" t="n">
        <v>2023</v>
      </c>
      <c r="E132" s="46" t="inlineStr">
        <is>
          <t>P-HB-003</t>
        </is>
      </c>
      <c r="F132" s="46" t="inlineStr">
        <is>
          <t>C-HB-09</t>
        </is>
      </c>
      <c r="G132" s="48" t="inlineStr">
        <is>
          <t>중국</t>
        </is>
      </c>
      <c r="H132" s="46" t="inlineStr">
        <is>
          <t>CN</t>
        </is>
      </c>
      <c r="I132" s="49" t="n">
        <v>30254</v>
      </c>
      <c r="J132" s="46" t="inlineStr">
        <is>
          <t>EA</t>
        </is>
      </c>
      <c r="K132" s="50" t="n">
        <v>19.67</v>
      </c>
      <c r="L132" s="50" t="n">
        <v>152118.86</v>
      </c>
      <c r="M132" s="46" t="inlineStr">
        <is>
          <t>USD</t>
        </is>
      </c>
      <c r="N132" s="46" t="inlineStr">
        <is>
          <t>FOB</t>
        </is>
      </c>
      <c r="O132" s="46" t="inlineStr">
        <is>
          <t>N</t>
        </is>
      </c>
      <c r="P132" s="50" t="n">
        <v>1322.057</v>
      </c>
      <c r="Q132" s="49">
        <f>IF(OR(L132="",M132="",P132=""),"",L132*P132)</f>
        <v/>
      </c>
    </row>
    <row r="133" ht="15" customHeight="1" s="32">
      <c r="A133" s="46" t="inlineStr">
        <is>
          <t>R-HB-0132</t>
        </is>
      </c>
      <c r="B133" s="47" t="n">
        <v>45033</v>
      </c>
      <c r="C133" s="46" t="inlineStr">
        <is>
          <t>2023-04</t>
        </is>
      </c>
      <c r="D133" s="46" t="n">
        <v>2023</v>
      </c>
      <c r="E133" s="46" t="inlineStr">
        <is>
          <t>P-HB-004</t>
        </is>
      </c>
      <c r="F133" s="46" t="inlineStr">
        <is>
          <t>C-HB-02</t>
        </is>
      </c>
      <c r="G133" s="48" t="inlineStr">
        <is>
          <t>미국</t>
        </is>
      </c>
      <c r="H133" s="46" t="inlineStr">
        <is>
          <t>US</t>
        </is>
      </c>
      <c r="I133" s="49" t="n">
        <v>8097</v>
      </c>
      <c r="J133" s="46" t="inlineStr">
        <is>
          <t>EA</t>
        </is>
      </c>
      <c r="K133" s="50" t="n">
        <v>8.91</v>
      </c>
      <c r="L133" s="50" t="n">
        <v>228193.9</v>
      </c>
      <c r="M133" s="46" t="inlineStr">
        <is>
          <t>USD</t>
        </is>
      </c>
      <c r="N133" s="46" t="inlineStr">
        <is>
          <t>FOB</t>
        </is>
      </c>
      <c r="O133" s="46" t="inlineStr">
        <is>
          <t>N</t>
        </is>
      </c>
      <c r="P133" s="50" t="n">
        <v>1322.057</v>
      </c>
      <c r="Q133" s="49">
        <f>IF(OR(L133="",M133="",P133=""),"",L133*P133)</f>
        <v/>
      </c>
    </row>
    <row r="134" ht="15" customHeight="1" s="32">
      <c r="A134" s="46" t="inlineStr">
        <is>
          <t>R-HB-0133</t>
        </is>
      </c>
      <c r="B134" s="47" t="n">
        <v>45034</v>
      </c>
      <c r="C134" s="46" t="inlineStr">
        <is>
          <t>2023-04</t>
        </is>
      </c>
      <c r="D134" s="46" t="n">
        <v>2023</v>
      </c>
      <c r="E134" s="46" t="inlineStr">
        <is>
          <t>P-HB-001</t>
        </is>
      </c>
      <c r="F134" s="46" t="inlineStr">
        <is>
          <t>C-HB-07</t>
        </is>
      </c>
      <c r="G134" s="48" t="inlineStr">
        <is>
          <t>인도</t>
        </is>
      </c>
      <c r="H134" s="46" t="inlineStr">
        <is>
          <t>IN</t>
        </is>
      </c>
      <c r="I134" s="49" t="n">
        <v>67888</v>
      </c>
      <c r="J134" s="46" t="inlineStr">
        <is>
          <t>EA</t>
        </is>
      </c>
      <c r="K134" s="50" t="n">
        <v>30.55</v>
      </c>
      <c r="L134" s="50" t="n">
        <v>250320.27</v>
      </c>
      <c r="M134" s="46" t="inlineStr">
        <is>
          <t>USD</t>
        </is>
      </c>
      <c r="N134" s="46" t="inlineStr">
        <is>
          <t>FOB</t>
        </is>
      </c>
      <c r="O134" s="46" t="inlineStr">
        <is>
          <t>N</t>
        </is>
      </c>
      <c r="P134" s="50" t="n">
        <v>1322.057</v>
      </c>
      <c r="Q134" s="49">
        <f>IF(OR(L134="",M134="",P134=""),"",L134*P134)</f>
        <v/>
      </c>
    </row>
    <row r="135" ht="15" customHeight="1" s="32">
      <c r="A135" s="46" t="inlineStr">
        <is>
          <t>R-HB-0134</t>
        </is>
      </c>
      <c r="B135" s="47" t="n">
        <v>45034</v>
      </c>
      <c r="C135" s="46" t="inlineStr">
        <is>
          <t>2023-04</t>
        </is>
      </c>
      <c r="D135" s="46" t="n">
        <v>2023</v>
      </c>
      <c r="E135" s="46" t="inlineStr">
        <is>
          <t>P-HB-004</t>
        </is>
      </c>
      <c r="F135" s="46" t="inlineStr">
        <is>
          <t>C-HB-09</t>
        </is>
      </c>
      <c r="G135" s="48" t="inlineStr">
        <is>
          <t>중국</t>
        </is>
      </c>
      <c r="H135" s="46" t="inlineStr">
        <is>
          <t>CN</t>
        </is>
      </c>
      <c r="I135" s="49" t="n">
        <v>8731</v>
      </c>
      <c r="J135" s="46" t="inlineStr">
        <is>
          <t>EA</t>
        </is>
      </c>
      <c r="K135" s="50" t="n">
        <v>9.6</v>
      </c>
      <c r="L135" s="50" t="n">
        <v>241770.7</v>
      </c>
      <c r="M135" s="46" t="inlineStr">
        <is>
          <t>USD</t>
        </is>
      </c>
      <c r="N135" s="46" t="inlineStr">
        <is>
          <t>FOB</t>
        </is>
      </c>
      <c r="O135" s="46" t="inlineStr">
        <is>
          <t>N</t>
        </is>
      </c>
      <c r="P135" s="50" t="n">
        <v>1322.057</v>
      </c>
      <c r="Q135" s="49">
        <f>IF(OR(L135="",M135="",P135=""),"",L135*P135)</f>
        <v/>
      </c>
    </row>
    <row r="136" ht="15" customHeight="1" s="32">
      <c r="A136" s="46" t="inlineStr">
        <is>
          <t>R-HB-0135</t>
        </is>
      </c>
      <c r="B136" s="47" t="n">
        <v>45035</v>
      </c>
      <c r="C136" s="46" t="inlineStr">
        <is>
          <t>2023-04</t>
        </is>
      </c>
      <c r="D136" s="46" t="n">
        <v>2023</v>
      </c>
      <c r="E136" s="46" t="inlineStr">
        <is>
          <t>P-HB-003</t>
        </is>
      </c>
      <c r="F136" s="46" t="inlineStr">
        <is>
          <t>C-HB-07</t>
        </is>
      </c>
      <c r="G136" s="48" t="inlineStr">
        <is>
          <t>인도</t>
        </is>
      </c>
      <c r="H136" s="46" t="inlineStr">
        <is>
          <t>IN</t>
        </is>
      </c>
      <c r="I136" s="49" t="n">
        <v>22717</v>
      </c>
      <c r="J136" s="46" t="inlineStr">
        <is>
          <t>EA</t>
        </is>
      </c>
      <c r="K136" s="50" t="n">
        <v>14.77</v>
      </c>
      <c r="L136" s="50" t="n">
        <v>118836.11</v>
      </c>
      <c r="M136" s="46" t="inlineStr">
        <is>
          <t>USD</t>
        </is>
      </c>
      <c r="N136" s="46" t="inlineStr">
        <is>
          <t>FOB</t>
        </is>
      </c>
      <c r="O136" s="46" t="inlineStr">
        <is>
          <t>N</t>
        </is>
      </c>
      <c r="P136" s="50" t="n">
        <v>1322.057</v>
      </c>
      <c r="Q136" s="49">
        <f>IF(OR(L136="",M136="",P136=""),"",L136*P136)</f>
        <v/>
      </c>
    </row>
    <row r="137" ht="15" customHeight="1" s="32">
      <c r="A137" s="46" t="inlineStr">
        <is>
          <t>R-HB-0136</t>
        </is>
      </c>
      <c r="B137" s="47" t="n">
        <v>45040</v>
      </c>
      <c r="C137" s="46" t="inlineStr">
        <is>
          <t>2023-04</t>
        </is>
      </c>
      <c r="D137" s="46" t="n">
        <v>2023</v>
      </c>
      <c r="E137" s="46" t="inlineStr">
        <is>
          <t>P-HB-003</t>
        </is>
      </c>
      <c r="F137" s="46" t="inlineStr">
        <is>
          <t>C-HB-04</t>
        </is>
      </c>
      <c r="G137" s="48" t="inlineStr">
        <is>
          <t>캐나다</t>
        </is>
      </c>
      <c r="H137" s="46" t="inlineStr">
        <is>
          <t>CA</t>
        </is>
      </c>
      <c r="I137" s="49" t="n">
        <v>4548</v>
      </c>
      <c r="J137" s="46" t="inlineStr">
        <is>
          <t>EA</t>
        </is>
      </c>
      <c r="K137" s="50" t="n">
        <v>2.96</v>
      </c>
      <c r="L137" s="50" t="n">
        <v>23760.28</v>
      </c>
      <c r="M137" s="46" t="inlineStr">
        <is>
          <t>USD</t>
        </is>
      </c>
      <c r="N137" s="46" t="inlineStr">
        <is>
          <t>FOB</t>
        </is>
      </c>
      <c r="O137" s="46" t="inlineStr">
        <is>
          <t>N</t>
        </is>
      </c>
      <c r="P137" s="50" t="n">
        <v>1322.057</v>
      </c>
      <c r="Q137" s="49">
        <f>IF(OR(L137="",M137="",P137=""),"",L137*P137)</f>
        <v/>
      </c>
    </row>
    <row r="138" ht="15" customHeight="1" s="32">
      <c r="A138" s="46" t="inlineStr">
        <is>
          <t>R-HB-0137</t>
        </is>
      </c>
      <c r="B138" s="47" t="n">
        <v>45040</v>
      </c>
      <c r="C138" s="46" t="inlineStr">
        <is>
          <t>2023-04</t>
        </is>
      </c>
      <c r="D138" s="46" t="n">
        <v>2023</v>
      </c>
      <c r="E138" s="46" t="inlineStr">
        <is>
          <t>P-HB-002</t>
        </is>
      </c>
      <c r="F138" s="46" t="inlineStr">
        <is>
          <t>C-HB-08</t>
        </is>
      </c>
      <c r="G138" s="48" t="inlineStr">
        <is>
          <t>중국</t>
        </is>
      </c>
      <c r="H138" s="46" t="inlineStr">
        <is>
          <t>CN</t>
        </is>
      </c>
      <c r="I138" s="49" t="n">
        <v>214</v>
      </c>
      <c r="J138" s="46" t="inlineStr">
        <is>
          <t>EA</t>
        </is>
      </c>
      <c r="K138" s="50" t="n">
        <v>0.47</v>
      </c>
      <c r="L138" s="50" t="n">
        <v>51870.32</v>
      </c>
      <c r="M138" s="46" t="inlineStr">
        <is>
          <t>USD</t>
        </is>
      </c>
      <c r="N138" s="46" t="inlineStr">
        <is>
          <t>FOB</t>
        </is>
      </c>
      <c r="O138" s="46" t="inlineStr">
        <is>
          <t>N</t>
        </is>
      </c>
      <c r="P138" s="50" t="n">
        <v>1322.057</v>
      </c>
      <c r="Q138" s="49">
        <f>IF(OR(L138="",M138="",P138=""),"",L138*P138)</f>
        <v/>
      </c>
    </row>
    <row r="139" ht="15" customHeight="1" s="32">
      <c r="A139" s="46" t="inlineStr">
        <is>
          <t>R-HB-0138</t>
        </is>
      </c>
      <c r="B139" s="47" t="n">
        <v>45041</v>
      </c>
      <c r="C139" s="46" t="inlineStr">
        <is>
          <t>2023-04</t>
        </is>
      </c>
      <c r="D139" s="46" t="n">
        <v>2023</v>
      </c>
      <c r="E139" s="46" t="inlineStr">
        <is>
          <t>P-HB-001</t>
        </is>
      </c>
      <c r="F139" s="46" t="inlineStr">
        <is>
          <t>C-HB-03</t>
        </is>
      </c>
      <c r="G139" s="48" t="inlineStr">
        <is>
          <t>멕시코</t>
        </is>
      </c>
      <c r="H139" s="46" t="inlineStr">
        <is>
          <t>MX</t>
        </is>
      </c>
      <c r="I139" s="49" t="n">
        <v>25712</v>
      </c>
      <c r="J139" s="46" t="inlineStr">
        <is>
          <t>EA</t>
        </is>
      </c>
      <c r="K139" s="50" t="n">
        <v>11.57</v>
      </c>
      <c r="L139" s="50" t="n">
        <v>96362.39999999999</v>
      </c>
      <c r="M139" s="46" t="inlineStr">
        <is>
          <t>USD</t>
        </is>
      </c>
      <c r="N139" s="46" t="inlineStr">
        <is>
          <t>FOB</t>
        </is>
      </c>
      <c r="O139" s="46" t="inlineStr">
        <is>
          <t>N</t>
        </is>
      </c>
      <c r="P139" s="50" t="n">
        <v>1322.057</v>
      </c>
      <c r="Q139" s="49">
        <f>IF(OR(L139="",M139="",P139=""),"",L139*P139)</f>
        <v/>
      </c>
    </row>
    <row r="140" ht="15" customHeight="1" s="32">
      <c r="A140" s="46" t="inlineStr">
        <is>
          <t>R-HB-0139</t>
        </is>
      </c>
      <c r="B140" s="47" t="n">
        <v>45041</v>
      </c>
      <c r="C140" s="46" t="inlineStr">
        <is>
          <t>2023-04</t>
        </is>
      </c>
      <c r="D140" s="46" t="n">
        <v>2023</v>
      </c>
      <c r="E140" s="46" t="inlineStr">
        <is>
          <t>P-HB-001</t>
        </is>
      </c>
      <c r="F140" s="46" t="inlineStr">
        <is>
          <t>C-HB-06</t>
        </is>
      </c>
      <c r="G140" s="48" t="inlineStr">
        <is>
          <t>베트남</t>
        </is>
      </c>
      <c r="H140" s="46" t="inlineStr">
        <is>
          <t>VN</t>
        </is>
      </c>
      <c r="I140" s="49" t="n">
        <v>96505</v>
      </c>
      <c r="J140" s="46" t="inlineStr">
        <is>
          <t>EA</t>
        </is>
      </c>
      <c r="K140" s="50" t="n">
        <v>43.43</v>
      </c>
      <c r="L140" s="50" t="n">
        <v>351037.42</v>
      </c>
      <c r="M140" s="46" t="inlineStr">
        <is>
          <t>USD</t>
        </is>
      </c>
      <c r="N140" s="46" t="inlineStr">
        <is>
          <t>FOB</t>
        </is>
      </c>
      <c r="O140" s="46" t="inlineStr">
        <is>
          <t>N</t>
        </is>
      </c>
      <c r="P140" s="50" t="n">
        <v>1322.057</v>
      </c>
      <c r="Q140" s="49">
        <f>IF(OR(L140="",M140="",P140=""),"",L140*P140)</f>
        <v/>
      </c>
    </row>
    <row r="141" ht="15" customHeight="1" s="32">
      <c r="A141" s="46" t="inlineStr">
        <is>
          <t>R-HB-0140</t>
        </is>
      </c>
      <c r="B141" s="47" t="n">
        <v>45042</v>
      </c>
      <c r="C141" s="46" t="inlineStr">
        <is>
          <t>2023-04</t>
        </is>
      </c>
      <c r="D141" s="46" t="n">
        <v>2023</v>
      </c>
      <c r="E141" s="46" t="inlineStr">
        <is>
          <t>P-HB-001</t>
        </is>
      </c>
      <c r="F141" s="46" t="inlineStr">
        <is>
          <t>C-HB-01</t>
        </is>
      </c>
      <c r="G141" s="48" t="inlineStr">
        <is>
          <t>미국</t>
        </is>
      </c>
      <c r="H141" s="46" t="inlineStr">
        <is>
          <t>US</t>
        </is>
      </c>
      <c r="I141" s="49" t="n">
        <v>161979</v>
      </c>
      <c r="J141" s="46" t="inlineStr">
        <is>
          <t>EA</t>
        </is>
      </c>
      <c r="K141" s="50" t="n">
        <v>72.89</v>
      </c>
      <c r="L141" s="50" t="n">
        <v>567064.29</v>
      </c>
      <c r="M141" s="46" t="inlineStr">
        <is>
          <t>USD</t>
        </is>
      </c>
      <c r="N141" s="46" t="inlineStr">
        <is>
          <t>FOB</t>
        </is>
      </c>
      <c r="O141" s="46" t="inlineStr">
        <is>
          <t>N</t>
        </is>
      </c>
      <c r="P141" s="50" t="n">
        <v>1322.057</v>
      </c>
      <c r="Q141" s="49">
        <f>IF(OR(L141="",M141="",P141=""),"",L141*P141)</f>
        <v/>
      </c>
    </row>
    <row r="142" ht="15" customHeight="1" s="32">
      <c r="A142" s="46" t="inlineStr">
        <is>
          <t>R-HB-0141</t>
        </is>
      </c>
      <c r="B142" s="47" t="n">
        <v>45042</v>
      </c>
      <c r="C142" s="46" t="inlineStr">
        <is>
          <t>2023-04</t>
        </is>
      </c>
      <c r="D142" s="46" t="n">
        <v>2023</v>
      </c>
      <c r="E142" s="46" t="inlineStr">
        <is>
          <t>P-HB-002</t>
        </is>
      </c>
      <c r="F142" s="46" t="inlineStr">
        <is>
          <t>C-HB-09</t>
        </is>
      </c>
      <c r="G142" s="48" t="inlineStr">
        <is>
          <t>중국</t>
        </is>
      </c>
      <c r="H142" s="46" t="inlineStr">
        <is>
          <t>CN</t>
        </is>
      </c>
      <c r="I142" s="49" t="n">
        <v>129</v>
      </c>
      <c r="J142" s="46" t="inlineStr">
        <is>
          <t>EA</t>
        </is>
      </c>
      <c r="K142" s="50" t="n">
        <v>0.28</v>
      </c>
      <c r="L142" s="50" t="n">
        <v>32576.2</v>
      </c>
      <c r="M142" s="46" t="inlineStr">
        <is>
          <t>USD</t>
        </is>
      </c>
      <c r="N142" s="46" t="inlineStr">
        <is>
          <t>FOB</t>
        </is>
      </c>
      <c r="O142" s="46" t="inlineStr">
        <is>
          <t>N</t>
        </is>
      </c>
      <c r="P142" s="50" t="n">
        <v>1322.057</v>
      </c>
      <c r="Q142" s="49">
        <f>IF(OR(L142="",M142="",P142=""),"",L142*P142)</f>
        <v/>
      </c>
    </row>
    <row r="143" ht="15" customHeight="1" s="32">
      <c r="A143" s="46" t="inlineStr">
        <is>
          <t>R-HB-0142</t>
        </is>
      </c>
      <c r="B143" s="47" t="n">
        <v>45043</v>
      </c>
      <c r="C143" s="46" t="inlineStr">
        <is>
          <t>2023-04</t>
        </is>
      </c>
      <c r="D143" s="46" t="n">
        <v>2023</v>
      </c>
      <c r="E143" s="46" t="inlineStr">
        <is>
          <t>P-HB-004</t>
        </is>
      </c>
      <c r="F143" s="46" t="inlineStr">
        <is>
          <t>C-HB-01</t>
        </is>
      </c>
      <c r="G143" s="48" t="inlineStr">
        <is>
          <t>미국</t>
        </is>
      </c>
      <c r="H143" s="46" t="inlineStr">
        <is>
          <t>US</t>
        </is>
      </c>
      <c r="I143" s="49" t="n">
        <v>15863</v>
      </c>
      <c r="J143" s="46" t="inlineStr">
        <is>
          <t>EA</t>
        </is>
      </c>
      <c r="K143" s="50" t="n">
        <v>17.45</v>
      </c>
      <c r="L143" s="50" t="n">
        <v>445402.01</v>
      </c>
      <c r="M143" s="46" t="inlineStr">
        <is>
          <t>USD</t>
        </is>
      </c>
      <c r="N143" s="46" t="inlineStr">
        <is>
          <t>FOB</t>
        </is>
      </c>
      <c r="O143" s="46" t="inlineStr">
        <is>
          <t>N</t>
        </is>
      </c>
      <c r="P143" s="50" t="n">
        <v>1322.057</v>
      </c>
      <c r="Q143" s="49">
        <f>IF(OR(L143="",M143="",P143=""),"",L143*P143)</f>
        <v/>
      </c>
    </row>
    <row r="144" ht="15" customHeight="1" s="32">
      <c r="A144" s="46" t="inlineStr">
        <is>
          <t>R-HB-0143</t>
        </is>
      </c>
      <c r="B144" s="47" t="n">
        <v>45043</v>
      </c>
      <c r="C144" s="46" t="inlineStr">
        <is>
          <t>2023-04</t>
        </is>
      </c>
      <c r="D144" s="46" t="n">
        <v>2023</v>
      </c>
      <c r="E144" s="46" t="inlineStr">
        <is>
          <t>P-HB-004</t>
        </is>
      </c>
      <c r="F144" s="46" t="inlineStr">
        <is>
          <t>C-HB-03</t>
        </is>
      </c>
      <c r="G144" s="48" t="inlineStr">
        <is>
          <t>멕시코</t>
        </is>
      </c>
      <c r="H144" s="46" t="inlineStr">
        <is>
          <t>MX</t>
        </is>
      </c>
      <c r="I144" s="49" t="n">
        <v>2954</v>
      </c>
      <c r="J144" s="46" t="inlineStr">
        <is>
          <t>EA</t>
        </is>
      </c>
      <c r="K144" s="50" t="n">
        <v>3.25</v>
      </c>
      <c r="L144" s="50" t="n">
        <v>81449.75</v>
      </c>
      <c r="M144" s="46" t="inlineStr">
        <is>
          <t>USD</t>
        </is>
      </c>
      <c r="N144" s="46" t="inlineStr">
        <is>
          <t>FOB</t>
        </is>
      </c>
      <c r="O144" s="46" t="inlineStr">
        <is>
          <t>N</t>
        </is>
      </c>
      <c r="P144" s="50" t="n">
        <v>1322.057</v>
      </c>
      <c r="Q144" s="49">
        <f>IF(OR(L144="",M144="",P144=""),"",L144*P144)</f>
        <v/>
      </c>
    </row>
    <row r="145" ht="15" customHeight="1" s="32">
      <c r="A145" s="46" t="inlineStr">
        <is>
          <t>R-HB-0144</t>
        </is>
      </c>
      <c r="B145" s="47" t="n">
        <v>45043</v>
      </c>
      <c r="C145" s="46" t="inlineStr">
        <is>
          <t>2023-04</t>
        </is>
      </c>
      <c r="D145" s="46" t="n">
        <v>2023</v>
      </c>
      <c r="E145" s="46" t="inlineStr">
        <is>
          <t>P-HB-003</t>
        </is>
      </c>
      <c r="F145" s="46" t="inlineStr">
        <is>
          <t>C-HB-08</t>
        </is>
      </c>
      <c r="G145" s="48" t="inlineStr">
        <is>
          <t>중국</t>
        </is>
      </c>
      <c r="H145" s="46" t="inlineStr">
        <is>
          <t>CN</t>
        </is>
      </c>
      <c r="I145" s="49" t="n">
        <v>48155</v>
      </c>
      <c r="J145" s="46" t="inlineStr">
        <is>
          <t>EA</t>
        </is>
      </c>
      <c r="K145" s="50" t="n">
        <v>31.3</v>
      </c>
      <c r="L145" s="50" t="n">
        <v>250107.55</v>
      </c>
      <c r="M145" s="46" t="inlineStr">
        <is>
          <t>USD</t>
        </is>
      </c>
      <c r="N145" s="46" t="inlineStr">
        <is>
          <t>FOB</t>
        </is>
      </c>
      <c r="O145" s="46" t="inlineStr">
        <is>
          <t>N</t>
        </is>
      </c>
      <c r="P145" s="50" t="n">
        <v>1322.057</v>
      </c>
      <c r="Q145" s="49">
        <f>IF(OR(L145="",M145="",P145=""),"",L145*P145)</f>
        <v/>
      </c>
    </row>
    <row r="146" ht="15" customHeight="1" s="32">
      <c r="A146" s="46" t="inlineStr">
        <is>
          <t>R-HB-0145</t>
        </is>
      </c>
      <c r="B146" s="47" t="n">
        <v>45049</v>
      </c>
      <c r="C146" s="46" t="inlineStr">
        <is>
          <t>2023-05</t>
        </is>
      </c>
      <c r="D146" s="46" t="n">
        <v>2023</v>
      </c>
      <c r="E146" s="46" t="inlineStr">
        <is>
          <t>P-HB-003</t>
        </is>
      </c>
      <c r="F146" s="46" t="inlineStr">
        <is>
          <t>C-HB-03</t>
        </is>
      </c>
      <c r="G146" s="48" t="inlineStr">
        <is>
          <t>멕시코</t>
        </is>
      </c>
      <c r="H146" s="46" t="inlineStr">
        <is>
          <t>MX</t>
        </is>
      </c>
      <c r="I146" s="49" t="n">
        <v>9862</v>
      </c>
      <c r="J146" s="46" t="inlineStr">
        <is>
          <t>EA</t>
        </is>
      </c>
      <c r="K146" s="50" t="n">
        <v>6.41</v>
      </c>
      <c r="L146" s="50" t="n">
        <v>49318.08</v>
      </c>
      <c r="M146" s="46" t="inlineStr">
        <is>
          <t>USD</t>
        </is>
      </c>
      <c r="N146" s="46" t="inlineStr">
        <is>
          <t>FOB</t>
        </is>
      </c>
      <c r="O146" s="46" t="inlineStr">
        <is>
          <t>N</t>
        </is>
      </c>
      <c r="P146" s="50" t="n">
        <v>1327.48</v>
      </c>
      <c r="Q146" s="49">
        <f>IF(OR(L146="",M146="",P146=""),"",L146*P146)</f>
        <v/>
      </c>
    </row>
    <row r="147" ht="15" customHeight="1" s="32">
      <c r="A147" s="46" t="inlineStr">
        <is>
          <t>R-HB-0146</t>
        </is>
      </c>
      <c r="B147" s="47" t="n">
        <v>45049</v>
      </c>
      <c r="C147" s="46" t="inlineStr">
        <is>
          <t>2023-05</t>
        </is>
      </c>
      <c r="D147" s="46" t="n">
        <v>2023</v>
      </c>
      <c r="E147" s="46" t="inlineStr">
        <is>
          <t>P-HB-003</t>
        </is>
      </c>
      <c r="F147" s="46" t="inlineStr">
        <is>
          <t>C-HB-05</t>
        </is>
      </c>
      <c r="G147" s="48" t="inlineStr">
        <is>
          <t>독일</t>
        </is>
      </c>
      <c r="H147" s="46" t="inlineStr">
        <is>
          <t>DE</t>
        </is>
      </c>
      <c r="I147" s="49" t="n">
        <v>43064</v>
      </c>
      <c r="J147" s="46" t="inlineStr">
        <is>
          <t>EA</t>
        </is>
      </c>
      <c r="K147" s="50" t="n">
        <v>27.99</v>
      </c>
      <c r="L147" s="50" t="n">
        <v>214446.32</v>
      </c>
      <c r="M147" s="46" t="inlineStr">
        <is>
          <t>USD</t>
        </is>
      </c>
      <c r="N147" s="46" t="inlineStr">
        <is>
          <t>FOB</t>
        </is>
      </c>
      <c r="O147" s="46" t="inlineStr">
        <is>
          <t>N</t>
        </is>
      </c>
      <c r="P147" s="50" t="n">
        <v>1327.48</v>
      </c>
      <c r="Q147" s="49">
        <f>IF(OR(L147="",M147="",P147=""),"",L147*P147)</f>
        <v/>
      </c>
    </row>
    <row r="148" ht="15" customHeight="1" s="32">
      <c r="A148" s="46" t="inlineStr">
        <is>
          <t>R-HB-0147</t>
        </is>
      </c>
      <c r="B148" s="47" t="n">
        <v>45049</v>
      </c>
      <c r="C148" s="46" t="inlineStr">
        <is>
          <t>2023-05</t>
        </is>
      </c>
      <c r="D148" s="46" t="n">
        <v>2023</v>
      </c>
      <c r="E148" s="46" t="inlineStr">
        <is>
          <t>P-HB-003</t>
        </is>
      </c>
      <c r="F148" s="46" t="inlineStr">
        <is>
          <t>C-HB-06</t>
        </is>
      </c>
      <c r="G148" s="48" t="inlineStr">
        <is>
          <t>베트남</t>
        </is>
      </c>
      <c r="H148" s="46" t="inlineStr">
        <is>
          <t>VN</t>
        </is>
      </c>
      <c r="I148" s="49" t="n">
        <v>36460</v>
      </c>
      <c r="J148" s="46" t="inlineStr">
        <is>
          <t>EA</t>
        </is>
      </c>
      <c r="K148" s="50" t="n">
        <v>23.7</v>
      </c>
      <c r="L148" s="50" t="n">
        <v>182486.1</v>
      </c>
      <c r="M148" s="46" t="inlineStr">
        <is>
          <t>USD</t>
        </is>
      </c>
      <c r="N148" s="46" t="inlineStr">
        <is>
          <t>FOB</t>
        </is>
      </c>
      <c r="O148" s="46" t="inlineStr">
        <is>
          <t>N</t>
        </is>
      </c>
      <c r="P148" s="50" t="n">
        <v>1327.48</v>
      </c>
      <c r="Q148" s="49">
        <f>IF(OR(L148="",M148="",P148=""),"",L148*P148)</f>
        <v/>
      </c>
    </row>
    <row r="149" ht="15" customHeight="1" s="32">
      <c r="A149" s="46" t="inlineStr">
        <is>
          <t>R-HB-0148</t>
        </is>
      </c>
      <c r="B149" s="47" t="n">
        <v>45050</v>
      </c>
      <c r="C149" s="46" t="inlineStr">
        <is>
          <t>2023-05</t>
        </is>
      </c>
      <c r="D149" s="46" t="n">
        <v>2023</v>
      </c>
      <c r="E149" s="46" t="inlineStr">
        <is>
          <t>P-HB-003</t>
        </is>
      </c>
      <c r="F149" s="46" t="inlineStr">
        <is>
          <t>C-HB-04</t>
        </is>
      </c>
      <c r="G149" s="48" t="inlineStr">
        <is>
          <t>캐나다</t>
        </is>
      </c>
      <c r="H149" s="46" t="inlineStr">
        <is>
          <t>CA</t>
        </is>
      </c>
      <c r="I149" s="49" t="n">
        <v>4858</v>
      </c>
      <c r="J149" s="46" t="inlineStr">
        <is>
          <t>EA</t>
        </is>
      </c>
      <c r="K149" s="50" t="n">
        <v>3.16</v>
      </c>
      <c r="L149" s="50" t="n">
        <v>22954.31</v>
      </c>
      <c r="M149" s="46" t="inlineStr">
        <is>
          <t>USD</t>
        </is>
      </c>
      <c r="N149" s="46" t="inlineStr">
        <is>
          <t>FOB</t>
        </is>
      </c>
      <c r="O149" s="46" t="inlineStr">
        <is>
          <t>N</t>
        </is>
      </c>
      <c r="P149" s="50" t="n">
        <v>1327.48</v>
      </c>
      <c r="Q149" s="49">
        <f>IF(OR(L149="",M149="",P149=""),"",L149*P149)</f>
        <v/>
      </c>
    </row>
    <row r="150" ht="15" customHeight="1" s="32">
      <c r="A150" s="46" t="inlineStr">
        <is>
          <t>R-HB-0149</t>
        </is>
      </c>
      <c r="B150" s="47" t="n">
        <v>45050</v>
      </c>
      <c r="C150" s="46" t="inlineStr">
        <is>
          <t>2023-05</t>
        </is>
      </c>
      <c r="D150" s="46" t="n">
        <v>2023</v>
      </c>
      <c r="E150" s="46" t="inlineStr">
        <is>
          <t>P-HB-003</t>
        </is>
      </c>
      <c r="F150" s="46" t="inlineStr">
        <is>
          <t>C-HB-08</t>
        </is>
      </c>
      <c r="G150" s="48" t="inlineStr">
        <is>
          <t>중국</t>
        </is>
      </c>
      <c r="H150" s="46" t="inlineStr">
        <is>
          <t>CN</t>
        </is>
      </c>
      <c r="I150" s="49" t="n">
        <v>49467</v>
      </c>
      <c r="J150" s="46" t="inlineStr">
        <is>
          <t>EA</t>
        </is>
      </c>
      <c r="K150" s="50" t="n">
        <v>32.15</v>
      </c>
      <c r="L150" s="50" t="n">
        <v>239404.7</v>
      </c>
      <c r="M150" s="46" t="inlineStr">
        <is>
          <t>USD</t>
        </is>
      </c>
      <c r="N150" s="46" t="inlineStr">
        <is>
          <t>FOB</t>
        </is>
      </c>
      <c r="O150" s="46" t="inlineStr">
        <is>
          <t>N</t>
        </is>
      </c>
      <c r="P150" s="50" t="n">
        <v>1327.48</v>
      </c>
      <c r="Q150" s="49">
        <f>IF(OR(L150="",M150="",P150=""),"",L150*P150)</f>
        <v/>
      </c>
    </row>
    <row r="151" ht="15" customHeight="1" s="32">
      <c r="A151" s="46" t="inlineStr">
        <is>
          <t>R-HB-0150</t>
        </is>
      </c>
      <c r="B151" s="47" t="n">
        <v>45051</v>
      </c>
      <c r="C151" s="46" t="inlineStr">
        <is>
          <t>2023-05</t>
        </is>
      </c>
      <c r="D151" s="46" t="n">
        <v>2023</v>
      </c>
      <c r="E151" s="46" t="inlineStr">
        <is>
          <t>P-HB-001</t>
        </is>
      </c>
      <c r="F151" s="46" t="inlineStr">
        <is>
          <t>C-HB-04</t>
        </is>
      </c>
      <c r="G151" s="48" t="inlineStr">
        <is>
          <t>캐나다</t>
        </is>
      </c>
      <c r="H151" s="46" t="inlineStr">
        <is>
          <t>CA</t>
        </is>
      </c>
      <c r="I151" s="49" t="n">
        <v>14010</v>
      </c>
      <c r="J151" s="46" t="inlineStr">
        <is>
          <t>EA</t>
        </is>
      </c>
      <c r="K151" s="50" t="n">
        <v>6.3</v>
      </c>
      <c r="L151" s="50" t="n">
        <v>49429.34</v>
      </c>
      <c r="M151" s="46" t="inlineStr">
        <is>
          <t>USD</t>
        </is>
      </c>
      <c r="N151" s="46" t="inlineStr">
        <is>
          <t>FOB</t>
        </is>
      </c>
      <c r="O151" s="46" t="inlineStr">
        <is>
          <t>N</t>
        </is>
      </c>
      <c r="P151" s="50" t="n">
        <v>1327.48</v>
      </c>
      <c r="Q151" s="49">
        <f>IF(OR(L151="",M151="",P151=""),"",L151*P151)</f>
        <v/>
      </c>
    </row>
    <row r="152" ht="15" customHeight="1" s="32">
      <c r="A152" s="46" t="inlineStr">
        <is>
          <t>R-HB-0151</t>
        </is>
      </c>
      <c r="B152" s="47" t="n">
        <v>45051</v>
      </c>
      <c r="C152" s="46" t="inlineStr">
        <is>
          <t>2023-05</t>
        </is>
      </c>
      <c r="D152" s="46" t="n">
        <v>2023</v>
      </c>
      <c r="E152" s="46" t="inlineStr">
        <is>
          <t>P-HB-003</t>
        </is>
      </c>
      <c r="F152" s="46" t="inlineStr">
        <is>
          <t>C-HB-09</t>
        </is>
      </c>
      <c r="G152" s="48" t="inlineStr">
        <is>
          <t>중국</t>
        </is>
      </c>
      <c r="H152" s="46" t="inlineStr">
        <is>
          <t>CN</t>
        </is>
      </c>
      <c r="I152" s="49" t="n">
        <v>34058</v>
      </c>
      <c r="J152" s="46" t="inlineStr">
        <is>
          <t>EA</t>
        </is>
      </c>
      <c r="K152" s="50" t="n">
        <v>22.14</v>
      </c>
      <c r="L152" s="50" t="n">
        <v>164499.4</v>
      </c>
      <c r="M152" s="46" t="inlineStr">
        <is>
          <t>USD</t>
        </is>
      </c>
      <c r="N152" s="46" t="inlineStr">
        <is>
          <t>FOB</t>
        </is>
      </c>
      <c r="O152" s="46" t="inlineStr">
        <is>
          <t>N</t>
        </is>
      </c>
      <c r="P152" s="50" t="n">
        <v>1327.48</v>
      </c>
      <c r="Q152" s="49">
        <f>IF(OR(L152="",M152="",P152=""),"",L152*P152)</f>
        <v/>
      </c>
    </row>
    <row r="153" ht="15" customHeight="1" s="32">
      <c r="A153" s="46" t="inlineStr">
        <is>
          <t>R-HB-0152</t>
        </is>
      </c>
      <c r="B153" s="47" t="n">
        <v>45053</v>
      </c>
      <c r="C153" s="46" t="inlineStr">
        <is>
          <t>2023-05</t>
        </is>
      </c>
      <c r="D153" s="46" t="n">
        <v>2023</v>
      </c>
      <c r="E153" s="46" t="inlineStr">
        <is>
          <t>P-HB-002</t>
        </is>
      </c>
      <c r="F153" s="46" t="inlineStr">
        <is>
          <t>C-HB-01</t>
        </is>
      </c>
      <c r="G153" s="48" t="inlineStr">
        <is>
          <t>미국</t>
        </is>
      </c>
      <c r="H153" s="46" t="inlineStr">
        <is>
          <t>US</t>
        </is>
      </c>
      <c r="I153" s="49" t="n">
        <v>218</v>
      </c>
      <c r="J153" s="46" t="inlineStr">
        <is>
          <t>EA</t>
        </is>
      </c>
      <c r="K153" s="50" t="n">
        <v>0.48</v>
      </c>
      <c r="L153" s="50" t="n">
        <v>53022.34</v>
      </c>
      <c r="M153" s="46" t="inlineStr">
        <is>
          <t>USD</t>
        </is>
      </c>
      <c r="N153" s="46" t="inlineStr">
        <is>
          <t>FOB</t>
        </is>
      </c>
      <c r="O153" s="46" t="inlineStr">
        <is>
          <t>N</t>
        </is>
      </c>
      <c r="P153" s="50" t="n">
        <v>1327.48</v>
      </c>
      <c r="Q153" s="49">
        <f>IF(OR(L153="",M153="",P153=""),"",L153*P153)</f>
        <v/>
      </c>
    </row>
    <row r="154" ht="15" customHeight="1" s="32">
      <c r="A154" s="46" t="inlineStr">
        <is>
          <t>R-HB-0153</t>
        </is>
      </c>
      <c r="B154" s="47" t="n">
        <v>45054</v>
      </c>
      <c r="C154" s="46" t="inlineStr">
        <is>
          <t>2023-05</t>
        </is>
      </c>
      <c r="D154" s="46" t="n">
        <v>2023</v>
      </c>
      <c r="E154" s="46" t="inlineStr">
        <is>
          <t>P-HB-004</t>
        </is>
      </c>
      <c r="F154" s="46" t="inlineStr">
        <is>
          <t>C-HB-01</t>
        </is>
      </c>
      <c r="G154" s="48" t="inlineStr">
        <is>
          <t>미국</t>
        </is>
      </c>
      <c r="H154" s="46" t="inlineStr">
        <is>
          <t>US</t>
        </is>
      </c>
      <c r="I154" s="49" t="n">
        <v>16068</v>
      </c>
      <c r="J154" s="46" t="inlineStr">
        <is>
          <t>EA</t>
        </is>
      </c>
      <c r="K154" s="50" t="n">
        <v>17.67</v>
      </c>
      <c r="L154" s="50" t="n">
        <v>457392.05</v>
      </c>
      <c r="M154" s="46" t="inlineStr">
        <is>
          <t>USD</t>
        </is>
      </c>
      <c r="N154" s="46" t="inlineStr">
        <is>
          <t>FOB</t>
        </is>
      </c>
      <c r="O154" s="46" t="inlineStr">
        <is>
          <t>N</t>
        </is>
      </c>
      <c r="P154" s="50" t="n">
        <v>1327.48</v>
      </c>
      <c r="Q154" s="49">
        <f>IF(OR(L154="",M154="",P154=""),"",L154*P154)</f>
        <v/>
      </c>
    </row>
    <row r="155" ht="15" customHeight="1" s="32">
      <c r="A155" s="46" t="inlineStr">
        <is>
          <t>R-HB-0154</t>
        </is>
      </c>
      <c r="B155" s="47" t="n">
        <v>45054</v>
      </c>
      <c r="C155" s="46" t="inlineStr">
        <is>
          <t>2023-05</t>
        </is>
      </c>
      <c r="D155" s="46" t="n">
        <v>2023</v>
      </c>
      <c r="E155" s="46" t="inlineStr">
        <is>
          <t>P-HB-003</t>
        </is>
      </c>
      <c r="F155" s="46" t="inlineStr">
        <is>
          <t>C-HB-02</t>
        </is>
      </c>
      <c r="G155" s="48" t="inlineStr">
        <is>
          <t>미국</t>
        </is>
      </c>
      <c r="H155" s="46" t="inlineStr">
        <is>
          <t>US</t>
        </is>
      </c>
      <c r="I155" s="49" t="n">
        <v>29197</v>
      </c>
      <c r="J155" s="46" t="inlineStr">
        <is>
          <t>EA</t>
        </is>
      </c>
      <c r="K155" s="50" t="n">
        <v>18.98</v>
      </c>
      <c r="L155" s="50" t="n">
        <v>146819.77</v>
      </c>
      <c r="M155" s="46" t="inlineStr">
        <is>
          <t>USD</t>
        </is>
      </c>
      <c r="N155" s="46" t="inlineStr">
        <is>
          <t>FOB</t>
        </is>
      </c>
      <c r="O155" s="46" t="inlineStr">
        <is>
          <t>N</t>
        </is>
      </c>
      <c r="P155" s="50" t="n">
        <v>1327.48</v>
      </c>
      <c r="Q155" s="49">
        <f>IF(OR(L155="",M155="",P155=""),"",L155*P155)</f>
        <v/>
      </c>
    </row>
    <row r="156" ht="15" customHeight="1" s="32">
      <c r="A156" s="46" t="inlineStr">
        <is>
          <t>R-HB-0155</t>
        </is>
      </c>
      <c r="B156" s="47" t="n">
        <v>45054</v>
      </c>
      <c r="C156" s="46" t="inlineStr">
        <is>
          <t>2023-05</t>
        </is>
      </c>
      <c r="D156" s="46" t="n">
        <v>2023</v>
      </c>
      <c r="E156" s="46" t="inlineStr">
        <is>
          <t>P-HB-001</t>
        </is>
      </c>
      <c r="F156" s="46" t="inlineStr">
        <is>
          <t>C-HB-05</t>
        </is>
      </c>
      <c r="G156" s="48" t="inlineStr">
        <is>
          <t>독일</t>
        </is>
      </c>
      <c r="H156" s="46" t="inlineStr">
        <is>
          <t>DE</t>
        </is>
      </c>
      <c r="I156" s="49" t="n">
        <v>114459</v>
      </c>
      <c r="J156" s="46" t="inlineStr">
        <is>
          <t>EA</t>
        </is>
      </c>
      <c r="K156" s="50" t="n">
        <v>51.51</v>
      </c>
      <c r="L156" s="50" t="n">
        <v>405262.79</v>
      </c>
      <c r="M156" s="46" t="inlineStr">
        <is>
          <t>USD</t>
        </is>
      </c>
      <c r="N156" s="46" t="inlineStr">
        <is>
          <t>FOB</t>
        </is>
      </c>
      <c r="O156" s="46" t="inlineStr">
        <is>
          <t>N</t>
        </is>
      </c>
      <c r="P156" s="50" t="n">
        <v>1327.48</v>
      </c>
      <c r="Q156" s="49">
        <f>IF(OR(L156="",M156="",P156=""),"",L156*P156)</f>
        <v/>
      </c>
    </row>
    <row r="157" ht="15" customHeight="1" s="32">
      <c r="A157" s="46" t="inlineStr">
        <is>
          <t>R-HB-0156</t>
        </is>
      </c>
      <c r="B157" s="47" t="n">
        <v>45054</v>
      </c>
      <c r="C157" s="46" t="inlineStr">
        <is>
          <t>2023-05</t>
        </is>
      </c>
      <c r="D157" s="46" t="n">
        <v>2023</v>
      </c>
      <c r="E157" s="46" t="inlineStr">
        <is>
          <t>P-HB-002</t>
        </is>
      </c>
      <c r="F157" s="46" t="inlineStr">
        <is>
          <t>C-HB-06</t>
        </is>
      </c>
      <c r="G157" s="48" t="inlineStr">
        <is>
          <t>베트남</t>
        </is>
      </c>
      <c r="H157" s="46" t="inlineStr">
        <is>
          <t>VN</t>
        </is>
      </c>
      <c r="I157" s="49" t="n">
        <v>157</v>
      </c>
      <c r="J157" s="46" t="inlineStr">
        <is>
          <t>EA</t>
        </is>
      </c>
      <c r="K157" s="50" t="n">
        <v>0.35</v>
      </c>
      <c r="L157" s="50" t="n">
        <v>38319.48</v>
      </c>
      <c r="M157" s="46" t="inlineStr">
        <is>
          <t>USD</t>
        </is>
      </c>
      <c r="N157" s="46" t="inlineStr">
        <is>
          <t>FOB</t>
        </is>
      </c>
      <c r="O157" s="46" t="inlineStr">
        <is>
          <t>N</t>
        </is>
      </c>
      <c r="P157" s="50" t="n">
        <v>1327.48</v>
      </c>
      <c r="Q157" s="49">
        <f>IF(OR(L157="",M157="",P157=""),"",L157*P157)</f>
        <v/>
      </c>
    </row>
    <row r="158" ht="15" customHeight="1" s="32">
      <c r="A158" s="46" t="inlineStr">
        <is>
          <t>R-HB-0157</t>
        </is>
      </c>
      <c r="B158" s="47" t="n">
        <v>45056</v>
      </c>
      <c r="C158" s="46" t="inlineStr">
        <is>
          <t>2023-05</t>
        </is>
      </c>
      <c r="D158" s="46" t="n">
        <v>2023</v>
      </c>
      <c r="E158" s="46" t="inlineStr">
        <is>
          <t>P-HB-002</t>
        </is>
      </c>
      <c r="F158" s="46" t="inlineStr">
        <is>
          <t>C-HB-03</t>
        </is>
      </c>
      <c r="G158" s="48" t="inlineStr">
        <is>
          <t>멕시코</t>
        </is>
      </c>
      <c r="H158" s="46" t="inlineStr">
        <is>
          <t>MX</t>
        </is>
      </c>
      <c r="I158" s="49" t="n">
        <v>48</v>
      </c>
      <c r="J158" s="46" t="inlineStr">
        <is>
          <t>EA</t>
        </is>
      </c>
      <c r="K158" s="50" t="n">
        <v>0.11</v>
      </c>
      <c r="L158" s="50" t="n">
        <v>11175.08</v>
      </c>
      <c r="M158" s="46" t="inlineStr">
        <is>
          <t>USD</t>
        </is>
      </c>
      <c r="N158" s="46" t="inlineStr">
        <is>
          <t>FOB</t>
        </is>
      </c>
      <c r="O158" s="46" t="inlineStr">
        <is>
          <t>N</t>
        </is>
      </c>
      <c r="P158" s="50" t="n">
        <v>1327.48</v>
      </c>
      <c r="Q158" s="49">
        <f>IF(OR(L158="",M158="",P158=""),"",L158*P158)</f>
        <v/>
      </c>
    </row>
    <row r="159" ht="15" customHeight="1" s="32">
      <c r="A159" s="46" t="inlineStr">
        <is>
          <t>R-HB-0158</t>
        </is>
      </c>
      <c r="B159" s="47" t="n">
        <v>45057</v>
      </c>
      <c r="C159" s="46" t="inlineStr">
        <is>
          <t>2023-05</t>
        </is>
      </c>
      <c r="D159" s="46" t="n">
        <v>2023</v>
      </c>
      <c r="E159" s="46" t="inlineStr">
        <is>
          <t>P-HB-004</t>
        </is>
      </c>
      <c r="F159" s="46" t="inlineStr">
        <is>
          <t>C-HB-06</t>
        </is>
      </c>
      <c r="G159" s="48" t="inlineStr">
        <is>
          <t>베트남</t>
        </is>
      </c>
      <c r="H159" s="46" t="inlineStr">
        <is>
          <t>VN</t>
        </is>
      </c>
      <c r="I159" s="49" t="n">
        <v>10242</v>
      </c>
      <c r="J159" s="46" t="inlineStr">
        <is>
          <t>EA</t>
        </is>
      </c>
      <c r="K159" s="50" t="n">
        <v>11.27</v>
      </c>
      <c r="L159" s="50" t="n">
        <v>297271.3</v>
      </c>
      <c r="M159" s="46" t="inlineStr">
        <is>
          <t>USD</t>
        </is>
      </c>
      <c r="N159" s="46" t="inlineStr">
        <is>
          <t>FOB</t>
        </is>
      </c>
      <c r="O159" s="46" t="inlineStr">
        <is>
          <t>N</t>
        </is>
      </c>
      <c r="P159" s="50" t="n">
        <v>1327.48</v>
      </c>
      <c r="Q159" s="49">
        <f>IF(OR(L159="",M159="",P159=""),"",L159*P159)</f>
        <v/>
      </c>
    </row>
    <row r="160" ht="15" customHeight="1" s="32">
      <c r="A160" s="46" t="inlineStr">
        <is>
          <t>R-HB-0159</t>
        </is>
      </c>
      <c r="B160" s="47" t="n">
        <v>45057</v>
      </c>
      <c r="C160" s="46" t="inlineStr">
        <is>
          <t>2023-05</t>
        </is>
      </c>
      <c r="D160" s="46" t="n">
        <v>2023</v>
      </c>
      <c r="E160" s="46" t="inlineStr">
        <is>
          <t>P-HB-004</t>
        </is>
      </c>
      <c r="F160" s="46" t="inlineStr">
        <is>
          <t>C-HB-08</t>
        </is>
      </c>
      <c r="G160" s="48" t="inlineStr">
        <is>
          <t>중국</t>
        </is>
      </c>
      <c r="H160" s="46" t="inlineStr">
        <is>
          <t>CN</t>
        </is>
      </c>
      <c r="I160" s="49" t="n">
        <v>14188</v>
      </c>
      <c r="J160" s="46" t="inlineStr">
        <is>
          <t>EA</t>
        </is>
      </c>
      <c r="K160" s="50" t="n">
        <v>15.61</v>
      </c>
      <c r="L160" s="50" t="n">
        <v>404056.97</v>
      </c>
      <c r="M160" s="46" t="inlineStr">
        <is>
          <t>USD</t>
        </is>
      </c>
      <c r="N160" s="46" t="inlineStr">
        <is>
          <t>FOB</t>
        </is>
      </c>
      <c r="O160" s="46" t="inlineStr">
        <is>
          <t>N</t>
        </is>
      </c>
      <c r="P160" s="50" t="n">
        <v>1327.48</v>
      </c>
      <c r="Q160" s="49">
        <f>IF(OR(L160="",M160="",P160=""),"",L160*P160)</f>
        <v/>
      </c>
    </row>
    <row r="161" ht="15" customHeight="1" s="32">
      <c r="A161" s="46" t="inlineStr">
        <is>
          <t>R-HB-0160</t>
        </is>
      </c>
      <c r="B161" s="47" t="n">
        <v>45058</v>
      </c>
      <c r="C161" s="46" t="inlineStr">
        <is>
          <t>2023-05</t>
        </is>
      </c>
      <c r="D161" s="46" t="n">
        <v>2023</v>
      </c>
      <c r="E161" s="46" t="inlineStr">
        <is>
          <t>P-HB-003</t>
        </is>
      </c>
      <c r="F161" s="46" t="inlineStr">
        <is>
          <t>C-HB-01</t>
        </is>
      </c>
      <c r="G161" s="48" t="inlineStr">
        <is>
          <t>미국</t>
        </is>
      </c>
      <c r="H161" s="46" t="inlineStr">
        <is>
          <t>US</t>
        </is>
      </c>
      <c r="I161" s="49" t="n">
        <v>55808</v>
      </c>
      <c r="J161" s="46" t="inlineStr">
        <is>
          <t>EA</t>
        </is>
      </c>
      <c r="K161" s="50" t="n">
        <v>36.28</v>
      </c>
      <c r="L161" s="50" t="n">
        <v>268010.06</v>
      </c>
      <c r="M161" s="46" t="inlineStr">
        <is>
          <t>USD</t>
        </is>
      </c>
      <c r="N161" s="46" t="inlineStr">
        <is>
          <t>FOB</t>
        </is>
      </c>
      <c r="O161" s="46" t="inlineStr">
        <is>
          <t>N</t>
        </is>
      </c>
      <c r="P161" s="50" t="n">
        <v>1327.48</v>
      </c>
      <c r="Q161" s="49">
        <f>IF(OR(L161="",M161="",P161=""),"",L161*P161)</f>
        <v/>
      </c>
    </row>
    <row r="162" ht="15" customHeight="1" s="32">
      <c r="A162" s="46" t="inlineStr">
        <is>
          <t>R-HB-0161</t>
        </is>
      </c>
      <c r="B162" s="47" t="n">
        <v>45060</v>
      </c>
      <c r="C162" s="46" t="inlineStr">
        <is>
          <t>2023-05</t>
        </is>
      </c>
      <c r="D162" s="46" t="n">
        <v>2023</v>
      </c>
      <c r="E162" s="46" t="inlineStr">
        <is>
          <t>P-HB-004</t>
        </is>
      </c>
      <c r="F162" s="46" t="inlineStr">
        <is>
          <t>C-HB-02</t>
        </is>
      </c>
      <c r="G162" s="48" t="inlineStr">
        <is>
          <t>미국</t>
        </is>
      </c>
      <c r="H162" s="46" t="inlineStr">
        <is>
          <t>US</t>
        </is>
      </c>
      <c r="I162" s="49" t="n">
        <v>8887</v>
      </c>
      <c r="J162" s="46" t="inlineStr">
        <is>
          <t>EA</t>
        </is>
      </c>
      <c r="K162" s="50" t="n">
        <v>9.779999999999999</v>
      </c>
      <c r="L162" s="50" t="n">
        <v>247090.21</v>
      </c>
      <c r="M162" s="46" t="inlineStr">
        <is>
          <t>USD</t>
        </is>
      </c>
      <c r="N162" s="46" t="inlineStr">
        <is>
          <t>FOB</t>
        </is>
      </c>
      <c r="O162" s="46" t="inlineStr">
        <is>
          <t>N</t>
        </is>
      </c>
      <c r="P162" s="50" t="n">
        <v>1327.48</v>
      </c>
      <c r="Q162" s="49">
        <f>IF(OR(L162="",M162="",P162=""),"",L162*P162)</f>
        <v/>
      </c>
    </row>
    <row r="163" ht="15" customHeight="1" s="32">
      <c r="A163" s="46" t="inlineStr">
        <is>
          <t>R-HB-0162</t>
        </is>
      </c>
      <c r="B163" s="47" t="n">
        <v>45061</v>
      </c>
      <c r="C163" s="46" t="inlineStr">
        <is>
          <t>2023-05</t>
        </is>
      </c>
      <c r="D163" s="46" t="n">
        <v>2023</v>
      </c>
      <c r="E163" s="46" t="inlineStr">
        <is>
          <t>P-HB-001</t>
        </is>
      </c>
      <c r="F163" s="46" t="inlineStr">
        <is>
          <t>C-HB-02</t>
        </is>
      </c>
      <c r="G163" s="48" t="inlineStr">
        <is>
          <t>미국</t>
        </is>
      </c>
      <c r="H163" s="46" t="inlineStr">
        <is>
          <t>US</t>
        </is>
      </c>
      <c r="I163" s="49" t="n">
        <v>80117</v>
      </c>
      <c r="J163" s="46" t="inlineStr">
        <is>
          <t>EA</t>
        </is>
      </c>
      <c r="K163" s="50" t="n">
        <v>36.05</v>
      </c>
      <c r="L163" s="50" t="n">
        <v>279522.01</v>
      </c>
      <c r="M163" s="46" t="inlineStr">
        <is>
          <t>USD</t>
        </is>
      </c>
      <c r="N163" s="46" t="inlineStr">
        <is>
          <t>FOB</t>
        </is>
      </c>
      <c r="O163" s="46" t="inlineStr">
        <is>
          <t>N</t>
        </is>
      </c>
      <c r="P163" s="50" t="n">
        <v>1327.48</v>
      </c>
      <c r="Q163" s="49">
        <f>IF(OR(L163="",M163="",P163=""),"",L163*P163)</f>
        <v/>
      </c>
    </row>
    <row r="164" ht="15" customHeight="1" s="32">
      <c r="A164" s="46" t="inlineStr">
        <is>
          <t>R-HB-0163</t>
        </is>
      </c>
      <c r="B164" s="47" t="n">
        <v>45061</v>
      </c>
      <c r="C164" s="46" t="inlineStr">
        <is>
          <t>2023-05</t>
        </is>
      </c>
      <c r="D164" s="46" t="n">
        <v>2023</v>
      </c>
      <c r="E164" s="46" t="inlineStr">
        <is>
          <t>P-HB-001</t>
        </is>
      </c>
      <c r="F164" s="46" t="inlineStr">
        <is>
          <t>C-HB-07</t>
        </is>
      </c>
      <c r="G164" s="48" t="inlineStr">
        <is>
          <t>인도</t>
        </is>
      </c>
      <c r="H164" s="46" t="inlineStr">
        <is>
          <t>IN</t>
        </is>
      </c>
      <c r="I164" s="49" t="n">
        <v>75851</v>
      </c>
      <c r="J164" s="46" t="inlineStr">
        <is>
          <t>EA</t>
        </is>
      </c>
      <c r="K164" s="50" t="n">
        <v>34.13</v>
      </c>
      <c r="L164" s="50" t="n">
        <v>251188.96</v>
      </c>
      <c r="M164" s="46" t="inlineStr">
        <is>
          <t>USD</t>
        </is>
      </c>
      <c r="N164" s="46" t="inlineStr">
        <is>
          <t>FOB</t>
        </is>
      </c>
      <c r="O164" s="46" t="inlineStr">
        <is>
          <t>N</t>
        </is>
      </c>
      <c r="P164" s="50" t="n">
        <v>1327.48</v>
      </c>
      <c r="Q164" s="49">
        <f>IF(OR(L164="",M164="",P164=""),"",L164*P164)</f>
        <v/>
      </c>
    </row>
    <row r="165" ht="15" customHeight="1" s="32">
      <c r="A165" s="46" t="inlineStr">
        <is>
          <t>R-HB-0164</t>
        </is>
      </c>
      <c r="B165" s="47" t="n">
        <v>45062</v>
      </c>
      <c r="C165" s="46" t="inlineStr">
        <is>
          <t>2023-05</t>
        </is>
      </c>
      <c r="D165" s="46" t="n">
        <v>2023</v>
      </c>
      <c r="E165" s="46" t="inlineStr">
        <is>
          <t>P-HB-002</t>
        </is>
      </c>
      <c r="F165" s="46" t="inlineStr">
        <is>
          <t>C-HB-04</t>
        </is>
      </c>
      <c r="G165" s="48" t="inlineStr">
        <is>
          <t>캐나다</t>
        </is>
      </c>
      <c r="H165" s="46" t="inlineStr">
        <is>
          <t>CA</t>
        </is>
      </c>
      <c r="I165" s="49" t="n">
        <v>22</v>
      </c>
      <c r="J165" s="46" t="inlineStr">
        <is>
          <t>EA</t>
        </is>
      </c>
      <c r="K165" s="50" t="n">
        <v>0.05</v>
      </c>
      <c r="L165" s="50" t="n">
        <v>5377.74</v>
      </c>
      <c r="M165" s="46" t="inlineStr">
        <is>
          <t>USD</t>
        </is>
      </c>
      <c r="N165" s="46" t="inlineStr">
        <is>
          <t>FOB</t>
        </is>
      </c>
      <c r="O165" s="46" t="inlineStr">
        <is>
          <t>N</t>
        </is>
      </c>
      <c r="P165" s="50" t="n">
        <v>1327.48</v>
      </c>
      <c r="Q165" s="49">
        <f>IF(OR(L165="",M165="",P165=""),"",L165*P165)</f>
        <v/>
      </c>
    </row>
    <row r="166" ht="15" customHeight="1" s="32">
      <c r="A166" s="46" t="inlineStr">
        <is>
          <t>R-HB-0165</t>
        </is>
      </c>
      <c r="B166" s="47" t="n">
        <v>45062</v>
      </c>
      <c r="C166" s="46" t="inlineStr">
        <is>
          <t>2023-05</t>
        </is>
      </c>
      <c r="D166" s="46" t="n">
        <v>2023</v>
      </c>
      <c r="E166" s="46" t="inlineStr">
        <is>
          <t>P-HB-002</t>
        </is>
      </c>
      <c r="F166" s="46" t="inlineStr">
        <is>
          <t>C-HB-08</t>
        </is>
      </c>
      <c r="G166" s="48" t="inlineStr">
        <is>
          <t>중국</t>
        </is>
      </c>
      <c r="H166" s="46" t="inlineStr">
        <is>
          <t>CN</t>
        </is>
      </c>
      <c r="I166" s="49" t="n">
        <v>215</v>
      </c>
      <c r="J166" s="46" t="inlineStr">
        <is>
          <t>EA</t>
        </is>
      </c>
      <c r="K166" s="50" t="n">
        <v>0.47</v>
      </c>
      <c r="L166" s="50" t="n">
        <v>52695.73</v>
      </c>
      <c r="M166" s="46" t="inlineStr">
        <is>
          <t>USD</t>
        </is>
      </c>
      <c r="N166" s="46" t="inlineStr">
        <is>
          <t>FOB</t>
        </is>
      </c>
      <c r="O166" s="46" t="inlineStr">
        <is>
          <t>N</t>
        </is>
      </c>
      <c r="P166" s="50" t="n">
        <v>1327.48</v>
      </c>
      <c r="Q166" s="49">
        <f>IF(OR(L166="",M166="",P166=""),"",L166*P166)</f>
        <v/>
      </c>
    </row>
    <row r="167" ht="15" customHeight="1" s="32">
      <c r="A167" s="46" t="inlineStr">
        <is>
          <t>R-HB-0166</t>
        </is>
      </c>
      <c r="B167" s="47" t="n">
        <v>45063</v>
      </c>
      <c r="C167" s="46" t="inlineStr">
        <is>
          <t>2023-05</t>
        </is>
      </c>
      <c r="D167" s="46" t="n">
        <v>2023</v>
      </c>
      <c r="E167" s="46" t="inlineStr">
        <is>
          <t>P-HB-002</t>
        </is>
      </c>
      <c r="F167" s="46" t="inlineStr">
        <is>
          <t>C-HB-05</t>
        </is>
      </c>
      <c r="G167" s="48" t="inlineStr">
        <is>
          <t>독일</t>
        </is>
      </c>
      <c r="H167" s="46" t="inlineStr">
        <is>
          <t>DE</t>
        </is>
      </c>
      <c r="I167" s="49" t="n">
        <v>193</v>
      </c>
      <c r="J167" s="46" t="inlineStr">
        <is>
          <t>EA</t>
        </is>
      </c>
      <c r="K167" s="50" t="n">
        <v>0.42</v>
      </c>
      <c r="L167" s="50" t="n">
        <v>46345.24</v>
      </c>
      <c r="M167" s="46" t="inlineStr">
        <is>
          <t>USD</t>
        </is>
      </c>
      <c r="N167" s="46" t="inlineStr">
        <is>
          <t>FOB</t>
        </is>
      </c>
      <c r="O167" s="46" t="inlineStr">
        <is>
          <t>N</t>
        </is>
      </c>
      <c r="P167" s="50" t="n">
        <v>1327.48</v>
      </c>
      <c r="Q167" s="49">
        <f>IF(OR(L167="",M167="",P167=""),"",L167*P167)</f>
        <v/>
      </c>
    </row>
    <row r="168" ht="15" customHeight="1" s="32">
      <c r="A168" s="46" t="inlineStr">
        <is>
          <t>R-HB-0167</t>
        </is>
      </c>
      <c r="B168" s="47" t="n">
        <v>45064</v>
      </c>
      <c r="C168" s="46" t="inlineStr">
        <is>
          <t>2023-05</t>
        </is>
      </c>
      <c r="D168" s="46" t="n">
        <v>2023</v>
      </c>
      <c r="E168" s="46" t="inlineStr">
        <is>
          <t>P-HB-004</t>
        </is>
      </c>
      <c r="F168" s="46" t="inlineStr">
        <is>
          <t>C-HB-05</t>
        </is>
      </c>
      <c r="G168" s="48" t="inlineStr">
        <is>
          <t>독일</t>
        </is>
      </c>
      <c r="H168" s="46" t="inlineStr">
        <is>
          <t>DE</t>
        </is>
      </c>
      <c r="I168" s="49" t="n">
        <v>12299</v>
      </c>
      <c r="J168" s="46" t="inlineStr">
        <is>
          <t>EA</t>
        </is>
      </c>
      <c r="K168" s="50" t="n">
        <v>13.53</v>
      </c>
      <c r="L168" s="50" t="n">
        <v>338759.4</v>
      </c>
      <c r="M168" s="46" t="inlineStr">
        <is>
          <t>USD</t>
        </is>
      </c>
      <c r="N168" s="46" t="inlineStr">
        <is>
          <t>FOB</t>
        </is>
      </c>
      <c r="O168" s="46" t="inlineStr">
        <is>
          <t>N</t>
        </is>
      </c>
      <c r="P168" s="50" t="n">
        <v>1327.48</v>
      </c>
      <c r="Q168" s="49">
        <f>IF(OR(L168="",M168="",P168=""),"",L168*P168)</f>
        <v/>
      </c>
    </row>
    <row r="169" ht="15" customHeight="1" s="32">
      <c r="A169" s="46" t="inlineStr">
        <is>
          <t>R-HB-0168</t>
        </is>
      </c>
      <c r="B169" s="47" t="n">
        <v>45064</v>
      </c>
      <c r="C169" s="46" t="inlineStr">
        <is>
          <t>2023-05</t>
        </is>
      </c>
      <c r="D169" s="46" t="n">
        <v>2023</v>
      </c>
      <c r="E169" s="46" t="inlineStr">
        <is>
          <t>P-HB-002</t>
        </is>
      </c>
      <c r="F169" s="46" t="inlineStr">
        <is>
          <t>C-HB-07</t>
        </is>
      </c>
      <c r="G169" s="48" t="inlineStr">
        <is>
          <t>인도</t>
        </is>
      </c>
      <c r="H169" s="46" t="inlineStr">
        <is>
          <t>IN</t>
        </is>
      </c>
      <c r="I169" s="49" t="n">
        <v>116</v>
      </c>
      <c r="J169" s="46" t="inlineStr">
        <is>
          <t>EA</t>
        </is>
      </c>
      <c r="K169" s="50" t="n">
        <v>0.26</v>
      </c>
      <c r="L169" s="50" t="n">
        <v>28098.84</v>
      </c>
      <c r="M169" s="46" t="inlineStr">
        <is>
          <t>USD</t>
        </is>
      </c>
      <c r="N169" s="46" t="inlineStr">
        <is>
          <t>FOB</t>
        </is>
      </c>
      <c r="O169" s="46" t="inlineStr">
        <is>
          <t>N</t>
        </is>
      </c>
      <c r="P169" s="50" t="n">
        <v>1327.48</v>
      </c>
      <c r="Q169" s="49">
        <f>IF(OR(L169="",M169="",P169=""),"",L169*P169)</f>
        <v/>
      </c>
    </row>
    <row r="170" ht="15" customHeight="1" s="32">
      <c r="A170" s="46" t="inlineStr">
        <is>
          <t>R-HB-0169</t>
        </is>
      </c>
      <c r="B170" s="47" t="n">
        <v>45064</v>
      </c>
      <c r="C170" s="46" t="inlineStr">
        <is>
          <t>2023-05</t>
        </is>
      </c>
      <c r="D170" s="46" t="n">
        <v>2023</v>
      </c>
      <c r="E170" s="46" t="inlineStr">
        <is>
          <t>P-HB-003</t>
        </is>
      </c>
      <c r="F170" s="46" t="inlineStr">
        <is>
          <t>C-HB-07</t>
        </is>
      </c>
      <c r="G170" s="48" t="inlineStr">
        <is>
          <t>인도</t>
        </is>
      </c>
      <c r="H170" s="46" t="inlineStr">
        <is>
          <t>IN</t>
        </is>
      </c>
      <c r="I170" s="49" t="n">
        <v>26184</v>
      </c>
      <c r="J170" s="46" t="inlineStr">
        <is>
          <t>EA</t>
        </is>
      </c>
      <c r="K170" s="50" t="n">
        <v>17.02</v>
      </c>
      <c r="L170" s="50" t="n">
        <v>129137.45</v>
      </c>
      <c r="M170" s="46" t="inlineStr">
        <is>
          <t>USD</t>
        </is>
      </c>
      <c r="N170" s="46" t="inlineStr">
        <is>
          <t>FOB</t>
        </is>
      </c>
      <c r="O170" s="46" t="inlineStr">
        <is>
          <t>N</t>
        </is>
      </c>
      <c r="P170" s="50" t="n">
        <v>1327.48</v>
      </c>
      <c r="Q170" s="49">
        <f>IF(OR(L170="",M170="",P170=""),"",L170*P170)</f>
        <v/>
      </c>
    </row>
    <row r="171" ht="15" customHeight="1" s="32">
      <c r="A171" s="46" t="inlineStr">
        <is>
          <t>R-HB-0170</t>
        </is>
      </c>
      <c r="B171" s="47" t="n">
        <v>45064</v>
      </c>
      <c r="C171" s="46" t="inlineStr">
        <is>
          <t>2023-05</t>
        </is>
      </c>
      <c r="D171" s="46" t="n">
        <v>2023</v>
      </c>
      <c r="E171" s="46" t="inlineStr">
        <is>
          <t>P-HB-002</t>
        </is>
      </c>
      <c r="F171" s="46" t="inlineStr">
        <is>
          <t>C-HB-09</t>
        </is>
      </c>
      <c r="G171" s="48" t="inlineStr">
        <is>
          <t>중국</t>
        </is>
      </c>
      <c r="H171" s="46" t="inlineStr">
        <is>
          <t>CN</t>
        </is>
      </c>
      <c r="I171" s="49" t="n">
        <v>147</v>
      </c>
      <c r="J171" s="46" t="inlineStr">
        <is>
          <t>EA</t>
        </is>
      </c>
      <c r="K171" s="50" t="n">
        <v>0.32</v>
      </c>
      <c r="L171" s="50" t="n">
        <v>35816.42</v>
      </c>
      <c r="M171" s="46" t="inlineStr">
        <is>
          <t>USD</t>
        </is>
      </c>
      <c r="N171" s="46" t="inlineStr">
        <is>
          <t>FOB</t>
        </is>
      </c>
      <c r="O171" s="46" t="inlineStr">
        <is>
          <t>N</t>
        </is>
      </c>
      <c r="P171" s="50" t="n">
        <v>1327.48</v>
      </c>
      <c r="Q171" s="49">
        <f>IF(OR(L171="",M171="",P171=""),"",L171*P171)</f>
        <v/>
      </c>
    </row>
    <row r="172" ht="15" customHeight="1" s="32">
      <c r="A172" s="46" t="inlineStr">
        <is>
          <t>R-HB-0171</t>
        </is>
      </c>
      <c r="B172" s="47" t="n">
        <v>45064</v>
      </c>
      <c r="C172" s="46" t="inlineStr">
        <is>
          <t>2023-05</t>
        </is>
      </c>
      <c r="D172" s="46" t="n">
        <v>2023</v>
      </c>
      <c r="E172" s="46" t="inlineStr">
        <is>
          <t>P-HB-004</t>
        </is>
      </c>
      <c r="F172" s="46" t="inlineStr">
        <is>
          <t>C-HB-09</t>
        </is>
      </c>
      <c r="G172" s="48" t="inlineStr">
        <is>
          <t>중국</t>
        </is>
      </c>
      <c r="H172" s="46" t="inlineStr">
        <is>
          <t>CN</t>
        </is>
      </c>
      <c r="I172" s="49" t="n">
        <v>8154</v>
      </c>
      <c r="J172" s="46" t="inlineStr">
        <is>
          <t>EA</t>
        </is>
      </c>
      <c r="K172" s="50" t="n">
        <v>8.970000000000001</v>
      </c>
      <c r="L172" s="50" t="n">
        <v>232181.29</v>
      </c>
      <c r="M172" s="46" t="inlineStr">
        <is>
          <t>USD</t>
        </is>
      </c>
      <c r="N172" s="46" t="inlineStr">
        <is>
          <t>FOB</t>
        </is>
      </c>
      <c r="O172" s="46" t="inlineStr">
        <is>
          <t>N</t>
        </is>
      </c>
      <c r="P172" s="50" t="n">
        <v>1327.48</v>
      </c>
      <c r="Q172" s="49">
        <f>IF(OR(L172="",M172="",P172=""),"",L172*P172)</f>
        <v/>
      </c>
    </row>
    <row r="173" ht="15" customHeight="1" s="32">
      <c r="A173" s="46" t="inlineStr">
        <is>
          <t>R-HB-0172</t>
        </is>
      </c>
      <c r="B173" s="47" t="n">
        <v>45066</v>
      </c>
      <c r="C173" s="46" t="inlineStr">
        <is>
          <t>2023-05</t>
        </is>
      </c>
      <c r="D173" s="46" t="n">
        <v>2023</v>
      </c>
      <c r="E173" s="46" t="inlineStr">
        <is>
          <t>P-HB-001</t>
        </is>
      </c>
      <c r="F173" s="46" t="inlineStr">
        <is>
          <t>C-HB-09</t>
        </is>
      </c>
      <c r="G173" s="48" t="inlineStr">
        <is>
          <t>중국</t>
        </is>
      </c>
      <c r="H173" s="46" t="inlineStr">
        <is>
          <t>CN</t>
        </is>
      </c>
      <c r="I173" s="49" t="n">
        <v>83845</v>
      </c>
      <c r="J173" s="46" t="inlineStr">
        <is>
          <t>EA</t>
        </is>
      </c>
      <c r="K173" s="50" t="n">
        <v>37.73</v>
      </c>
      <c r="L173" s="50" t="n">
        <v>288385.52</v>
      </c>
      <c r="M173" s="46" t="inlineStr">
        <is>
          <t>USD</t>
        </is>
      </c>
      <c r="N173" s="46" t="inlineStr">
        <is>
          <t>FOB</t>
        </is>
      </c>
      <c r="O173" s="46" t="inlineStr">
        <is>
          <t>N</t>
        </is>
      </c>
      <c r="P173" s="50" t="n">
        <v>1327.48</v>
      </c>
      <c r="Q173" s="49">
        <f>IF(OR(L173="",M173="",P173=""),"",L173*P173)</f>
        <v/>
      </c>
    </row>
    <row r="174" ht="15" customHeight="1" s="32">
      <c r="A174" s="46" t="inlineStr">
        <is>
          <t>R-HB-0173</t>
        </is>
      </c>
      <c r="B174" s="47" t="n">
        <v>45067</v>
      </c>
      <c r="C174" s="46" t="inlineStr">
        <is>
          <t>2023-05</t>
        </is>
      </c>
      <c r="D174" s="46" t="n">
        <v>2023</v>
      </c>
      <c r="E174" s="46" t="inlineStr">
        <is>
          <t>P-HB-002</t>
        </is>
      </c>
      <c r="F174" s="46" t="inlineStr">
        <is>
          <t>C-HB-02</t>
        </is>
      </c>
      <c r="G174" s="48" t="inlineStr">
        <is>
          <t>미국</t>
        </is>
      </c>
      <c r="H174" s="46" t="inlineStr">
        <is>
          <t>US</t>
        </is>
      </c>
      <c r="I174" s="49" t="n">
        <v>124</v>
      </c>
      <c r="J174" s="46" t="inlineStr">
        <is>
          <t>EA</t>
        </is>
      </c>
      <c r="K174" s="50" t="n">
        <v>0.27</v>
      </c>
      <c r="L174" s="50" t="n">
        <v>30244.52</v>
      </c>
      <c r="M174" s="46" t="inlineStr">
        <is>
          <t>USD</t>
        </is>
      </c>
      <c r="N174" s="46" t="inlineStr">
        <is>
          <t>FOB</t>
        </is>
      </c>
      <c r="O174" s="46" t="inlineStr">
        <is>
          <t>N</t>
        </is>
      </c>
      <c r="P174" s="50" t="n">
        <v>1327.48</v>
      </c>
      <c r="Q174" s="49">
        <f>IF(OR(L174="",M174="",P174=""),"",L174*P174)</f>
        <v/>
      </c>
    </row>
    <row r="175" ht="15" customHeight="1" s="32">
      <c r="A175" s="46" t="inlineStr">
        <is>
          <t>R-HB-0174</t>
        </is>
      </c>
      <c r="B175" s="47" t="n">
        <v>45067</v>
      </c>
      <c r="C175" s="46" t="inlineStr">
        <is>
          <t>2023-05</t>
        </is>
      </c>
      <c r="D175" s="46" t="n">
        <v>2023</v>
      </c>
      <c r="E175" s="46" t="inlineStr">
        <is>
          <t>P-HB-004</t>
        </is>
      </c>
      <c r="F175" s="46" t="inlineStr">
        <is>
          <t>C-HB-04</t>
        </is>
      </c>
      <c r="G175" s="48" t="inlineStr">
        <is>
          <t>캐나다</t>
        </is>
      </c>
      <c r="H175" s="46" t="inlineStr">
        <is>
          <t>CA</t>
        </is>
      </c>
      <c r="I175" s="49" t="n">
        <v>1250</v>
      </c>
      <c r="J175" s="46" t="inlineStr">
        <is>
          <t>EA</t>
        </is>
      </c>
      <c r="K175" s="50" t="n">
        <v>1.38</v>
      </c>
      <c r="L175" s="50" t="n">
        <v>36105.37</v>
      </c>
      <c r="M175" s="46" t="inlineStr">
        <is>
          <t>USD</t>
        </is>
      </c>
      <c r="N175" s="46" t="inlineStr">
        <is>
          <t>FOB</t>
        </is>
      </c>
      <c r="O175" s="46" t="inlineStr">
        <is>
          <t>N</t>
        </is>
      </c>
      <c r="P175" s="50" t="n">
        <v>1327.48</v>
      </c>
      <c r="Q175" s="49">
        <f>IF(OR(L175="",M175="",P175=""),"",L175*P175)</f>
        <v/>
      </c>
    </row>
    <row r="176" ht="15" customHeight="1" s="32">
      <c r="A176" s="46" t="inlineStr">
        <is>
          <t>R-HB-0175</t>
        </is>
      </c>
      <c r="B176" s="47" t="n">
        <v>45068</v>
      </c>
      <c r="C176" s="46" t="inlineStr">
        <is>
          <t>2023-05</t>
        </is>
      </c>
      <c r="D176" s="46" t="n">
        <v>2023</v>
      </c>
      <c r="E176" s="46" t="inlineStr">
        <is>
          <t>P-HB-001</t>
        </is>
      </c>
      <c r="F176" s="46" t="inlineStr">
        <is>
          <t>C-HB-01</t>
        </is>
      </c>
      <c r="G176" s="48" t="inlineStr">
        <is>
          <t>미국</t>
        </is>
      </c>
      <c r="H176" s="46" t="inlineStr">
        <is>
          <t>US</t>
        </is>
      </c>
      <c r="I176" s="49" t="n">
        <v>140641</v>
      </c>
      <c r="J176" s="46" t="inlineStr">
        <is>
          <t>EA</t>
        </is>
      </c>
      <c r="K176" s="50" t="n">
        <v>63.29</v>
      </c>
      <c r="L176" s="50" t="n">
        <v>492074.57</v>
      </c>
      <c r="M176" s="46" t="inlineStr">
        <is>
          <t>USD</t>
        </is>
      </c>
      <c r="N176" s="46" t="inlineStr">
        <is>
          <t>FOB</t>
        </is>
      </c>
      <c r="O176" s="46" t="inlineStr">
        <is>
          <t>N</t>
        </is>
      </c>
      <c r="P176" s="50" t="n">
        <v>1327.48</v>
      </c>
      <c r="Q176" s="49">
        <f>IF(OR(L176="",M176="",P176=""),"",L176*P176)</f>
        <v/>
      </c>
    </row>
    <row r="177" ht="15" customHeight="1" s="32">
      <c r="A177" s="46" t="inlineStr">
        <is>
          <t>R-HB-0176</t>
        </is>
      </c>
      <c r="B177" s="47" t="n">
        <v>45068</v>
      </c>
      <c r="C177" s="46" t="inlineStr">
        <is>
          <t>2023-05</t>
        </is>
      </c>
      <c r="D177" s="46" t="n">
        <v>2023</v>
      </c>
      <c r="E177" s="46" t="inlineStr">
        <is>
          <t>P-HB-001</t>
        </is>
      </c>
      <c r="F177" s="46" t="inlineStr">
        <is>
          <t>C-HB-08</t>
        </is>
      </c>
      <c r="G177" s="48" t="inlineStr">
        <is>
          <t>중국</t>
        </is>
      </c>
      <c r="H177" s="46" t="inlineStr">
        <is>
          <t>CN</t>
        </is>
      </c>
      <c r="I177" s="49" t="n">
        <v>125414</v>
      </c>
      <c r="J177" s="46" t="inlineStr">
        <is>
          <t>EA</t>
        </is>
      </c>
      <c r="K177" s="50" t="n">
        <v>56.44</v>
      </c>
      <c r="L177" s="50" t="n">
        <v>423731.27</v>
      </c>
      <c r="M177" s="46" t="inlineStr">
        <is>
          <t>USD</t>
        </is>
      </c>
      <c r="N177" s="46" t="inlineStr">
        <is>
          <t>FOB</t>
        </is>
      </c>
      <c r="O177" s="46" t="inlineStr">
        <is>
          <t>N</t>
        </is>
      </c>
      <c r="P177" s="50" t="n">
        <v>1327.48</v>
      </c>
      <c r="Q177" s="49">
        <f>IF(OR(L177="",M177="",P177=""),"",L177*P177)</f>
        <v/>
      </c>
    </row>
    <row r="178" ht="15" customHeight="1" s="32">
      <c r="A178" s="46" t="inlineStr">
        <is>
          <t>R-HB-0177</t>
        </is>
      </c>
      <c r="B178" s="47" t="n">
        <v>45069</v>
      </c>
      <c r="C178" s="46" t="inlineStr">
        <is>
          <t>2023-05</t>
        </is>
      </c>
      <c r="D178" s="46" t="n">
        <v>2023</v>
      </c>
      <c r="E178" s="46" t="inlineStr">
        <is>
          <t>P-HB-004</t>
        </is>
      </c>
      <c r="F178" s="46" t="inlineStr">
        <is>
          <t>C-HB-03</t>
        </is>
      </c>
      <c r="G178" s="48" t="inlineStr">
        <is>
          <t>멕시코</t>
        </is>
      </c>
      <c r="H178" s="46" t="inlineStr">
        <is>
          <t>MX</t>
        </is>
      </c>
      <c r="I178" s="49" t="n">
        <v>2546</v>
      </c>
      <c r="J178" s="46" t="inlineStr">
        <is>
          <t>EA</t>
        </is>
      </c>
      <c r="K178" s="50" t="n">
        <v>2.8</v>
      </c>
      <c r="L178" s="50" t="n">
        <v>72899.25</v>
      </c>
      <c r="M178" s="46" t="inlineStr">
        <is>
          <t>USD</t>
        </is>
      </c>
      <c r="N178" s="46" t="inlineStr">
        <is>
          <t>FOB</t>
        </is>
      </c>
      <c r="O178" s="46" t="inlineStr">
        <is>
          <t>N</t>
        </is>
      </c>
      <c r="P178" s="50" t="n">
        <v>1327.48</v>
      </c>
      <c r="Q178" s="49">
        <f>IF(OR(L178="",M178="",P178=""),"",L178*P178)</f>
        <v/>
      </c>
    </row>
    <row r="179" ht="15" customHeight="1" s="32">
      <c r="A179" s="46" t="inlineStr">
        <is>
          <t>R-HB-0178</t>
        </is>
      </c>
      <c r="B179" s="47" t="n">
        <v>45072</v>
      </c>
      <c r="C179" s="46" t="inlineStr">
        <is>
          <t>2023-05</t>
        </is>
      </c>
      <c r="D179" s="46" t="n">
        <v>2023</v>
      </c>
      <c r="E179" s="46" t="inlineStr">
        <is>
          <t>P-HB-001</t>
        </is>
      </c>
      <c r="F179" s="46" t="inlineStr">
        <is>
          <t>C-HB-03</t>
        </is>
      </c>
      <c r="G179" s="48" t="inlineStr">
        <is>
          <t>멕시코</t>
        </is>
      </c>
      <c r="H179" s="46" t="inlineStr">
        <is>
          <t>MX</t>
        </is>
      </c>
      <c r="I179" s="49" t="n">
        <v>27955</v>
      </c>
      <c r="J179" s="46" t="inlineStr">
        <is>
          <t>EA</t>
        </is>
      </c>
      <c r="K179" s="50" t="n">
        <v>12.58</v>
      </c>
      <c r="L179" s="50" t="n">
        <v>98673.08</v>
      </c>
      <c r="M179" s="46" t="inlineStr">
        <is>
          <t>USD</t>
        </is>
      </c>
      <c r="N179" s="46" t="inlineStr">
        <is>
          <t>FOB</t>
        </is>
      </c>
      <c r="O179" s="46" t="inlineStr">
        <is>
          <t>N</t>
        </is>
      </c>
      <c r="P179" s="50" t="n">
        <v>1327.48</v>
      </c>
      <c r="Q179" s="49">
        <f>IF(OR(L179="",M179="",P179=""),"",L179*P179)</f>
        <v/>
      </c>
    </row>
    <row r="180" ht="15" customHeight="1" s="32">
      <c r="A180" s="46" t="inlineStr">
        <is>
          <t>R-HB-0179</t>
        </is>
      </c>
      <c r="B180" s="47" t="n">
        <v>45072</v>
      </c>
      <c r="C180" s="46" t="inlineStr">
        <is>
          <t>2023-05</t>
        </is>
      </c>
      <c r="D180" s="46" t="n">
        <v>2023</v>
      </c>
      <c r="E180" s="46" t="inlineStr">
        <is>
          <t>P-HB-001</t>
        </is>
      </c>
      <c r="F180" s="46" t="inlineStr">
        <is>
          <t>C-HB-06</t>
        </is>
      </c>
      <c r="G180" s="48" t="inlineStr">
        <is>
          <t>베트남</t>
        </is>
      </c>
      <c r="H180" s="46" t="inlineStr">
        <is>
          <t>VN</t>
        </is>
      </c>
      <c r="I180" s="49" t="n">
        <v>102168</v>
      </c>
      <c r="J180" s="46" t="inlineStr">
        <is>
          <t>EA</t>
        </is>
      </c>
      <c r="K180" s="50" t="n">
        <v>45.98</v>
      </c>
      <c r="L180" s="50" t="n">
        <v>364439.63</v>
      </c>
      <c r="M180" s="46" t="inlineStr">
        <is>
          <t>USD</t>
        </is>
      </c>
      <c r="N180" s="46" t="inlineStr">
        <is>
          <t>FOB</t>
        </is>
      </c>
      <c r="O180" s="46" t="inlineStr">
        <is>
          <t>N</t>
        </is>
      </c>
      <c r="P180" s="50" t="n">
        <v>1327.48</v>
      </c>
      <c r="Q180" s="49">
        <f>IF(OR(L180="",M180="",P180=""),"",L180*P180)</f>
        <v/>
      </c>
    </row>
    <row r="181" ht="15" customHeight="1" s="32">
      <c r="A181" s="46" t="inlineStr">
        <is>
          <t>R-HB-0180</t>
        </is>
      </c>
      <c r="B181" s="47" t="n">
        <v>45073</v>
      </c>
      <c r="C181" s="46" t="inlineStr">
        <is>
          <t>2023-05</t>
        </is>
      </c>
      <c r="D181" s="46" t="n">
        <v>2023</v>
      </c>
      <c r="E181" s="46" t="inlineStr">
        <is>
          <t>P-HB-004</t>
        </is>
      </c>
      <c r="F181" s="46" t="inlineStr">
        <is>
          <t>C-HB-07</t>
        </is>
      </c>
      <c r="G181" s="48" t="inlineStr">
        <is>
          <t>인도</t>
        </is>
      </c>
      <c r="H181" s="46" t="inlineStr">
        <is>
          <t>IN</t>
        </is>
      </c>
      <c r="I181" s="49" t="n">
        <v>6662</v>
      </c>
      <c r="J181" s="46" t="inlineStr">
        <is>
          <t>EA</t>
        </is>
      </c>
      <c r="K181" s="50" t="n">
        <v>7.33</v>
      </c>
      <c r="L181" s="50" t="n">
        <v>184163.79</v>
      </c>
      <c r="M181" s="46" t="inlineStr">
        <is>
          <t>USD</t>
        </is>
      </c>
      <c r="N181" s="46" t="inlineStr">
        <is>
          <t>FOB</t>
        </is>
      </c>
      <c r="O181" s="46" t="inlineStr">
        <is>
          <t>N</t>
        </is>
      </c>
      <c r="P181" s="50" t="n">
        <v>1327.48</v>
      </c>
      <c r="Q181" s="49">
        <f>IF(OR(L181="",M181="",P181=""),"",L181*P181)</f>
        <v/>
      </c>
    </row>
    <row r="182" ht="15" customHeight="1" s="32">
      <c r="A182" s="46" t="inlineStr">
        <is>
          <t>R-HB-0181</t>
        </is>
      </c>
      <c r="B182" s="47" t="n">
        <v>45080</v>
      </c>
      <c r="C182" s="46" t="inlineStr">
        <is>
          <t>2023-06</t>
        </is>
      </c>
      <c r="D182" s="46" t="n">
        <v>2023</v>
      </c>
      <c r="E182" s="46" t="inlineStr">
        <is>
          <t>P-HB-002</t>
        </is>
      </c>
      <c r="F182" s="46" t="inlineStr">
        <is>
          <t>C-HB-01</t>
        </is>
      </c>
      <c r="G182" s="48" t="inlineStr">
        <is>
          <t>미국</t>
        </is>
      </c>
      <c r="H182" s="46" t="inlineStr">
        <is>
          <t>US</t>
        </is>
      </c>
      <c r="I182" s="49" t="n">
        <v>239</v>
      </c>
      <c r="J182" s="46" t="inlineStr">
        <is>
          <t>EA</t>
        </is>
      </c>
      <c r="K182" s="50" t="n">
        <v>0.53</v>
      </c>
      <c r="L182" s="50" t="n">
        <v>53368.36</v>
      </c>
      <c r="M182" s="46" t="inlineStr">
        <is>
          <t>USD</t>
        </is>
      </c>
      <c r="N182" s="46" t="inlineStr">
        <is>
          <t>FOB</t>
        </is>
      </c>
      <c r="O182" s="46" t="inlineStr">
        <is>
          <t>N</t>
        </is>
      </c>
      <c r="P182" s="50" t="n">
        <v>1297.2514</v>
      </c>
      <c r="Q182" s="49">
        <f>IF(OR(L182="",M182="",P182=""),"",L182*P182)</f>
        <v/>
      </c>
    </row>
    <row r="183" ht="15" customHeight="1" s="32">
      <c r="A183" s="46" t="inlineStr">
        <is>
          <t>R-HB-0182</t>
        </is>
      </c>
      <c r="B183" s="47" t="n">
        <v>45080</v>
      </c>
      <c r="C183" s="46" t="inlineStr">
        <is>
          <t>2023-06</t>
        </is>
      </c>
      <c r="D183" s="46" t="n">
        <v>2023</v>
      </c>
      <c r="E183" s="46" t="inlineStr">
        <is>
          <t>P-HB-004</t>
        </is>
      </c>
      <c r="F183" s="46" t="inlineStr">
        <is>
          <t>C-HB-04</t>
        </is>
      </c>
      <c r="G183" s="48" t="inlineStr">
        <is>
          <t>캐나다</t>
        </is>
      </c>
      <c r="H183" s="46" t="inlineStr">
        <is>
          <t>CA</t>
        </is>
      </c>
      <c r="I183" s="49" t="n">
        <v>1407</v>
      </c>
      <c r="J183" s="46" t="inlineStr">
        <is>
          <t>EA</t>
        </is>
      </c>
      <c r="K183" s="50" t="n">
        <v>1.55</v>
      </c>
      <c r="L183" s="50" t="n">
        <v>37869.58</v>
      </c>
      <c r="M183" s="46" t="inlineStr">
        <is>
          <t>USD</t>
        </is>
      </c>
      <c r="N183" s="46" t="inlineStr">
        <is>
          <t>FOB</t>
        </is>
      </c>
      <c r="O183" s="46" t="inlineStr">
        <is>
          <t>N</t>
        </is>
      </c>
      <c r="P183" s="50" t="n">
        <v>1297.2514</v>
      </c>
      <c r="Q183" s="49">
        <f>IF(OR(L183="",M183="",P183=""),"",L183*P183)</f>
        <v/>
      </c>
    </row>
    <row r="184" ht="15" customHeight="1" s="32">
      <c r="A184" s="46" t="inlineStr">
        <is>
          <t>R-HB-0183</t>
        </is>
      </c>
      <c r="B184" s="47" t="n">
        <v>45081</v>
      </c>
      <c r="C184" s="46" t="inlineStr">
        <is>
          <t>2023-06</t>
        </is>
      </c>
      <c r="D184" s="46" t="n">
        <v>2023</v>
      </c>
      <c r="E184" s="46" t="inlineStr">
        <is>
          <t>P-HB-004</t>
        </is>
      </c>
      <c r="F184" s="46" t="inlineStr">
        <is>
          <t>C-HB-08</t>
        </is>
      </c>
      <c r="G184" s="48" t="inlineStr">
        <is>
          <t>중국</t>
        </is>
      </c>
      <c r="H184" s="46" t="inlineStr">
        <is>
          <t>CN</t>
        </is>
      </c>
      <c r="I184" s="49" t="n">
        <v>13932</v>
      </c>
      <c r="J184" s="46" t="inlineStr">
        <is>
          <t>EA</t>
        </is>
      </c>
      <c r="K184" s="50" t="n">
        <v>15.33</v>
      </c>
      <c r="L184" s="50" t="n">
        <v>393469.24</v>
      </c>
      <c r="M184" s="46" t="inlineStr">
        <is>
          <t>USD</t>
        </is>
      </c>
      <c r="N184" s="46" t="inlineStr">
        <is>
          <t>FOB</t>
        </is>
      </c>
      <c r="O184" s="46" t="inlineStr">
        <is>
          <t>N</t>
        </is>
      </c>
      <c r="P184" s="50" t="n">
        <v>1297.2514</v>
      </c>
      <c r="Q184" s="49">
        <f>IF(OR(L184="",M184="",P184=""),"",L184*P184)</f>
        <v/>
      </c>
    </row>
    <row r="185" ht="15" customHeight="1" s="32">
      <c r="A185" s="46" t="inlineStr">
        <is>
          <t>R-HB-0184</t>
        </is>
      </c>
      <c r="B185" s="47" t="n">
        <v>45082</v>
      </c>
      <c r="C185" s="46" t="inlineStr">
        <is>
          <t>2023-06</t>
        </is>
      </c>
      <c r="D185" s="46" t="n">
        <v>2023</v>
      </c>
      <c r="E185" s="46" t="inlineStr">
        <is>
          <t>P-HB-004</t>
        </is>
      </c>
      <c r="F185" s="46" t="inlineStr">
        <is>
          <t>C-HB-02</t>
        </is>
      </c>
      <c r="G185" s="48" t="inlineStr">
        <is>
          <t>미국</t>
        </is>
      </c>
      <c r="H185" s="46" t="inlineStr">
        <is>
          <t>US</t>
        </is>
      </c>
      <c r="I185" s="49" t="n">
        <v>7964</v>
      </c>
      <c r="J185" s="46" t="inlineStr">
        <is>
          <t>EA</t>
        </is>
      </c>
      <c r="K185" s="50" t="n">
        <v>8.76</v>
      </c>
      <c r="L185" s="50" t="n">
        <v>226747.5</v>
      </c>
      <c r="M185" s="46" t="inlineStr">
        <is>
          <t>USD</t>
        </is>
      </c>
      <c r="N185" s="46" t="inlineStr">
        <is>
          <t>FOB</t>
        </is>
      </c>
      <c r="O185" s="46" t="inlineStr">
        <is>
          <t>N</t>
        </is>
      </c>
      <c r="P185" s="50" t="n">
        <v>1297.2514</v>
      </c>
      <c r="Q185" s="49">
        <f>IF(OR(L185="",M185="",P185=""),"",L185*P185)</f>
        <v/>
      </c>
    </row>
    <row r="186" ht="15" customHeight="1" s="32">
      <c r="A186" s="46" t="inlineStr">
        <is>
          <t>R-HB-0185</t>
        </is>
      </c>
      <c r="B186" s="47" t="n">
        <v>45082</v>
      </c>
      <c r="C186" s="46" t="inlineStr">
        <is>
          <t>2023-06</t>
        </is>
      </c>
      <c r="D186" s="46" t="n">
        <v>2023</v>
      </c>
      <c r="E186" s="46" t="inlineStr">
        <is>
          <t>P-HB-004</t>
        </is>
      </c>
      <c r="F186" s="46" t="inlineStr">
        <is>
          <t>C-HB-06</t>
        </is>
      </c>
      <c r="G186" s="48" t="inlineStr">
        <is>
          <t>베트남</t>
        </is>
      </c>
      <c r="H186" s="46" t="inlineStr">
        <is>
          <t>VN</t>
        </is>
      </c>
      <c r="I186" s="49" t="n">
        <v>10890</v>
      </c>
      <c r="J186" s="46" t="inlineStr">
        <is>
          <t>EA</t>
        </is>
      </c>
      <c r="K186" s="50" t="n">
        <v>11.98</v>
      </c>
      <c r="L186" s="50" t="n">
        <v>303004.11</v>
      </c>
      <c r="M186" s="46" t="inlineStr">
        <is>
          <t>USD</t>
        </is>
      </c>
      <c r="N186" s="46" t="inlineStr">
        <is>
          <t>FOB</t>
        </is>
      </c>
      <c r="O186" s="46" t="inlineStr">
        <is>
          <t>N</t>
        </is>
      </c>
      <c r="P186" s="50" t="n">
        <v>1297.2514</v>
      </c>
      <c r="Q186" s="49">
        <f>IF(OR(L186="",M186="",P186=""),"",L186*P186)</f>
        <v/>
      </c>
    </row>
    <row r="187" ht="15" customHeight="1" s="32">
      <c r="A187" s="46" t="inlineStr">
        <is>
          <t>R-HB-0186</t>
        </is>
      </c>
      <c r="B187" s="47" t="n">
        <v>45083</v>
      </c>
      <c r="C187" s="46" t="inlineStr">
        <is>
          <t>2023-06</t>
        </is>
      </c>
      <c r="D187" s="46" t="n">
        <v>2023</v>
      </c>
      <c r="E187" s="46" t="inlineStr">
        <is>
          <t>P-HB-001</t>
        </is>
      </c>
      <c r="F187" s="46" t="inlineStr">
        <is>
          <t>C-HB-01</t>
        </is>
      </c>
      <c r="G187" s="48" t="inlineStr">
        <is>
          <t>미국</t>
        </is>
      </c>
      <c r="H187" s="46" t="inlineStr">
        <is>
          <t>US</t>
        </is>
      </c>
      <c r="I187" s="49" t="n">
        <v>164658</v>
      </c>
      <c r="J187" s="46" t="inlineStr">
        <is>
          <t>EA</t>
        </is>
      </c>
      <c r="K187" s="50" t="n">
        <v>74.09999999999999</v>
      </c>
      <c r="L187" s="50" t="n">
        <v>525555.28</v>
      </c>
      <c r="M187" s="46" t="inlineStr">
        <is>
          <t>USD</t>
        </is>
      </c>
      <c r="N187" s="46" t="inlineStr">
        <is>
          <t>FOB</t>
        </is>
      </c>
      <c r="O187" s="46" t="inlineStr">
        <is>
          <t>N</t>
        </is>
      </c>
      <c r="P187" s="50" t="n">
        <v>1297.2514</v>
      </c>
      <c r="Q187" s="49">
        <f>IF(OR(L187="",M187="",P187=""),"",L187*P187)</f>
        <v/>
      </c>
    </row>
    <row r="188" ht="15" customHeight="1" s="32">
      <c r="A188" s="46" t="inlineStr">
        <is>
          <t>R-HB-0187</t>
        </is>
      </c>
      <c r="B188" s="47" t="n">
        <v>45085</v>
      </c>
      <c r="C188" s="46" t="inlineStr">
        <is>
          <t>2023-06</t>
        </is>
      </c>
      <c r="D188" s="46" t="n">
        <v>2023</v>
      </c>
      <c r="E188" s="46" t="inlineStr">
        <is>
          <t>P-HB-001</t>
        </is>
      </c>
      <c r="F188" s="46" t="inlineStr">
        <is>
          <t>C-HB-03</t>
        </is>
      </c>
      <c r="G188" s="48" t="inlineStr">
        <is>
          <t>멕시코</t>
        </is>
      </c>
      <c r="H188" s="46" t="inlineStr">
        <is>
          <t>MX</t>
        </is>
      </c>
      <c r="I188" s="49" t="n">
        <v>28762</v>
      </c>
      <c r="J188" s="46" t="inlineStr">
        <is>
          <t>EA</t>
        </is>
      </c>
      <c r="K188" s="50" t="n">
        <v>12.94</v>
      </c>
      <c r="L188" s="50" t="n">
        <v>94566.32000000001</v>
      </c>
      <c r="M188" s="46" t="inlineStr">
        <is>
          <t>USD</t>
        </is>
      </c>
      <c r="N188" s="46" t="inlineStr">
        <is>
          <t>FOB</t>
        </is>
      </c>
      <c r="O188" s="46" t="inlineStr">
        <is>
          <t>N</t>
        </is>
      </c>
      <c r="P188" s="50" t="n">
        <v>1297.2514</v>
      </c>
      <c r="Q188" s="49">
        <f>IF(OR(L188="",M188="",P188=""),"",L188*P188)</f>
        <v/>
      </c>
    </row>
    <row r="189" ht="15" customHeight="1" s="32">
      <c r="A189" s="46" t="inlineStr">
        <is>
          <t>R-HB-0188</t>
        </is>
      </c>
      <c r="B189" s="47" t="n">
        <v>45086</v>
      </c>
      <c r="C189" s="46" t="inlineStr">
        <is>
          <t>2023-06</t>
        </is>
      </c>
      <c r="D189" s="46" t="n">
        <v>2023</v>
      </c>
      <c r="E189" s="46" t="inlineStr">
        <is>
          <t>P-HB-001</t>
        </is>
      </c>
      <c r="F189" s="46" t="inlineStr">
        <is>
          <t>C-HB-02</t>
        </is>
      </c>
      <c r="G189" s="48" t="inlineStr">
        <is>
          <t>미국</t>
        </is>
      </c>
      <c r="H189" s="46" t="inlineStr">
        <is>
          <t>US</t>
        </is>
      </c>
      <c r="I189" s="49" t="n">
        <v>76446</v>
      </c>
      <c r="J189" s="46" t="inlineStr">
        <is>
          <t>EA</t>
        </is>
      </c>
      <c r="K189" s="50" t="n">
        <v>34.4</v>
      </c>
      <c r="L189" s="50" t="n">
        <v>253710.09</v>
      </c>
      <c r="M189" s="46" t="inlineStr">
        <is>
          <t>USD</t>
        </is>
      </c>
      <c r="N189" s="46" t="inlineStr">
        <is>
          <t>FOB</t>
        </is>
      </c>
      <c r="O189" s="46" t="inlineStr">
        <is>
          <t>N</t>
        </is>
      </c>
      <c r="P189" s="50" t="n">
        <v>1297.2514</v>
      </c>
      <c r="Q189" s="49">
        <f>IF(OR(L189="",M189="",P189=""),"",L189*P189)</f>
        <v/>
      </c>
    </row>
    <row r="190" ht="15" customHeight="1" s="32">
      <c r="A190" s="46" t="inlineStr">
        <is>
          <t>R-HB-0189</t>
        </is>
      </c>
      <c r="B190" s="47" t="n">
        <v>45086</v>
      </c>
      <c r="C190" s="46" t="inlineStr">
        <is>
          <t>2023-06</t>
        </is>
      </c>
      <c r="D190" s="46" t="n">
        <v>2023</v>
      </c>
      <c r="E190" s="46" t="inlineStr">
        <is>
          <t>P-HB-002</t>
        </is>
      </c>
      <c r="F190" s="46" t="inlineStr">
        <is>
          <t>C-HB-03</t>
        </is>
      </c>
      <c r="G190" s="48" t="inlineStr">
        <is>
          <t>멕시코</t>
        </is>
      </c>
      <c r="H190" s="46" t="inlineStr">
        <is>
          <t>MX</t>
        </is>
      </c>
      <c r="I190" s="49" t="n">
        <v>46</v>
      </c>
      <c r="J190" s="46" t="inlineStr">
        <is>
          <t>EA</t>
        </is>
      </c>
      <c r="K190" s="50" t="n">
        <v>0.1</v>
      </c>
      <c r="L190" s="50" t="n">
        <v>10243.16</v>
      </c>
      <c r="M190" s="46" t="inlineStr">
        <is>
          <t>USD</t>
        </is>
      </c>
      <c r="N190" s="46" t="inlineStr">
        <is>
          <t>FOB</t>
        </is>
      </c>
      <c r="O190" s="46" t="inlineStr">
        <is>
          <t>N</t>
        </is>
      </c>
      <c r="P190" s="50" t="n">
        <v>1297.2514</v>
      </c>
      <c r="Q190" s="49">
        <f>IF(OR(L190="",M190="",P190=""),"",L190*P190)</f>
        <v/>
      </c>
    </row>
    <row r="191" ht="15" customHeight="1" s="32">
      <c r="A191" s="46" t="inlineStr">
        <is>
          <t>R-HB-0190</t>
        </is>
      </c>
      <c r="B191" s="47" t="n">
        <v>45086</v>
      </c>
      <c r="C191" s="46" t="inlineStr">
        <is>
          <t>2023-06</t>
        </is>
      </c>
      <c r="D191" s="46" t="n">
        <v>2023</v>
      </c>
      <c r="E191" s="46" t="inlineStr">
        <is>
          <t>P-HB-001</t>
        </is>
      </c>
      <c r="F191" s="46" t="inlineStr">
        <is>
          <t>C-HB-05</t>
        </is>
      </c>
      <c r="G191" s="48" t="inlineStr">
        <is>
          <t>독일</t>
        </is>
      </c>
      <c r="H191" s="46" t="inlineStr">
        <is>
          <t>DE</t>
        </is>
      </c>
      <c r="I191" s="49" t="n">
        <v>119281</v>
      </c>
      <c r="J191" s="46" t="inlineStr">
        <is>
          <t>EA</t>
        </is>
      </c>
      <c r="K191" s="50" t="n">
        <v>53.68</v>
      </c>
      <c r="L191" s="50" t="n">
        <v>404852.76</v>
      </c>
      <c r="M191" s="46" t="inlineStr">
        <is>
          <t>USD</t>
        </is>
      </c>
      <c r="N191" s="46" t="inlineStr">
        <is>
          <t>FOB</t>
        </is>
      </c>
      <c r="O191" s="46" t="inlineStr">
        <is>
          <t>N</t>
        </is>
      </c>
      <c r="P191" s="50" t="n">
        <v>1297.2514</v>
      </c>
      <c r="Q191" s="49">
        <f>IF(OR(L191="",M191="",P191=""),"",L191*P191)</f>
        <v/>
      </c>
    </row>
    <row r="192" ht="15" customHeight="1" s="32">
      <c r="A192" s="46" t="inlineStr">
        <is>
          <t>R-HB-0191</t>
        </is>
      </c>
      <c r="B192" s="47" t="n">
        <v>45088</v>
      </c>
      <c r="C192" s="46" t="inlineStr">
        <is>
          <t>2023-06</t>
        </is>
      </c>
      <c r="D192" s="46" t="n">
        <v>2023</v>
      </c>
      <c r="E192" s="46" t="inlineStr">
        <is>
          <t>P-HB-002</t>
        </is>
      </c>
      <c r="F192" s="46" t="inlineStr">
        <is>
          <t>C-HB-09</t>
        </is>
      </c>
      <c r="G192" s="48" t="inlineStr">
        <is>
          <t>중국</t>
        </is>
      </c>
      <c r="H192" s="46" t="inlineStr">
        <is>
          <t>CN</t>
        </is>
      </c>
      <c r="I192" s="49" t="n">
        <v>156</v>
      </c>
      <c r="J192" s="46" t="inlineStr">
        <is>
          <t>EA</t>
        </is>
      </c>
      <c r="K192" s="50" t="n">
        <v>0.34</v>
      </c>
      <c r="L192" s="50" t="n">
        <v>34134.7</v>
      </c>
      <c r="M192" s="46" t="inlineStr">
        <is>
          <t>USD</t>
        </is>
      </c>
      <c r="N192" s="46" t="inlineStr">
        <is>
          <t>FOB</t>
        </is>
      </c>
      <c r="O192" s="46" t="inlineStr">
        <is>
          <t>N</t>
        </is>
      </c>
      <c r="P192" s="50" t="n">
        <v>1297.2514</v>
      </c>
      <c r="Q192" s="49">
        <f>IF(OR(L192="",M192="",P192=""),"",L192*P192)</f>
        <v/>
      </c>
    </row>
    <row r="193" ht="15" customHeight="1" s="32">
      <c r="A193" s="46" t="inlineStr">
        <is>
          <t>R-HB-0192</t>
        </is>
      </c>
      <c r="B193" s="47" t="n">
        <v>45089</v>
      </c>
      <c r="C193" s="46" t="inlineStr">
        <is>
          <t>2023-06</t>
        </is>
      </c>
      <c r="D193" s="46" t="n">
        <v>2023</v>
      </c>
      <c r="E193" s="46" t="inlineStr">
        <is>
          <t>P-HB-002</t>
        </is>
      </c>
      <c r="F193" s="46" t="inlineStr">
        <is>
          <t>C-HB-04</t>
        </is>
      </c>
      <c r="G193" s="48" t="inlineStr">
        <is>
          <t>캐나다</t>
        </is>
      </c>
      <c r="H193" s="46" t="inlineStr">
        <is>
          <t>CA</t>
        </is>
      </c>
      <c r="I193" s="49" t="n">
        <v>21</v>
      </c>
      <c r="J193" s="46" t="inlineStr">
        <is>
          <t>EA</t>
        </is>
      </c>
      <c r="K193" s="50" t="n">
        <v>0.05</v>
      </c>
      <c r="L193" s="50" t="n">
        <v>4636.04</v>
      </c>
      <c r="M193" s="46" t="inlineStr">
        <is>
          <t>USD</t>
        </is>
      </c>
      <c r="N193" s="46" t="inlineStr">
        <is>
          <t>FOB</t>
        </is>
      </c>
      <c r="O193" s="46" t="inlineStr">
        <is>
          <t>N</t>
        </is>
      </c>
      <c r="P193" s="50" t="n">
        <v>1297.2514</v>
      </c>
      <c r="Q193" s="49">
        <f>IF(OR(L193="",M193="",P193=""),"",L193*P193)</f>
        <v/>
      </c>
    </row>
    <row r="194" ht="15" customHeight="1" s="32">
      <c r="A194" s="46" t="inlineStr">
        <is>
          <t>R-HB-0193</t>
        </is>
      </c>
      <c r="B194" s="47" t="n">
        <v>45090</v>
      </c>
      <c r="C194" s="46" t="inlineStr">
        <is>
          <t>2023-06</t>
        </is>
      </c>
      <c r="D194" s="46" t="n">
        <v>2023</v>
      </c>
      <c r="E194" s="46" t="inlineStr">
        <is>
          <t>P-HB-003</t>
        </is>
      </c>
      <c r="F194" s="46" t="inlineStr">
        <is>
          <t>C-HB-07</t>
        </is>
      </c>
      <c r="G194" s="48" t="inlineStr">
        <is>
          <t>인도</t>
        </is>
      </c>
      <c r="H194" s="46" t="inlineStr">
        <is>
          <t>IN</t>
        </is>
      </c>
      <c r="I194" s="49" t="n">
        <v>27058</v>
      </c>
      <c r="J194" s="46" t="inlineStr">
        <is>
          <t>EA</t>
        </is>
      </c>
      <c r="K194" s="50" t="n">
        <v>17.59</v>
      </c>
      <c r="L194" s="50" t="n">
        <v>120819.81</v>
      </c>
      <c r="M194" s="46" t="inlineStr">
        <is>
          <t>USD</t>
        </is>
      </c>
      <c r="N194" s="46" t="inlineStr">
        <is>
          <t>FOB</t>
        </is>
      </c>
      <c r="O194" s="46" t="inlineStr">
        <is>
          <t>N</t>
        </is>
      </c>
      <c r="P194" s="50" t="n">
        <v>1297.2514</v>
      </c>
      <c r="Q194" s="49">
        <f>IF(OR(L194="",M194="",P194=""),"",L194*P194)</f>
        <v/>
      </c>
    </row>
    <row r="195" ht="15" customHeight="1" s="32">
      <c r="A195" s="46" t="inlineStr">
        <is>
          <t>R-HB-0194</t>
        </is>
      </c>
      <c r="B195" s="47" t="n">
        <v>45090</v>
      </c>
      <c r="C195" s="46" t="inlineStr">
        <is>
          <t>2023-06</t>
        </is>
      </c>
      <c r="D195" s="46" t="n">
        <v>2023</v>
      </c>
      <c r="E195" s="46" t="inlineStr">
        <is>
          <t>P-HB-003</t>
        </is>
      </c>
      <c r="F195" s="46" t="inlineStr">
        <is>
          <t>C-HB-08</t>
        </is>
      </c>
      <c r="G195" s="48" t="inlineStr">
        <is>
          <t>중국</t>
        </is>
      </c>
      <c r="H195" s="46" t="inlineStr">
        <is>
          <t>CN</t>
        </is>
      </c>
      <c r="I195" s="49" t="n">
        <v>48400</v>
      </c>
      <c r="J195" s="46" t="inlineStr">
        <is>
          <t>EA</t>
        </is>
      </c>
      <c r="K195" s="50" t="n">
        <v>31.46</v>
      </c>
      <c r="L195" s="50" t="n">
        <v>219875.12</v>
      </c>
      <c r="M195" s="46" t="inlineStr">
        <is>
          <t>USD</t>
        </is>
      </c>
      <c r="N195" s="46" t="inlineStr">
        <is>
          <t>FOB</t>
        </is>
      </c>
      <c r="O195" s="46" t="inlineStr">
        <is>
          <t>N</t>
        </is>
      </c>
      <c r="P195" s="50" t="n">
        <v>1297.2514</v>
      </c>
      <c r="Q195" s="49">
        <f>IF(OR(L195="",M195="",P195=""),"",L195*P195)</f>
        <v/>
      </c>
    </row>
    <row r="196" ht="15" customHeight="1" s="32">
      <c r="A196" s="46" t="inlineStr">
        <is>
          <t>R-HB-0195</t>
        </is>
      </c>
      <c r="B196" s="47" t="n">
        <v>45091</v>
      </c>
      <c r="C196" s="46" t="inlineStr">
        <is>
          <t>2023-06</t>
        </is>
      </c>
      <c r="D196" s="46" t="n">
        <v>2023</v>
      </c>
      <c r="E196" s="46" t="inlineStr">
        <is>
          <t>P-HB-003</t>
        </is>
      </c>
      <c r="F196" s="46" t="inlineStr">
        <is>
          <t>C-HB-05</t>
        </is>
      </c>
      <c r="G196" s="48" t="inlineStr">
        <is>
          <t>독일</t>
        </is>
      </c>
      <c r="H196" s="46" t="inlineStr">
        <is>
          <t>DE</t>
        </is>
      </c>
      <c r="I196" s="49" t="n">
        <v>48479</v>
      </c>
      <c r="J196" s="46" t="inlineStr">
        <is>
          <t>EA</t>
        </is>
      </c>
      <c r="K196" s="50" t="n">
        <v>31.51</v>
      </c>
      <c r="L196" s="50" t="n">
        <v>224168.61</v>
      </c>
      <c r="M196" s="46" t="inlineStr">
        <is>
          <t>USD</t>
        </is>
      </c>
      <c r="N196" s="46" t="inlineStr">
        <is>
          <t>FOB</t>
        </is>
      </c>
      <c r="O196" s="46" t="inlineStr">
        <is>
          <t>N</t>
        </is>
      </c>
      <c r="P196" s="50" t="n">
        <v>1297.2514</v>
      </c>
      <c r="Q196" s="49">
        <f>IF(OR(L196="",M196="",P196=""),"",L196*P196)</f>
        <v/>
      </c>
    </row>
    <row r="197" ht="15" customHeight="1" s="32">
      <c r="A197" s="46" t="inlineStr">
        <is>
          <t>R-HB-0196</t>
        </is>
      </c>
      <c r="B197" s="47" t="n">
        <v>45093</v>
      </c>
      <c r="C197" s="46" t="inlineStr">
        <is>
          <t>2023-06</t>
        </is>
      </c>
      <c r="D197" s="46" t="n">
        <v>2023</v>
      </c>
      <c r="E197" s="46" t="inlineStr">
        <is>
          <t>P-HB-004</t>
        </is>
      </c>
      <c r="F197" s="46" t="inlineStr">
        <is>
          <t>C-HB-03</t>
        </is>
      </c>
      <c r="G197" s="48" t="inlineStr">
        <is>
          <t>멕시코</t>
        </is>
      </c>
      <c r="H197" s="46" t="inlineStr">
        <is>
          <t>MX</t>
        </is>
      </c>
      <c r="I197" s="49" t="n">
        <v>2742</v>
      </c>
      <c r="J197" s="46" t="inlineStr">
        <is>
          <t>EA</t>
        </is>
      </c>
      <c r="K197" s="50" t="n">
        <v>3.02</v>
      </c>
      <c r="L197" s="50" t="n">
        <v>76081.48</v>
      </c>
      <c r="M197" s="46" t="inlineStr">
        <is>
          <t>USD</t>
        </is>
      </c>
      <c r="N197" s="46" t="inlineStr">
        <is>
          <t>FOB</t>
        </is>
      </c>
      <c r="O197" s="46" t="inlineStr">
        <is>
          <t>N</t>
        </is>
      </c>
      <c r="P197" s="50" t="n">
        <v>1297.2514</v>
      </c>
      <c r="Q197" s="49">
        <f>IF(OR(L197="",M197="",P197=""),"",L197*P197)</f>
        <v/>
      </c>
    </row>
    <row r="198" ht="15" customHeight="1" s="32">
      <c r="A198" s="46" t="inlineStr">
        <is>
          <t>R-HB-0197</t>
        </is>
      </c>
      <c r="B198" s="47" t="n">
        <v>45093</v>
      </c>
      <c r="C198" s="46" t="inlineStr">
        <is>
          <t>2023-06</t>
        </is>
      </c>
      <c r="D198" s="46" t="n">
        <v>2023</v>
      </c>
      <c r="E198" s="46" t="inlineStr">
        <is>
          <t>P-HB-001</t>
        </is>
      </c>
      <c r="F198" s="46" t="inlineStr">
        <is>
          <t>C-HB-04</t>
        </is>
      </c>
      <c r="G198" s="48" t="inlineStr">
        <is>
          <t>캐나다</t>
        </is>
      </c>
      <c r="H198" s="46" t="inlineStr">
        <is>
          <t>CA</t>
        </is>
      </c>
      <c r="I198" s="49" t="n">
        <v>13230</v>
      </c>
      <c r="J198" s="46" t="inlineStr">
        <is>
          <t>EA</t>
        </is>
      </c>
      <c r="K198" s="50" t="n">
        <v>5.95</v>
      </c>
      <c r="L198" s="50" t="n">
        <v>44906.69</v>
      </c>
      <c r="M198" s="46" t="inlineStr">
        <is>
          <t>USD</t>
        </is>
      </c>
      <c r="N198" s="46" t="inlineStr">
        <is>
          <t>FOB</t>
        </is>
      </c>
      <c r="O198" s="46" t="inlineStr">
        <is>
          <t>N</t>
        </is>
      </c>
      <c r="P198" s="50" t="n">
        <v>1297.2514</v>
      </c>
      <c r="Q198" s="49">
        <f>IF(OR(L198="",M198="",P198=""),"",L198*P198)</f>
        <v/>
      </c>
    </row>
    <row r="199" ht="15" customHeight="1" s="32">
      <c r="A199" s="46" t="inlineStr">
        <is>
          <t>R-HB-0198</t>
        </is>
      </c>
      <c r="B199" s="47" t="n">
        <v>45093</v>
      </c>
      <c r="C199" s="46" t="inlineStr">
        <is>
          <t>2023-06</t>
        </is>
      </c>
      <c r="D199" s="46" t="n">
        <v>2023</v>
      </c>
      <c r="E199" s="46" t="inlineStr">
        <is>
          <t>P-HB-002</t>
        </is>
      </c>
      <c r="F199" s="46" t="inlineStr">
        <is>
          <t>C-HB-07</t>
        </is>
      </c>
      <c r="G199" s="48" t="inlineStr">
        <is>
          <t>인도</t>
        </is>
      </c>
      <c r="H199" s="46" t="inlineStr">
        <is>
          <t>IN</t>
        </is>
      </c>
      <c r="I199" s="49" t="n">
        <v>119</v>
      </c>
      <c r="J199" s="46" t="inlineStr">
        <is>
          <t>EA</t>
        </is>
      </c>
      <c r="K199" s="50" t="n">
        <v>0.26</v>
      </c>
      <c r="L199" s="50" t="n">
        <v>26909.03</v>
      </c>
      <c r="M199" s="46" t="inlineStr">
        <is>
          <t>USD</t>
        </is>
      </c>
      <c r="N199" s="46" t="inlineStr">
        <is>
          <t>FOB</t>
        </is>
      </c>
      <c r="O199" s="46" t="inlineStr">
        <is>
          <t>N</t>
        </is>
      </c>
      <c r="P199" s="50" t="n">
        <v>1297.2514</v>
      </c>
      <c r="Q199" s="49">
        <f>IF(OR(L199="",M199="",P199=""),"",L199*P199)</f>
        <v/>
      </c>
    </row>
    <row r="200" ht="15" customHeight="1" s="32">
      <c r="A200" s="46" t="inlineStr">
        <is>
          <t>R-HB-0199</t>
        </is>
      </c>
      <c r="B200" s="47" t="n">
        <v>45095</v>
      </c>
      <c r="C200" s="46" t="inlineStr">
        <is>
          <t>2023-06</t>
        </is>
      </c>
      <c r="D200" s="46" t="n">
        <v>2023</v>
      </c>
      <c r="E200" s="46" t="inlineStr">
        <is>
          <t>P-HB-003</t>
        </is>
      </c>
      <c r="F200" s="46" t="inlineStr">
        <is>
          <t>C-HB-01</t>
        </is>
      </c>
      <c r="G200" s="48" t="inlineStr">
        <is>
          <t>미국</t>
        </is>
      </c>
      <c r="H200" s="46" t="inlineStr">
        <is>
          <t>US</t>
        </is>
      </c>
      <c r="I200" s="49" t="n">
        <v>56936</v>
      </c>
      <c r="J200" s="46" t="inlineStr">
        <is>
          <t>EA</t>
        </is>
      </c>
      <c r="K200" s="50" t="n">
        <v>37.01</v>
      </c>
      <c r="L200" s="50" t="n">
        <v>263724.62</v>
      </c>
      <c r="M200" s="46" t="inlineStr">
        <is>
          <t>USD</t>
        </is>
      </c>
      <c r="N200" s="46" t="inlineStr">
        <is>
          <t>FOB</t>
        </is>
      </c>
      <c r="O200" s="46" t="inlineStr">
        <is>
          <t>N</t>
        </is>
      </c>
      <c r="P200" s="50" t="n">
        <v>1297.2514</v>
      </c>
      <c r="Q200" s="49">
        <f>IF(OR(L200="",M200="",P200=""),"",L200*P200)</f>
        <v/>
      </c>
    </row>
    <row r="201" ht="15" customHeight="1" s="32">
      <c r="A201" s="46" t="inlineStr">
        <is>
          <t>R-HB-0200</t>
        </is>
      </c>
      <c r="B201" s="47" t="n">
        <v>45095</v>
      </c>
      <c r="C201" s="46" t="inlineStr">
        <is>
          <t>2023-06</t>
        </is>
      </c>
      <c r="D201" s="46" t="n">
        <v>2023</v>
      </c>
      <c r="E201" s="46" t="inlineStr">
        <is>
          <t>P-HB-003</t>
        </is>
      </c>
      <c r="F201" s="46" t="inlineStr">
        <is>
          <t>C-HB-03</t>
        </is>
      </c>
      <c r="G201" s="48" t="inlineStr">
        <is>
          <t>멕시코</t>
        </is>
      </c>
      <c r="H201" s="46" t="inlineStr">
        <is>
          <t>MX</t>
        </is>
      </c>
      <c r="I201" s="49" t="n">
        <v>10357</v>
      </c>
      <c r="J201" s="46" t="inlineStr">
        <is>
          <t>EA</t>
        </is>
      </c>
      <c r="K201" s="50" t="n">
        <v>6.73</v>
      </c>
      <c r="L201" s="50" t="n">
        <v>48406.96</v>
      </c>
      <c r="M201" s="46" t="inlineStr">
        <is>
          <t>USD</t>
        </is>
      </c>
      <c r="N201" s="46" t="inlineStr">
        <is>
          <t>FOB</t>
        </is>
      </c>
      <c r="O201" s="46" t="inlineStr">
        <is>
          <t>N</t>
        </is>
      </c>
      <c r="P201" s="50" t="n">
        <v>1297.2514</v>
      </c>
      <c r="Q201" s="49">
        <f>IF(OR(L201="",M201="",P201=""),"",L201*P201)</f>
        <v/>
      </c>
    </row>
    <row r="202" ht="15" customHeight="1" s="32">
      <c r="A202" s="46" t="inlineStr">
        <is>
          <t>R-HB-0201</t>
        </is>
      </c>
      <c r="B202" s="47" t="n">
        <v>45095</v>
      </c>
      <c r="C202" s="46" t="inlineStr">
        <is>
          <t>2023-06</t>
        </is>
      </c>
      <c r="D202" s="46" t="n">
        <v>2023</v>
      </c>
      <c r="E202" s="46" t="inlineStr">
        <is>
          <t>P-HB-002</t>
        </is>
      </c>
      <c r="F202" s="46" t="inlineStr">
        <is>
          <t>C-HB-06</t>
        </is>
      </c>
      <c r="G202" s="48" t="inlineStr">
        <is>
          <t>베트남</t>
        </is>
      </c>
      <c r="H202" s="46" t="inlineStr">
        <is>
          <t>VN</t>
        </is>
      </c>
      <c r="I202" s="49" t="n">
        <v>178</v>
      </c>
      <c r="J202" s="46" t="inlineStr">
        <is>
          <t>EA</t>
        </is>
      </c>
      <c r="K202" s="50" t="n">
        <v>0.39</v>
      </c>
      <c r="L202" s="50" t="n">
        <v>39495.04</v>
      </c>
      <c r="M202" s="46" t="inlineStr">
        <is>
          <t>USD</t>
        </is>
      </c>
      <c r="N202" s="46" t="inlineStr">
        <is>
          <t>FOB</t>
        </is>
      </c>
      <c r="O202" s="46" t="inlineStr">
        <is>
          <t>N</t>
        </is>
      </c>
      <c r="P202" s="50" t="n">
        <v>1297.2514</v>
      </c>
      <c r="Q202" s="49">
        <f>IF(OR(L202="",M202="",P202=""),"",L202*P202)</f>
        <v/>
      </c>
    </row>
    <row r="203" ht="15" customHeight="1" s="32">
      <c r="A203" s="46" t="inlineStr">
        <is>
          <t>R-HB-0202</t>
        </is>
      </c>
      <c r="B203" s="47" t="n">
        <v>45095</v>
      </c>
      <c r="C203" s="46" t="inlineStr">
        <is>
          <t>2023-06</t>
        </is>
      </c>
      <c r="D203" s="46" t="n">
        <v>2023</v>
      </c>
      <c r="E203" s="46" t="inlineStr">
        <is>
          <t>P-HB-001</t>
        </is>
      </c>
      <c r="F203" s="46" t="inlineStr">
        <is>
          <t>C-HB-07</t>
        </is>
      </c>
      <c r="G203" s="48" t="inlineStr">
        <is>
          <t>인도</t>
        </is>
      </c>
      <c r="H203" s="46" t="inlineStr">
        <is>
          <t>IN</t>
        </is>
      </c>
      <c r="I203" s="49" t="n">
        <v>67377</v>
      </c>
      <c r="J203" s="46" t="inlineStr">
        <is>
          <t>EA</t>
        </is>
      </c>
      <c r="K203" s="50" t="n">
        <v>30.32</v>
      </c>
      <c r="L203" s="50" t="n">
        <v>221119.05</v>
      </c>
      <c r="M203" s="46" t="inlineStr">
        <is>
          <t>USD</t>
        </is>
      </c>
      <c r="N203" s="46" t="inlineStr">
        <is>
          <t>FOB</t>
        </is>
      </c>
      <c r="O203" s="46" t="inlineStr">
        <is>
          <t>N</t>
        </is>
      </c>
      <c r="P203" s="50" t="n">
        <v>1297.2514</v>
      </c>
      <c r="Q203" s="49">
        <f>IF(OR(L203="",M203="",P203=""),"",L203*P203)</f>
        <v/>
      </c>
    </row>
    <row r="204" ht="15" customHeight="1" s="32">
      <c r="A204" s="46" t="inlineStr">
        <is>
          <t>R-HB-0203</t>
        </is>
      </c>
      <c r="B204" s="47" t="n">
        <v>45095</v>
      </c>
      <c r="C204" s="46" t="inlineStr">
        <is>
          <t>2023-06</t>
        </is>
      </c>
      <c r="D204" s="46" t="n">
        <v>2023</v>
      </c>
      <c r="E204" s="46" t="inlineStr">
        <is>
          <t>P-HB-001</t>
        </is>
      </c>
      <c r="F204" s="46" t="inlineStr">
        <is>
          <t>C-HB-08</t>
        </is>
      </c>
      <c r="G204" s="48" t="inlineStr">
        <is>
          <t>중국</t>
        </is>
      </c>
      <c r="H204" s="46" t="inlineStr">
        <is>
          <t>CN</t>
        </is>
      </c>
      <c r="I204" s="49" t="n">
        <v>143221</v>
      </c>
      <c r="J204" s="46" t="inlineStr">
        <is>
          <t>EA</t>
        </is>
      </c>
      <c r="K204" s="50" t="n">
        <v>64.45</v>
      </c>
      <c r="L204" s="50" t="n">
        <v>457418.87</v>
      </c>
      <c r="M204" s="46" t="inlineStr">
        <is>
          <t>USD</t>
        </is>
      </c>
      <c r="N204" s="46" t="inlineStr">
        <is>
          <t>FOB</t>
        </is>
      </c>
      <c r="O204" s="46" t="inlineStr">
        <is>
          <t>N</t>
        </is>
      </c>
      <c r="P204" s="50" t="n">
        <v>1297.2514</v>
      </c>
      <c r="Q204" s="49">
        <f>IF(OR(L204="",M204="",P204=""),"",L204*P204)</f>
        <v/>
      </c>
    </row>
    <row r="205" ht="15" customHeight="1" s="32">
      <c r="A205" s="46" t="inlineStr">
        <is>
          <t>R-HB-0204</t>
        </is>
      </c>
      <c r="B205" s="47" t="n">
        <v>45096</v>
      </c>
      <c r="C205" s="46" t="inlineStr">
        <is>
          <t>2023-06</t>
        </is>
      </c>
      <c r="D205" s="46" t="n">
        <v>2023</v>
      </c>
      <c r="E205" s="46" t="inlineStr">
        <is>
          <t>P-HB-004</t>
        </is>
      </c>
      <c r="F205" s="46" t="inlineStr">
        <is>
          <t>C-HB-05</t>
        </is>
      </c>
      <c r="G205" s="48" t="inlineStr">
        <is>
          <t>독일</t>
        </is>
      </c>
      <c r="H205" s="46" t="inlineStr">
        <is>
          <t>DE</t>
        </is>
      </c>
      <c r="I205" s="49" t="n">
        <v>12247</v>
      </c>
      <c r="J205" s="46" t="inlineStr">
        <is>
          <t>EA</t>
        </is>
      </c>
      <c r="K205" s="50" t="n">
        <v>13.47</v>
      </c>
      <c r="L205" s="50" t="n">
        <v>341879.75</v>
      </c>
      <c r="M205" s="46" t="inlineStr">
        <is>
          <t>USD</t>
        </is>
      </c>
      <c r="N205" s="46" t="inlineStr">
        <is>
          <t>FOB</t>
        </is>
      </c>
      <c r="O205" s="46" t="inlineStr">
        <is>
          <t>N</t>
        </is>
      </c>
      <c r="P205" s="50" t="n">
        <v>1297.2514</v>
      </c>
      <c r="Q205" s="49">
        <f>IF(OR(L205="",M205="",P205=""),"",L205*P205)</f>
        <v/>
      </c>
    </row>
    <row r="206" ht="15" customHeight="1" s="32">
      <c r="A206" s="46" t="inlineStr">
        <is>
          <t>R-HB-0205</t>
        </is>
      </c>
      <c r="B206" s="47" t="n">
        <v>45096</v>
      </c>
      <c r="C206" s="46" t="inlineStr">
        <is>
          <t>2023-06</t>
        </is>
      </c>
      <c r="D206" s="46" t="n">
        <v>2023</v>
      </c>
      <c r="E206" s="46" t="inlineStr">
        <is>
          <t>P-HB-004</t>
        </is>
      </c>
      <c r="F206" s="46" t="inlineStr">
        <is>
          <t>C-HB-07</t>
        </is>
      </c>
      <c r="G206" s="48" t="inlineStr">
        <is>
          <t>인도</t>
        </is>
      </c>
      <c r="H206" s="46" t="inlineStr">
        <is>
          <t>IN</t>
        </is>
      </c>
      <c r="I206" s="49" t="n">
        <v>6971</v>
      </c>
      <c r="J206" s="46" t="inlineStr">
        <is>
          <t>EA</t>
        </is>
      </c>
      <c r="K206" s="50" t="n">
        <v>7.67</v>
      </c>
      <c r="L206" s="50" t="n">
        <v>196794.72</v>
      </c>
      <c r="M206" s="46" t="inlineStr">
        <is>
          <t>USD</t>
        </is>
      </c>
      <c r="N206" s="46" t="inlineStr">
        <is>
          <t>FOB</t>
        </is>
      </c>
      <c r="O206" s="46" t="inlineStr">
        <is>
          <t>N</t>
        </is>
      </c>
      <c r="P206" s="50" t="n">
        <v>1297.2514</v>
      </c>
      <c r="Q206" s="49">
        <f>IF(OR(L206="",M206="",P206=""),"",L206*P206)</f>
        <v/>
      </c>
    </row>
    <row r="207" ht="15" customHeight="1" s="32">
      <c r="A207" s="46" t="inlineStr">
        <is>
          <t>R-HB-0206</t>
        </is>
      </c>
      <c r="B207" s="47" t="n">
        <v>45097</v>
      </c>
      <c r="C207" s="46" t="inlineStr">
        <is>
          <t>2023-06</t>
        </is>
      </c>
      <c r="D207" s="46" t="n">
        <v>2023</v>
      </c>
      <c r="E207" s="46" t="inlineStr">
        <is>
          <t>P-HB-001</t>
        </is>
      </c>
      <c r="F207" s="46" t="inlineStr">
        <is>
          <t>C-HB-06</t>
        </is>
      </c>
      <c r="G207" s="48" t="inlineStr">
        <is>
          <t>베트남</t>
        </is>
      </c>
      <c r="H207" s="46" t="inlineStr">
        <is>
          <t>VN</t>
        </is>
      </c>
      <c r="I207" s="49" t="n">
        <v>108652</v>
      </c>
      <c r="J207" s="46" t="inlineStr">
        <is>
          <t>EA</t>
        </is>
      </c>
      <c r="K207" s="50" t="n">
        <v>48.89</v>
      </c>
      <c r="L207" s="50" t="n">
        <v>358138.74</v>
      </c>
      <c r="M207" s="46" t="inlineStr">
        <is>
          <t>USD</t>
        </is>
      </c>
      <c r="N207" s="46" t="inlineStr">
        <is>
          <t>FOB</t>
        </is>
      </c>
      <c r="O207" s="46" t="inlineStr">
        <is>
          <t>N</t>
        </is>
      </c>
      <c r="P207" s="50" t="n">
        <v>1297.2514</v>
      </c>
      <c r="Q207" s="49">
        <f>IF(OR(L207="",M207="",P207=""),"",L207*P207)</f>
        <v/>
      </c>
    </row>
    <row r="208" ht="15" customHeight="1" s="32">
      <c r="A208" s="46" t="inlineStr">
        <is>
          <t>R-HB-0207</t>
        </is>
      </c>
      <c r="B208" s="47" t="n">
        <v>45098</v>
      </c>
      <c r="C208" s="46" t="inlineStr">
        <is>
          <t>2023-06</t>
        </is>
      </c>
      <c r="D208" s="46" t="n">
        <v>2023</v>
      </c>
      <c r="E208" s="46" t="inlineStr">
        <is>
          <t>P-HB-004</t>
        </is>
      </c>
      <c r="F208" s="46" t="inlineStr">
        <is>
          <t>C-HB-09</t>
        </is>
      </c>
      <c r="G208" s="48" t="inlineStr">
        <is>
          <t>중국</t>
        </is>
      </c>
      <c r="H208" s="46" t="inlineStr">
        <is>
          <t>CN</t>
        </is>
      </c>
      <c r="I208" s="49" t="n">
        <v>8455</v>
      </c>
      <c r="J208" s="46" t="inlineStr">
        <is>
          <t>EA</t>
        </is>
      </c>
      <c r="K208" s="50" t="n">
        <v>9.300000000000001</v>
      </c>
      <c r="L208" s="50" t="n">
        <v>227417.1</v>
      </c>
      <c r="M208" s="46" t="inlineStr">
        <is>
          <t>USD</t>
        </is>
      </c>
      <c r="N208" s="46" t="inlineStr">
        <is>
          <t>FOB</t>
        </is>
      </c>
      <c r="O208" s="46" t="inlineStr">
        <is>
          <t>N</t>
        </is>
      </c>
      <c r="P208" s="50" t="n">
        <v>1297.2514</v>
      </c>
      <c r="Q208" s="49">
        <f>IF(OR(L208="",M208="",P208=""),"",L208*P208)</f>
        <v/>
      </c>
    </row>
    <row r="209" ht="15" customHeight="1" s="32">
      <c r="A209" s="46" t="inlineStr">
        <is>
          <t>R-HB-0208</t>
        </is>
      </c>
      <c r="B209" s="47" t="n">
        <v>45099</v>
      </c>
      <c r="C209" s="46" t="inlineStr">
        <is>
          <t>2023-06</t>
        </is>
      </c>
      <c r="D209" s="46" t="n">
        <v>2023</v>
      </c>
      <c r="E209" s="46" t="inlineStr">
        <is>
          <t>P-HB-003</t>
        </is>
      </c>
      <c r="F209" s="46" t="inlineStr">
        <is>
          <t>C-HB-06</t>
        </is>
      </c>
      <c r="G209" s="48" t="inlineStr">
        <is>
          <t>베트남</t>
        </is>
      </c>
      <c r="H209" s="46" t="inlineStr">
        <is>
          <t>VN</t>
        </is>
      </c>
      <c r="I209" s="49" t="n">
        <v>39945</v>
      </c>
      <c r="J209" s="46" t="inlineStr">
        <is>
          <t>EA</t>
        </is>
      </c>
      <c r="K209" s="50" t="n">
        <v>25.96</v>
      </c>
      <c r="L209" s="50" t="n">
        <v>186819.65</v>
      </c>
      <c r="M209" s="46" t="inlineStr">
        <is>
          <t>USD</t>
        </is>
      </c>
      <c r="N209" s="46" t="inlineStr">
        <is>
          <t>FOB</t>
        </is>
      </c>
      <c r="O209" s="46" t="inlineStr">
        <is>
          <t>N</t>
        </is>
      </c>
      <c r="P209" s="50" t="n">
        <v>1297.2514</v>
      </c>
      <c r="Q209" s="49">
        <f>IF(OR(L209="",M209="",P209=""),"",L209*P209)</f>
        <v/>
      </c>
    </row>
    <row r="210" ht="15" customHeight="1" s="32">
      <c r="A210" s="46" t="inlineStr">
        <is>
          <t>R-HB-0209</t>
        </is>
      </c>
      <c r="B210" s="47" t="n">
        <v>45100</v>
      </c>
      <c r="C210" s="46" t="inlineStr">
        <is>
          <t>2023-06</t>
        </is>
      </c>
      <c r="D210" s="46" t="n">
        <v>2023</v>
      </c>
      <c r="E210" s="46" t="inlineStr">
        <is>
          <t>P-HB-002</t>
        </is>
      </c>
      <c r="F210" s="46" t="inlineStr">
        <is>
          <t>C-HB-02</t>
        </is>
      </c>
      <c r="G210" s="48" t="inlineStr">
        <is>
          <t>미국</t>
        </is>
      </c>
      <c r="H210" s="46" t="inlineStr">
        <is>
          <t>US</t>
        </is>
      </c>
      <c r="I210" s="49" t="n">
        <v>130</v>
      </c>
      <c r="J210" s="46" t="inlineStr">
        <is>
          <t>EA</t>
        </is>
      </c>
      <c r="K210" s="50" t="n">
        <v>0.29</v>
      </c>
      <c r="L210" s="50" t="n">
        <v>30019.1</v>
      </c>
      <c r="M210" s="46" t="inlineStr">
        <is>
          <t>USD</t>
        </is>
      </c>
      <c r="N210" s="46" t="inlineStr">
        <is>
          <t>FOB</t>
        </is>
      </c>
      <c r="O210" s="46" t="inlineStr">
        <is>
          <t>N</t>
        </is>
      </c>
      <c r="P210" s="50" t="n">
        <v>1297.2514</v>
      </c>
      <c r="Q210" s="49">
        <f>IF(OR(L210="",M210="",P210=""),"",L210*P210)</f>
        <v/>
      </c>
    </row>
    <row r="211" ht="15" customHeight="1" s="32">
      <c r="A211" s="46" t="inlineStr">
        <is>
          <t>R-HB-0210</t>
        </is>
      </c>
      <c r="B211" s="47" t="n">
        <v>45100</v>
      </c>
      <c r="C211" s="46" t="inlineStr">
        <is>
          <t>2023-06</t>
        </is>
      </c>
      <c r="D211" s="46" t="n">
        <v>2023</v>
      </c>
      <c r="E211" s="46" t="inlineStr">
        <is>
          <t>P-HB-003</t>
        </is>
      </c>
      <c r="F211" s="46" t="inlineStr">
        <is>
          <t>C-HB-04</t>
        </is>
      </c>
      <c r="G211" s="48" t="inlineStr">
        <is>
          <t>캐나다</t>
        </is>
      </c>
      <c r="H211" s="46" t="inlineStr">
        <is>
          <t>CA</t>
        </is>
      </c>
      <c r="I211" s="49" t="n">
        <v>4877</v>
      </c>
      <c r="J211" s="46" t="inlineStr">
        <is>
          <t>EA</t>
        </is>
      </c>
      <c r="K211" s="50" t="n">
        <v>3.17</v>
      </c>
      <c r="L211" s="50" t="n">
        <v>22341.99</v>
      </c>
      <c r="M211" s="46" t="inlineStr">
        <is>
          <t>USD</t>
        </is>
      </c>
      <c r="N211" s="46" t="inlineStr">
        <is>
          <t>FOB</t>
        </is>
      </c>
      <c r="O211" s="46" t="inlineStr">
        <is>
          <t>N</t>
        </is>
      </c>
      <c r="P211" s="50" t="n">
        <v>1297.2514</v>
      </c>
      <c r="Q211" s="49">
        <f>IF(OR(L211="",M211="",P211=""),"",L211*P211)</f>
        <v/>
      </c>
    </row>
    <row r="212" ht="15" customHeight="1" s="32">
      <c r="A212" s="46" t="inlineStr">
        <is>
          <t>R-HB-0211</t>
        </is>
      </c>
      <c r="B212" s="47" t="n">
        <v>45100</v>
      </c>
      <c r="C212" s="46" t="inlineStr">
        <is>
          <t>2023-06</t>
        </is>
      </c>
      <c r="D212" s="46" t="n">
        <v>2023</v>
      </c>
      <c r="E212" s="46" t="inlineStr">
        <is>
          <t>P-HB-001</t>
        </is>
      </c>
      <c r="F212" s="46" t="inlineStr">
        <is>
          <t>C-HB-09</t>
        </is>
      </c>
      <c r="G212" s="48" t="inlineStr">
        <is>
          <t>중국</t>
        </is>
      </c>
      <c r="H212" s="46" t="inlineStr">
        <is>
          <t>CN</t>
        </is>
      </c>
      <c r="I212" s="49" t="n">
        <v>89625</v>
      </c>
      <c r="J212" s="46" t="inlineStr">
        <is>
          <t>EA</t>
        </is>
      </c>
      <c r="K212" s="50" t="n">
        <v>40.33</v>
      </c>
      <c r="L212" s="50" t="n">
        <v>304686.23</v>
      </c>
      <c r="M212" s="46" t="inlineStr">
        <is>
          <t>USD</t>
        </is>
      </c>
      <c r="N212" s="46" t="inlineStr">
        <is>
          <t>FOB</t>
        </is>
      </c>
      <c r="O212" s="46" t="inlineStr">
        <is>
          <t>N</t>
        </is>
      </c>
      <c r="P212" s="50" t="n">
        <v>1297.2514</v>
      </c>
      <c r="Q212" s="49">
        <f>IF(OR(L212="",M212="",P212=""),"",L212*P212)</f>
        <v/>
      </c>
    </row>
    <row r="213" ht="15" customHeight="1" s="32">
      <c r="A213" s="46" t="inlineStr">
        <is>
          <t>R-HB-0212</t>
        </is>
      </c>
      <c r="B213" s="47" t="n">
        <v>45101</v>
      </c>
      <c r="C213" s="46" t="inlineStr">
        <is>
          <t>2023-06</t>
        </is>
      </c>
      <c r="D213" s="46" t="n">
        <v>2023</v>
      </c>
      <c r="E213" s="46" t="inlineStr">
        <is>
          <t>P-HB-004</t>
        </is>
      </c>
      <c r="F213" s="46" t="inlineStr">
        <is>
          <t>C-HB-01</t>
        </is>
      </c>
      <c r="G213" s="48" t="inlineStr">
        <is>
          <t>미국</t>
        </is>
      </c>
      <c r="H213" s="46" t="inlineStr">
        <is>
          <t>US</t>
        </is>
      </c>
      <c r="I213" s="49" t="n">
        <v>15804</v>
      </c>
      <c r="J213" s="46" t="inlineStr">
        <is>
          <t>EA</t>
        </is>
      </c>
      <c r="K213" s="50" t="n">
        <v>17.38</v>
      </c>
      <c r="L213" s="50" t="n">
        <v>430858.77</v>
      </c>
      <c r="M213" s="46" t="inlineStr">
        <is>
          <t>USD</t>
        </is>
      </c>
      <c r="N213" s="46" t="inlineStr">
        <is>
          <t>FOB</t>
        </is>
      </c>
      <c r="O213" s="46" t="inlineStr">
        <is>
          <t>N</t>
        </is>
      </c>
      <c r="P213" s="50" t="n">
        <v>1297.2514</v>
      </c>
      <c r="Q213" s="49">
        <f>IF(OR(L213="",M213="",P213=""),"",L213*P213)</f>
        <v/>
      </c>
    </row>
    <row r="214" ht="15" customHeight="1" s="32">
      <c r="A214" s="46" t="inlineStr">
        <is>
          <t>R-HB-0213</t>
        </is>
      </c>
      <c r="B214" s="47" t="n">
        <v>45101</v>
      </c>
      <c r="C214" s="46" t="inlineStr">
        <is>
          <t>2023-06</t>
        </is>
      </c>
      <c r="D214" s="46" t="n">
        <v>2023</v>
      </c>
      <c r="E214" s="46" t="inlineStr">
        <is>
          <t>P-HB-003</t>
        </is>
      </c>
      <c r="F214" s="46" t="inlineStr">
        <is>
          <t>C-HB-02</t>
        </is>
      </c>
      <c r="G214" s="48" t="inlineStr">
        <is>
          <t>미국</t>
        </is>
      </c>
      <c r="H214" s="46" t="inlineStr">
        <is>
          <t>US</t>
        </is>
      </c>
      <c r="I214" s="49" t="n">
        <v>30369</v>
      </c>
      <c r="J214" s="46" t="inlineStr">
        <is>
          <t>EA</t>
        </is>
      </c>
      <c r="K214" s="50" t="n">
        <v>19.74</v>
      </c>
      <c r="L214" s="50" t="n">
        <v>144132.46</v>
      </c>
      <c r="M214" s="46" t="inlineStr">
        <is>
          <t>USD</t>
        </is>
      </c>
      <c r="N214" s="46" t="inlineStr">
        <is>
          <t>FOB</t>
        </is>
      </c>
      <c r="O214" s="46" t="inlineStr">
        <is>
          <t>N</t>
        </is>
      </c>
      <c r="P214" s="50" t="n">
        <v>1297.2514</v>
      </c>
      <c r="Q214" s="49">
        <f>IF(OR(L214="",M214="",P214=""),"",L214*P214)</f>
        <v/>
      </c>
    </row>
    <row r="215" ht="15" customHeight="1" s="32">
      <c r="A215" s="46" t="inlineStr">
        <is>
          <t>R-HB-0214</t>
        </is>
      </c>
      <c r="B215" s="47" t="n">
        <v>45101</v>
      </c>
      <c r="C215" s="46" t="inlineStr">
        <is>
          <t>2023-06</t>
        </is>
      </c>
      <c r="D215" s="46" t="n">
        <v>2023</v>
      </c>
      <c r="E215" s="46" t="inlineStr">
        <is>
          <t>P-HB-002</t>
        </is>
      </c>
      <c r="F215" s="46" t="inlineStr">
        <is>
          <t>C-HB-05</t>
        </is>
      </c>
      <c r="G215" s="48" t="inlineStr">
        <is>
          <t>독일</t>
        </is>
      </c>
      <c r="H215" s="46" t="inlineStr">
        <is>
          <t>DE</t>
        </is>
      </c>
      <c r="I215" s="49" t="n">
        <v>218</v>
      </c>
      <c r="J215" s="46" t="inlineStr">
        <is>
          <t>EA</t>
        </is>
      </c>
      <c r="K215" s="50" t="n">
        <v>0.48</v>
      </c>
      <c r="L215" s="50" t="n">
        <v>49279.78</v>
      </c>
      <c r="M215" s="46" t="inlineStr">
        <is>
          <t>USD</t>
        </is>
      </c>
      <c r="N215" s="46" t="inlineStr">
        <is>
          <t>FOB</t>
        </is>
      </c>
      <c r="O215" s="46" t="inlineStr">
        <is>
          <t>N</t>
        </is>
      </c>
      <c r="P215" s="50" t="n">
        <v>1297.2514</v>
      </c>
      <c r="Q215" s="49">
        <f>IF(OR(L215="",M215="",P215=""),"",L215*P215)</f>
        <v/>
      </c>
    </row>
    <row r="216" ht="15" customHeight="1" s="32">
      <c r="A216" s="46" t="inlineStr">
        <is>
          <t>R-HB-0215</t>
        </is>
      </c>
      <c r="B216" s="47" t="n">
        <v>45102</v>
      </c>
      <c r="C216" s="46" t="inlineStr">
        <is>
          <t>2023-06</t>
        </is>
      </c>
      <c r="D216" s="46" t="n">
        <v>2023</v>
      </c>
      <c r="E216" s="46" t="inlineStr">
        <is>
          <t>P-HB-003</t>
        </is>
      </c>
      <c r="F216" s="46" t="inlineStr">
        <is>
          <t>C-HB-09</t>
        </is>
      </c>
      <c r="G216" s="48" t="inlineStr">
        <is>
          <t>중국</t>
        </is>
      </c>
      <c r="H216" s="46" t="inlineStr">
        <is>
          <t>CN</t>
        </is>
      </c>
      <c r="I216" s="49" t="n">
        <v>31986</v>
      </c>
      <c r="J216" s="46" t="inlineStr">
        <is>
          <t>EA</t>
        </is>
      </c>
      <c r="K216" s="50" t="n">
        <v>20.79</v>
      </c>
      <c r="L216" s="50" t="n">
        <v>147776.62</v>
      </c>
      <c r="M216" s="46" t="inlineStr">
        <is>
          <t>USD</t>
        </is>
      </c>
      <c r="N216" s="46" t="inlineStr">
        <is>
          <t>FOB</t>
        </is>
      </c>
      <c r="O216" s="46" t="inlineStr">
        <is>
          <t>N</t>
        </is>
      </c>
      <c r="P216" s="50" t="n">
        <v>1297.2514</v>
      </c>
      <c r="Q216" s="49">
        <f>IF(OR(L216="",M216="",P216=""),"",L216*P216)</f>
        <v/>
      </c>
    </row>
    <row r="217" ht="15" customHeight="1" s="32">
      <c r="A217" s="46" t="inlineStr">
        <is>
          <t>R-HB-0216</t>
        </is>
      </c>
      <c r="B217" s="47" t="n">
        <v>45104</v>
      </c>
      <c r="C217" s="46" t="inlineStr">
        <is>
          <t>2023-06</t>
        </is>
      </c>
      <c r="D217" s="46" t="n">
        <v>2023</v>
      </c>
      <c r="E217" s="46" t="inlineStr">
        <is>
          <t>P-HB-002</t>
        </is>
      </c>
      <c r="F217" s="46" t="inlineStr">
        <is>
          <t>C-HB-08</t>
        </is>
      </c>
      <c r="G217" s="48" t="inlineStr">
        <is>
          <t>중국</t>
        </is>
      </c>
      <c r="H217" s="46" t="inlineStr">
        <is>
          <t>CN</t>
        </is>
      </c>
      <c r="I217" s="49" t="n">
        <v>203</v>
      </c>
      <c r="J217" s="46" t="inlineStr">
        <is>
          <t>EA</t>
        </is>
      </c>
      <c r="K217" s="50" t="n">
        <v>0.45</v>
      </c>
      <c r="L217" s="50" t="n">
        <v>45174.66</v>
      </c>
      <c r="M217" s="46" t="inlineStr">
        <is>
          <t>USD</t>
        </is>
      </c>
      <c r="N217" s="46" t="inlineStr">
        <is>
          <t>FOB</t>
        </is>
      </c>
      <c r="O217" s="46" t="inlineStr">
        <is>
          <t>N</t>
        </is>
      </c>
      <c r="P217" s="50" t="n">
        <v>1297.2514</v>
      </c>
      <c r="Q217" s="49">
        <f>IF(OR(L217="",M217="",P217=""),"",L217*P217)</f>
        <v/>
      </c>
    </row>
    <row r="218" ht="15" customHeight="1" s="32">
      <c r="A218" s="46" t="inlineStr">
        <is>
          <t>R-HB-0217</t>
        </is>
      </c>
      <c r="B218" s="47" t="n">
        <v>45110</v>
      </c>
      <c r="C218" s="46" t="inlineStr">
        <is>
          <t>2023-07</t>
        </is>
      </c>
      <c r="D218" s="46" t="n">
        <v>2023</v>
      </c>
      <c r="E218" s="46" t="inlineStr">
        <is>
          <t>P-HB-004</t>
        </is>
      </c>
      <c r="F218" s="46" t="inlineStr">
        <is>
          <t>C-HB-06</t>
        </is>
      </c>
      <c r="G218" s="48" t="inlineStr">
        <is>
          <t>베트남</t>
        </is>
      </c>
      <c r="H218" s="46" t="inlineStr">
        <is>
          <t>VN</t>
        </is>
      </c>
      <c r="I218" s="49" t="n">
        <v>11450</v>
      </c>
      <c r="J218" s="46" t="inlineStr">
        <is>
          <t>EA</t>
        </is>
      </c>
      <c r="K218" s="50" t="n">
        <v>12.6</v>
      </c>
      <c r="L218" s="50" t="n">
        <v>308391.76</v>
      </c>
      <c r="M218" s="46" t="inlineStr">
        <is>
          <t>USD</t>
        </is>
      </c>
      <c r="N218" s="46" t="inlineStr">
        <is>
          <t>FOB</t>
        </is>
      </c>
      <c r="O218" s="46" t="inlineStr">
        <is>
          <t>N</t>
        </is>
      </c>
      <c r="P218" s="50" t="n">
        <v>1282.2835</v>
      </c>
      <c r="Q218" s="49">
        <f>IF(OR(L218="",M218="",P218=""),"",L218*P218)</f>
        <v/>
      </c>
    </row>
    <row r="219" ht="15" customHeight="1" s="32">
      <c r="A219" s="46" t="inlineStr">
        <is>
          <t>R-HB-0218</t>
        </is>
      </c>
      <c r="B219" s="47" t="n">
        <v>45111</v>
      </c>
      <c r="C219" s="46" t="inlineStr">
        <is>
          <t>2023-07</t>
        </is>
      </c>
      <c r="D219" s="46" t="n">
        <v>2023</v>
      </c>
      <c r="E219" s="46" t="inlineStr">
        <is>
          <t>P-HB-002</t>
        </is>
      </c>
      <c r="F219" s="46" t="inlineStr">
        <is>
          <t>C-HB-09</t>
        </is>
      </c>
      <c r="G219" s="48" t="inlineStr">
        <is>
          <t>중국</t>
        </is>
      </c>
      <c r="H219" s="46" t="inlineStr">
        <is>
          <t>CN</t>
        </is>
      </c>
      <c r="I219" s="49" t="n">
        <v>144</v>
      </c>
      <c r="J219" s="46" t="inlineStr">
        <is>
          <t>EA</t>
        </is>
      </c>
      <c r="K219" s="50" t="n">
        <v>0.32</v>
      </c>
      <c r="L219" s="50" t="n">
        <v>31990.39</v>
      </c>
      <c r="M219" s="46" t="inlineStr">
        <is>
          <t>USD</t>
        </is>
      </c>
      <c r="N219" s="46" t="inlineStr">
        <is>
          <t>FOB</t>
        </is>
      </c>
      <c r="O219" s="46" t="inlineStr">
        <is>
          <t>N</t>
        </is>
      </c>
      <c r="P219" s="50" t="n">
        <v>1282.2835</v>
      </c>
      <c r="Q219" s="49">
        <f>IF(OR(L219="",M219="",P219=""),"",L219*P219)</f>
        <v/>
      </c>
    </row>
    <row r="220" ht="15" customHeight="1" s="32">
      <c r="A220" s="46" t="inlineStr">
        <is>
          <t>R-HB-0219</t>
        </is>
      </c>
      <c r="B220" s="47" t="n">
        <v>45112</v>
      </c>
      <c r="C220" s="46" t="inlineStr">
        <is>
          <t>2023-07</t>
        </is>
      </c>
      <c r="D220" s="46" t="n">
        <v>2023</v>
      </c>
      <c r="E220" s="46" t="inlineStr">
        <is>
          <t>P-HB-001</t>
        </is>
      </c>
      <c r="F220" s="46" t="inlineStr">
        <is>
          <t>C-HB-02</t>
        </is>
      </c>
      <c r="G220" s="48" t="inlineStr">
        <is>
          <t>미국</t>
        </is>
      </c>
      <c r="H220" s="46" t="inlineStr">
        <is>
          <t>US</t>
        </is>
      </c>
      <c r="I220" s="49" t="n">
        <v>78153</v>
      </c>
      <c r="J220" s="46" t="inlineStr">
        <is>
          <t>EA</t>
        </is>
      </c>
      <c r="K220" s="50" t="n">
        <v>35.17</v>
      </c>
      <c r="L220" s="50" t="n">
        <v>259553.77</v>
      </c>
      <c r="M220" s="46" t="inlineStr">
        <is>
          <t>USD</t>
        </is>
      </c>
      <c r="N220" s="46" t="inlineStr">
        <is>
          <t>FOB</t>
        </is>
      </c>
      <c r="O220" s="46" t="inlineStr">
        <is>
          <t>N</t>
        </is>
      </c>
      <c r="P220" s="50" t="n">
        <v>1282.2835</v>
      </c>
      <c r="Q220" s="49">
        <f>IF(OR(L220="",M220="",P220=""),"",L220*P220)</f>
        <v/>
      </c>
    </row>
    <row r="221" ht="15" customHeight="1" s="32">
      <c r="A221" s="46" t="inlineStr">
        <is>
          <t>R-HB-0220</t>
        </is>
      </c>
      <c r="B221" s="47" t="n">
        <v>45113</v>
      </c>
      <c r="C221" s="46" t="inlineStr">
        <is>
          <t>2023-07</t>
        </is>
      </c>
      <c r="D221" s="46" t="n">
        <v>2023</v>
      </c>
      <c r="E221" s="46" t="inlineStr">
        <is>
          <t>P-HB-001</t>
        </is>
      </c>
      <c r="F221" s="46" t="inlineStr">
        <is>
          <t>C-HB-08</t>
        </is>
      </c>
      <c r="G221" s="48" t="inlineStr">
        <is>
          <t>중국</t>
        </is>
      </c>
      <c r="H221" s="46" t="inlineStr">
        <is>
          <t>CN</t>
        </is>
      </c>
      <c r="I221" s="49" t="n">
        <v>139128</v>
      </c>
      <c r="J221" s="46" t="inlineStr">
        <is>
          <t>EA</t>
        </is>
      </c>
      <c r="K221" s="50" t="n">
        <v>62.61</v>
      </c>
      <c r="L221" s="50" t="n">
        <v>457880.08</v>
      </c>
      <c r="M221" s="46" t="inlineStr">
        <is>
          <t>USD</t>
        </is>
      </c>
      <c r="N221" s="46" t="inlineStr">
        <is>
          <t>FOB</t>
        </is>
      </c>
      <c r="O221" s="46" t="inlineStr">
        <is>
          <t>N</t>
        </is>
      </c>
      <c r="P221" s="50" t="n">
        <v>1282.2835</v>
      </c>
      <c r="Q221" s="49">
        <f>IF(OR(L221="",M221="",P221=""),"",L221*P221)</f>
        <v/>
      </c>
    </row>
    <row r="222" ht="15" customHeight="1" s="32">
      <c r="A222" s="46" t="inlineStr">
        <is>
          <t>R-HB-0221</t>
        </is>
      </c>
      <c r="B222" s="47" t="n">
        <v>45114</v>
      </c>
      <c r="C222" s="46" t="inlineStr">
        <is>
          <t>2023-07</t>
        </is>
      </c>
      <c r="D222" s="46" t="n">
        <v>2023</v>
      </c>
      <c r="E222" s="46" t="inlineStr">
        <is>
          <t>P-HB-003</t>
        </is>
      </c>
      <c r="F222" s="46" t="inlineStr">
        <is>
          <t>C-HB-09</t>
        </is>
      </c>
      <c r="G222" s="48" t="inlineStr">
        <is>
          <t>중국</t>
        </is>
      </c>
      <c r="H222" s="46" t="inlineStr">
        <is>
          <t>CN</t>
        </is>
      </c>
      <c r="I222" s="49" t="n">
        <v>32862</v>
      </c>
      <c r="J222" s="46" t="inlineStr">
        <is>
          <t>EA</t>
        </is>
      </c>
      <c r="K222" s="50" t="n">
        <v>21.36</v>
      </c>
      <c r="L222" s="50" t="n">
        <v>153406.69</v>
      </c>
      <c r="M222" s="46" t="inlineStr">
        <is>
          <t>USD</t>
        </is>
      </c>
      <c r="N222" s="46" t="inlineStr">
        <is>
          <t>FOB</t>
        </is>
      </c>
      <c r="O222" s="46" t="inlineStr">
        <is>
          <t>N</t>
        </is>
      </c>
      <c r="P222" s="50" t="n">
        <v>1282.2835</v>
      </c>
      <c r="Q222" s="49">
        <f>IF(OR(L222="",M222="",P222=""),"",L222*P222)</f>
        <v/>
      </c>
    </row>
    <row r="223" ht="15" customHeight="1" s="32">
      <c r="A223" s="46" t="inlineStr">
        <is>
          <t>R-HB-0222</t>
        </is>
      </c>
      <c r="B223" s="47" t="n">
        <v>45114</v>
      </c>
      <c r="C223" s="46" t="inlineStr">
        <is>
          <t>2023-07</t>
        </is>
      </c>
      <c r="D223" s="46" t="n">
        <v>2023</v>
      </c>
      <c r="E223" s="46" t="inlineStr">
        <is>
          <t>P-HB-004</t>
        </is>
      </c>
      <c r="F223" s="46" t="inlineStr">
        <is>
          <t>C-HB-09</t>
        </is>
      </c>
      <c r="G223" s="48" t="inlineStr">
        <is>
          <t>중국</t>
        </is>
      </c>
      <c r="H223" s="46" t="inlineStr">
        <is>
          <t>CN</t>
        </is>
      </c>
      <c r="I223" s="49" t="n">
        <v>9183</v>
      </c>
      <c r="J223" s="46" t="inlineStr">
        <is>
          <t>EA</t>
        </is>
      </c>
      <c r="K223" s="50" t="n">
        <v>10.1</v>
      </c>
      <c r="L223" s="50" t="n">
        <v>256399.96</v>
      </c>
      <c r="M223" s="46" t="inlineStr">
        <is>
          <t>USD</t>
        </is>
      </c>
      <c r="N223" s="46" t="inlineStr">
        <is>
          <t>FOB</t>
        </is>
      </c>
      <c r="O223" s="46" t="inlineStr">
        <is>
          <t>N</t>
        </is>
      </c>
      <c r="P223" s="50" t="n">
        <v>1282.2835</v>
      </c>
      <c r="Q223" s="49">
        <f>IF(OR(L223="",M223="",P223=""),"",L223*P223)</f>
        <v/>
      </c>
    </row>
    <row r="224" ht="15" customHeight="1" s="32">
      <c r="A224" s="46" t="inlineStr">
        <is>
          <t>R-HB-0223</t>
        </is>
      </c>
      <c r="B224" s="47" t="n">
        <v>45115</v>
      </c>
      <c r="C224" s="46" t="inlineStr">
        <is>
          <t>2023-07</t>
        </is>
      </c>
      <c r="D224" s="46" t="n">
        <v>2023</v>
      </c>
      <c r="E224" s="46" t="inlineStr">
        <is>
          <t>P-HB-004</t>
        </is>
      </c>
      <c r="F224" s="46" t="inlineStr">
        <is>
          <t>C-HB-03</t>
        </is>
      </c>
      <c r="G224" s="48" t="inlineStr">
        <is>
          <t>멕시코</t>
        </is>
      </c>
      <c r="H224" s="46" t="inlineStr">
        <is>
          <t>MX</t>
        </is>
      </c>
      <c r="I224" s="49" t="n">
        <v>2511</v>
      </c>
      <c r="J224" s="46" t="inlineStr">
        <is>
          <t>EA</t>
        </is>
      </c>
      <c r="K224" s="50" t="n">
        <v>2.76</v>
      </c>
      <c r="L224" s="50" t="n">
        <v>70298.63</v>
      </c>
      <c r="M224" s="46" t="inlineStr">
        <is>
          <t>USD</t>
        </is>
      </c>
      <c r="N224" s="46" t="inlineStr">
        <is>
          <t>FOB</t>
        </is>
      </c>
      <c r="O224" s="46" t="inlineStr">
        <is>
          <t>N</t>
        </is>
      </c>
      <c r="P224" s="50" t="n">
        <v>1282.2835</v>
      </c>
      <c r="Q224" s="49">
        <f>IF(OR(L224="",M224="",P224=""),"",L224*P224)</f>
        <v/>
      </c>
    </row>
    <row r="225" ht="15" customHeight="1" s="32">
      <c r="A225" s="46" t="inlineStr">
        <is>
          <t>R-HB-0224</t>
        </is>
      </c>
      <c r="B225" s="47" t="n">
        <v>45115</v>
      </c>
      <c r="C225" s="46" t="inlineStr">
        <is>
          <t>2023-07</t>
        </is>
      </c>
      <c r="D225" s="46" t="n">
        <v>2023</v>
      </c>
      <c r="E225" s="46" t="inlineStr">
        <is>
          <t>P-HB-004</t>
        </is>
      </c>
      <c r="F225" s="46" t="inlineStr">
        <is>
          <t>C-HB-07</t>
        </is>
      </c>
      <c r="G225" s="48" t="inlineStr">
        <is>
          <t>인도</t>
        </is>
      </c>
      <c r="H225" s="46" t="inlineStr">
        <is>
          <t>IN</t>
        </is>
      </c>
      <c r="I225" s="49" t="n">
        <v>7078</v>
      </c>
      <c r="J225" s="46" t="inlineStr">
        <is>
          <t>EA</t>
        </is>
      </c>
      <c r="K225" s="50" t="n">
        <v>7.79</v>
      </c>
      <c r="L225" s="50" t="n">
        <v>204266.26</v>
      </c>
      <c r="M225" s="46" t="inlineStr">
        <is>
          <t>USD</t>
        </is>
      </c>
      <c r="N225" s="46" t="inlineStr">
        <is>
          <t>FOB</t>
        </is>
      </c>
      <c r="O225" s="46" t="inlineStr">
        <is>
          <t>N</t>
        </is>
      </c>
      <c r="P225" s="50" t="n">
        <v>1282.2835</v>
      </c>
      <c r="Q225" s="49">
        <f>IF(OR(L225="",M225="",P225=""),"",L225*P225)</f>
        <v/>
      </c>
    </row>
    <row r="226" ht="15" customHeight="1" s="32">
      <c r="A226" s="46" t="inlineStr">
        <is>
          <t>R-HB-0225</t>
        </is>
      </c>
      <c r="B226" s="47" t="n">
        <v>45116</v>
      </c>
      <c r="C226" s="46" t="inlineStr">
        <is>
          <t>2023-07</t>
        </is>
      </c>
      <c r="D226" s="46" t="n">
        <v>2023</v>
      </c>
      <c r="E226" s="46" t="inlineStr">
        <is>
          <t>P-HB-002</t>
        </is>
      </c>
      <c r="F226" s="46" t="inlineStr">
        <is>
          <t>C-HB-02</t>
        </is>
      </c>
      <c r="G226" s="48" t="inlineStr">
        <is>
          <t>미국</t>
        </is>
      </c>
      <c r="H226" s="46" t="inlineStr">
        <is>
          <t>US</t>
        </is>
      </c>
      <c r="I226" s="49" t="n">
        <v>125</v>
      </c>
      <c r="J226" s="46" t="inlineStr">
        <is>
          <t>EA</t>
        </is>
      </c>
      <c r="K226" s="50" t="n">
        <v>0.28</v>
      </c>
      <c r="L226" s="50" t="n">
        <v>28946.2</v>
      </c>
      <c r="M226" s="46" t="inlineStr">
        <is>
          <t>USD</t>
        </is>
      </c>
      <c r="N226" s="46" t="inlineStr">
        <is>
          <t>FOB</t>
        </is>
      </c>
      <c r="O226" s="46" t="inlineStr">
        <is>
          <t>N</t>
        </is>
      </c>
      <c r="P226" s="50" t="n">
        <v>1282.2835</v>
      </c>
      <c r="Q226" s="49">
        <f>IF(OR(L226="",M226="",P226=""),"",L226*P226)</f>
        <v/>
      </c>
    </row>
    <row r="227" ht="15" customHeight="1" s="32">
      <c r="A227" s="46" t="inlineStr">
        <is>
          <t>R-HB-0226</t>
        </is>
      </c>
      <c r="B227" s="47" t="n">
        <v>45116</v>
      </c>
      <c r="C227" s="46" t="inlineStr">
        <is>
          <t>2023-07</t>
        </is>
      </c>
      <c r="D227" s="46" t="n">
        <v>2023</v>
      </c>
      <c r="E227" s="46" t="inlineStr">
        <is>
          <t>P-HB-001</t>
        </is>
      </c>
      <c r="F227" s="46" t="inlineStr">
        <is>
          <t>C-HB-04</t>
        </is>
      </c>
      <c r="G227" s="48" t="inlineStr">
        <is>
          <t>캐나다</t>
        </is>
      </c>
      <c r="H227" s="46" t="inlineStr">
        <is>
          <t>CA</t>
        </is>
      </c>
      <c r="I227" s="49" t="n">
        <v>14229</v>
      </c>
      <c r="J227" s="46" t="inlineStr">
        <is>
          <t>EA</t>
        </is>
      </c>
      <c r="K227" s="50" t="n">
        <v>6.4</v>
      </c>
      <c r="L227" s="50" t="n">
        <v>48114.36</v>
      </c>
      <c r="M227" s="46" t="inlineStr">
        <is>
          <t>USD</t>
        </is>
      </c>
      <c r="N227" s="46" t="inlineStr">
        <is>
          <t>FOB</t>
        </is>
      </c>
      <c r="O227" s="46" t="inlineStr">
        <is>
          <t>N</t>
        </is>
      </c>
      <c r="P227" s="50" t="n">
        <v>1282.2835</v>
      </c>
      <c r="Q227" s="49">
        <f>IF(OR(L227="",M227="",P227=""),"",L227*P227)</f>
        <v/>
      </c>
    </row>
    <row r="228" ht="15" customHeight="1" s="32">
      <c r="A228" s="46" t="inlineStr">
        <is>
          <t>R-HB-0227</t>
        </is>
      </c>
      <c r="B228" s="47" t="n">
        <v>45116</v>
      </c>
      <c r="C228" s="46" t="inlineStr">
        <is>
          <t>2023-07</t>
        </is>
      </c>
      <c r="D228" s="46" t="n">
        <v>2023</v>
      </c>
      <c r="E228" s="46" t="inlineStr">
        <is>
          <t>P-HB-003</t>
        </is>
      </c>
      <c r="F228" s="46" t="inlineStr">
        <is>
          <t>C-HB-07</t>
        </is>
      </c>
      <c r="G228" s="48" t="inlineStr">
        <is>
          <t>인도</t>
        </is>
      </c>
      <c r="H228" s="46" t="inlineStr">
        <is>
          <t>IN</t>
        </is>
      </c>
      <c r="I228" s="49" t="n">
        <v>26851</v>
      </c>
      <c r="J228" s="46" t="inlineStr">
        <is>
          <t>EA</t>
        </is>
      </c>
      <c r="K228" s="50" t="n">
        <v>17.45</v>
      </c>
      <c r="L228" s="50" t="n">
        <v>125926.77</v>
      </c>
      <c r="M228" s="46" t="inlineStr">
        <is>
          <t>USD</t>
        </is>
      </c>
      <c r="N228" s="46" t="inlineStr">
        <is>
          <t>FOB</t>
        </is>
      </c>
      <c r="O228" s="46" t="inlineStr">
        <is>
          <t>N</t>
        </is>
      </c>
      <c r="P228" s="50" t="n">
        <v>1282.2835</v>
      </c>
      <c r="Q228" s="49">
        <f>IF(OR(L228="",M228="",P228=""),"",L228*P228)</f>
        <v/>
      </c>
    </row>
    <row r="229" ht="15" customHeight="1" s="32">
      <c r="A229" s="46" t="inlineStr">
        <is>
          <t>R-HB-0228</t>
        </is>
      </c>
      <c r="B229" s="47" t="n">
        <v>45117</v>
      </c>
      <c r="C229" s="46" t="inlineStr">
        <is>
          <t>2023-07</t>
        </is>
      </c>
      <c r="D229" s="46" t="n">
        <v>2023</v>
      </c>
      <c r="E229" s="46" t="inlineStr">
        <is>
          <t>P-HB-004</t>
        </is>
      </c>
      <c r="F229" s="46" t="inlineStr">
        <is>
          <t>C-HB-02</t>
        </is>
      </c>
      <c r="G229" s="48" t="inlineStr">
        <is>
          <t>미국</t>
        </is>
      </c>
      <c r="H229" s="46" t="inlineStr">
        <is>
          <t>US</t>
        </is>
      </c>
      <c r="I229" s="49" t="n">
        <v>7215</v>
      </c>
      <c r="J229" s="46" t="inlineStr">
        <is>
          <t>EA</t>
        </is>
      </c>
      <c r="K229" s="50" t="n">
        <v>7.94</v>
      </c>
      <c r="L229" s="50" t="n">
        <v>207998.21</v>
      </c>
      <c r="M229" s="46" t="inlineStr">
        <is>
          <t>USD</t>
        </is>
      </c>
      <c r="N229" s="46" t="inlineStr">
        <is>
          <t>FOB</t>
        </is>
      </c>
      <c r="O229" s="46" t="inlineStr">
        <is>
          <t>N</t>
        </is>
      </c>
      <c r="P229" s="50" t="n">
        <v>1282.2835</v>
      </c>
      <c r="Q229" s="49">
        <f>IF(OR(L229="",M229="",P229=""),"",L229*P229)</f>
        <v/>
      </c>
    </row>
    <row r="230" ht="15" customHeight="1" s="32">
      <c r="A230" s="46" t="inlineStr">
        <is>
          <t>R-HB-0229</t>
        </is>
      </c>
      <c r="B230" s="47" t="n">
        <v>45117</v>
      </c>
      <c r="C230" s="46" t="inlineStr">
        <is>
          <t>2023-07</t>
        </is>
      </c>
      <c r="D230" s="46" t="n">
        <v>2023</v>
      </c>
      <c r="E230" s="46" t="inlineStr">
        <is>
          <t>P-HB-004</t>
        </is>
      </c>
      <c r="F230" s="46" t="inlineStr">
        <is>
          <t>C-HB-04</t>
        </is>
      </c>
      <c r="G230" s="48" t="inlineStr">
        <is>
          <t>캐나다</t>
        </is>
      </c>
      <c r="H230" s="46" t="inlineStr">
        <is>
          <t>CA</t>
        </is>
      </c>
      <c r="I230" s="49" t="n">
        <v>1339</v>
      </c>
      <c r="J230" s="46" t="inlineStr">
        <is>
          <t>EA</t>
        </is>
      </c>
      <c r="K230" s="50" t="n">
        <v>1.47</v>
      </c>
      <c r="L230" s="50" t="n">
        <v>37189.49</v>
      </c>
      <c r="M230" s="46" t="inlineStr">
        <is>
          <t>USD</t>
        </is>
      </c>
      <c r="N230" s="46" t="inlineStr">
        <is>
          <t>FOB</t>
        </is>
      </c>
      <c r="O230" s="46" t="inlineStr">
        <is>
          <t>N</t>
        </is>
      </c>
      <c r="P230" s="50" t="n">
        <v>1282.2835</v>
      </c>
      <c r="Q230" s="49">
        <f>IF(OR(L230="",M230="",P230=""),"",L230*P230)</f>
        <v/>
      </c>
    </row>
    <row r="231" ht="15" customHeight="1" s="32">
      <c r="A231" s="46" t="inlineStr">
        <is>
          <t>R-HB-0230</t>
        </is>
      </c>
      <c r="B231" s="47" t="n">
        <v>45117</v>
      </c>
      <c r="C231" s="46" t="inlineStr">
        <is>
          <t>2023-07</t>
        </is>
      </c>
      <c r="D231" s="46" t="n">
        <v>2023</v>
      </c>
      <c r="E231" s="46" t="inlineStr">
        <is>
          <t>P-HB-003</t>
        </is>
      </c>
      <c r="F231" s="46" t="inlineStr">
        <is>
          <t>C-HB-05</t>
        </is>
      </c>
      <c r="G231" s="48" t="inlineStr">
        <is>
          <t>독일</t>
        </is>
      </c>
      <c r="H231" s="46" t="inlineStr">
        <is>
          <t>DE</t>
        </is>
      </c>
      <c r="I231" s="49" t="n">
        <v>50202</v>
      </c>
      <c r="J231" s="46" t="inlineStr">
        <is>
          <t>EA</t>
        </is>
      </c>
      <c r="K231" s="50" t="n">
        <v>32.63</v>
      </c>
      <c r="L231" s="50" t="n">
        <v>230650.23</v>
      </c>
      <c r="M231" s="46" t="inlineStr">
        <is>
          <t>USD</t>
        </is>
      </c>
      <c r="N231" s="46" t="inlineStr">
        <is>
          <t>FOB</t>
        </is>
      </c>
      <c r="O231" s="46" t="inlineStr">
        <is>
          <t>N</t>
        </is>
      </c>
      <c r="P231" s="50" t="n">
        <v>1282.2835</v>
      </c>
      <c r="Q231" s="49">
        <f>IF(OR(L231="",M231="",P231=""),"",L231*P231)</f>
        <v/>
      </c>
    </row>
    <row r="232" ht="15" customHeight="1" s="32">
      <c r="A232" s="46" t="inlineStr">
        <is>
          <t>R-HB-0231</t>
        </is>
      </c>
      <c r="B232" s="47" t="n">
        <v>45117</v>
      </c>
      <c r="C232" s="46" t="inlineStr">
        <is>
          <t>2023-07</t>
        </is>
      </c>
      <c r="D232" s="46" t="n">
        <v>2023</v>
      </c>
      <c r="E232" s="46" t="inlineStr">
        <is>
          <t>P-HB-001</t>
        </is>
      </c>
      <c r="F232" s="46" t="inlineStr">
        <is>
          <t>C-HB-06</t>
        </is>
      </c>
      <c r="G232" s="48" t="inlineStr">
        <is>
          <t>베트남</t>
        </is>
      </c>
      <c r="H232" s="46" t="inlineStr">
        <is>
          <t>VN</t>
        </is>
      </c>
      <c r="I232" s="49" t="n">
        <v>116240</v>
      </c>
      <c r="J232" s="46" t="inlineStr">
        <is>
          <t>EA</t>
        </is>
      </c>
      <c r="K232" s="50" t="n">
        <v>52.31</v>
      </c>
      <c r="L232" s="50" t="n">
        <v>373588.83</v>
      </c>
      <c r="M232" s="46" t="inlineStr">
        <is>
          <t>USD</t>
        </is>
      </c>
      <c r="N232" s="46" t="inlineStr">
        <is>
          <t>FOB</t>
        </is>
      </c>
      <c r="O232" s="46" t="inlineStr">
        <is>
          <t>N</t>
        </is>
      </c>
      <c r="P232" s="50" t="n">
        <v>1282.2835</v>
      </c>
      <c r="Q232" s="49">
        <f>IF(OR(L232="",M232="",P232=""),"",L232*P232)</f>
        <v/>
      </c>
    </row>
    <row r="233" ht="15" customHeight="1" s="32">
      <c r="A233" s="46" t="inlineStr">
        <is>
          <t>R-HB-0232</t>
        </is>
      </c>
      <c r="B233" s="47" t="n">
        <v>45117</v>
      </c>
      <c r="C233" s="46" t="inlineStr">
        <is>
          <t>2023-07</t>
        </is>
      </c>
      <c r="D233" s="46" t="n">
        <v>2023</v>
      </c>
      <c r="E233" s="46" t="inlineStr">
        <is>
          <t>P-HB-002</t>
        </is>
      </c>
      <c r="F233" s="46" t="inlineStr">
        <is>
          <t>C-HB-08</t>
        </is>
      </c>
      <c r="G233" s="48" t="inlineStr">
        <is>
          <t>중국</t>
        </is>
      </c>
      <c r="H233" s="46" t="inlineStr">
        <is>
          <t>CN</t>
        </is>
      </c>
      <c r="I233" s="49" t="n">
        <v>229</v>
      </c>
      <c r="J233" s="46" t="inlineStr">
        <is>
          <t>EA</t>
        </is>
      </c>
      <c r="K233" s="50" t="n">
        <v>0.5</v>
      </c>
      <c r="L233" s="50" t="n">
        <v>50687.42</v>
      </c>
      <c r="M233" s="46" t="inlineStr">
        <is>
          <t>USD</t>
        </is>
      </c>
      <c r="N233" s="46" t="inlineStr">
        <is>
          <t>FOB</t>
        </is>
      </c>
      <c r="O233" s="46" t="inlineStr">
        <is>
          <t>N</t>
        </is>
      </c>
      <c r="P233" s="50" t="n">
        <v>1282.2835</v>
      </c>
      <c r="Q233" s="49">
        <f>IF(OR(L233="",M233="",P233=""),"",L233*P233)</f>
        <v/>
      </c>
    </row>
    <row r="234" ht="15" customHeight="1" s="32">
      <c r="A234" s="46" t="inlineStr">
        <is>
          <t>R-HB-0233</t>
        </is>
      </c>
      <c r="B234" s="47" t="n">
        <v>45119</v>
      </c>
      <c r="C234" s="46" t="inlineStr">
        <is>
          <t>2023-07</t>
        </is>
      </c>
      <c r="D234" s="46" t="n">
        <v>2023</v>
      </c>
      <c r="E234" s="46" t="inlineStr">
        <is>
          <t>P-HB-002</t>
        </is>
      </c>
      <c r="F234" s="46" t="inlineStr">
        <is>
          <t>C-HB-03</t>
        </is>
      </c>
      <c r="G234" s="48" t="inlineStr">
        <is>
          <t>멕시코</t>
        </is>
      </c>
      <c r="H234" s="46" t="inlineStr">
        <is>
          <t>MX</t>
        </is>
      </c>
      <c r="I234" s="49" t="n">
        <v>47</v>
      </c>
      <c r="J234" s="46" t="inlineStr">
        <is>
          <t>EA</t>
        </is>
      </c>
      <c r="K234" s="50" t="n">
        <v>0.1</v>
      </c>
      <c r="L234" s="50" t="n">
        <v>10696.9</v>
      </c>
      <c r="M234" s="46" t="inlineStr">
        <is>
          <t>USD</t>
        </is>
      </c>
      <c r="N234" s="46" t="inlineStr">
        <is>
          <t>FOB</t>
        </is>
      </c>
      <c r="O234" s="46" t="inlineStr">
        <is>
          <t>N</t>
        </is>
      </c>
      <c r="P234" s="50" t="n">
        <v>1282.2835</v>
      </c>
      <c r="Q234" s="49">
        <f>IF(OR(L234="",M234="",P234=""),"",L234*P234)</f>
        <v/>
      </c>
    </row>
    <row r="235" ht="15" customHeight="1" s="32">
      <c r="A235" s="46" t="inlineStr">
        <is>
          <t>R-HB-0234</t>
        </is>
      </c>
      <c r="B235" s="47" t="n">
        <v>45119</v>
      </c>
      <c r="C235" s="46" t="inlineStr">
        <is>
          <t>2023-07</t>
        </is>
      </c>
      <c r="D235" s="46" t="n">
        <v>2023</v>
      </c>
      <c r="E235" s="46" t="inlineStr">
        <is>
          <t>P-HB-004</t>
        </is>
      </c>
      <c r="F235" s="46" t="inlineStr">
        <is>
          <t>C-HB-05</t>
        </is>
      </c>
      <c r="G235" s="48" t="inlineStr">
        <is>
          <t>독일</t>
        </is>
      </c>
      <c r="H235" s="46" t="inlineStr">
        <is>
          <t>DE</t>
        </is>
      </c>
      <c r="I235" s="49" t="n">
        <v>12890</v>
      </c>
      <c r="J235" s="46" t="inlineStr">
        <is>
          <t>EA</t>
        </is>
      </c>
      <c r="K235" s="50" t="n">
        <v>14.18</v>
      </c>
      <c r="L235" s="50" t="n">
        <v>356933.58</v>
      </c>
      <c r="M235" s="46" t="inlineStr">
        <is>
          <t>USD</t>
        </is>
      </c>
      <c r="N235" s="46" t="inlineStr">
        <is>
          <t>FOB</t>
        </is>
      </c>
      <c r="O235" s="46" t="inlineStr">
        <is>
          <t>N</t>
        </is>
      </c>
      <c r="P235" s="50" t="n">
        <v>1282.2835</v>
      </c>
      <c r="Q235" s="49">
        <f>IF(OR(L235="",M235="",P235=""),"",L235*P235)</f>
        <v/>
      </c>
    </row>
    <row r="236" ht="15" customHeight="1" s="32">
      <c r="A236" s="46" t="inlineStr">
        <is>
          <t>R-HB-0235</t>
        </is>
      </c>
      <c r="B236" s="47" t="n">
        <v>45119</v>
      </c>
      <c r="C236" s="46" t="inlineStr">
        <is>
          <t>2023-07</t>
        </is>
      </c>
      <c r="D236" s="46" t="n">
        <v>2023</v>
      </c>
      <c r="E236" s="46" t="inlineStr">
        <is>
          <t>P-HB-002</t>
        </is>
      </c>
      <c r="F236" s="46" t="inlineStr">
        <is>
          <t>C-HB-06</t>
        </is>
      </c>
      <c r="G236" s="48" t="inlineStr">
        <is>
          <t>베트남</t>
        </is>
      </c>
      <c r="H236" s="46" t="inlineStr">
        <is>
          <t>VN</t>
        </is>
      </c>
      <c r="I236" s="49" t="n">
        <v>184</v>
      </c>
      <c r="J236" s="46" t="inlineStr">
        <is>
          <t>EA</t>
        </is>
      </c>
      <c r="K236" s="50" t="n">
        <v>0.4</v>
      </c>
      <c r="L236" s="50" t="n">
        <v>41555.36</v>
      </c>
      <c r="M236" s="46" t="inlineStr">
        <is>
          <t>USD</t>
        </is>
      </c>
      <c r="N236" s="46" t="inlineStr">
        <is>
          <t>FOB</t>
        </is>
      </c>
      <c r="O236" s="46" t="inlineStr">
        <is>
          <t>N</t>
        </is>
      </c>
      <c r="P236" s="50" t="n">
        <v>1282.2835</v>
      </c>
      <c r="Q236" s="49">
        <f>IF(OR(L236="",M236="",P236=""),"",L236*P236)</f>
        <v/>
      </c>
    </row>
    <row r="237" ht="15" customHeight="1" s="32">
      <c r="A237" s="46" t="inlineStr">
        <is>
          <t>R-HB-0236</t>
        </is>
      </c>
      <c r="B237" s="47" t="n">
        <v>45123</v>
      </c>
      <c r="C237" s="46" t="inlineStr">
        <is>
          <t>2023-07</t>
        </is>
      </c>
      <c r="D237" s="46" t="n">
        <v>2023</v>
      </c>
      <c r="E237" s="46" t="inlineStr">
        <is>
          <t>P-HB-002</t>
        </is>
      </c>
      <c r="F237" s="46" t="inlineStr">
        <is>
          <t>C-HB-01</t>
        </is>
      </c>
      <c r="G237" s="48" t="inlineStr">
        <is>
          <t>미국</t>
        </is>
      </c>
      <c r="H237" s="46" t="inlineStr">
        <is>
          <t>US</t>
        </is>
      </c>
      <c r="I237" s="49" t="n">
        <v>264</v>
      </c>
      <c r="J237" s="46" t="inlineStr">
        <is>
          <t>EA</t>
        </is>
      </c>
      <c r="K237" s="50" t="n">
        <v>0.58</v>
      </c>
      <c r="L237" s="50" t="n">
        <v>58049.63</v>
      </c>
      <c r="M237" s="46" t="inlineStr">
        <is>
          <t>USD</t>
        </is>
      </c>
      <c r="N237" s="46" t="inlineStr">
        <is>
          <t>FOB</t>
        </is>
      </c>
      <c r="O237" s="46" t="inlineStr">
        <is>
          <t>N</t>
        </is>
      </c>
      <c r="P237" s="50" t="n">
        <v>1282.2835</v>
      </c>
      <c r="Q237" s="49">
        <f>IF(OR(L237="",M237="",P237=""),"",L237*P237)</f>
        <v/>
      </c>
    </row>
    <row r="238" ht="15" customHeight="1" s="32">
      <c r="A238" s="46" t="inlineStr">
        <is>
          <t>R-HB-0237</t>
        </is>
      </c>
      <c r="B238" s="47" t="n">
        <v>45123</v>
      </c>
      <c r="C238" s="46" t="inlineStr">
        <is>
          <t>2023-07</t>
        </is>
      </c>
      <c r="D238" s="46" t="n">
        <v>2023</v>
      </c>
      <c r="E238" s="46" t="inlineStr">
        <is>
          <t>P-HB-003</t>
        </is>
      </c>
      <c r="F238" s="46" t="inlineStr">
        <is>
          <t>C-HB-03</t>
        </is>
      </c>
      <c r="G238" s="48" t="inlineStr">
        <is>
          <t>멕시코</t>
        </is>
      </c>
      <c r="H238" s="46" t="inlineStr">
        <is>
          <t>MX</t>
        </is>
      </c>
      <c r="I238" s="49" t="n">
        <v>9422</v>
      </c>
      <c r="J238" s="46" t="inlineStr">
        <is>
          <t>EA</t>
        </is>
      </c>
      <c r="K238" s="50" t="n">
        <v>6.12</v>
      </c>
      <c r="L238" s="50" t="n">
        <v>44289.68</v>
      </c>
      <c r="M238" s="46" t="inlineStr">
        <is>
          <t>USD</t>
        </is>
      </c>
      <c r="N238" s="46" t="inlineStr">
        <is>
          <t>FOB</t>
        </is>
      </c>
      <c r="O238" s="46" t="inlineStr">
        <is>
          <t>N</t>
        </is>
      </c>
      <c r="P238" s="50" t="n">
        <v>1282.2835</v>
      </c>
      <c r="Q238" s="49">
        <f>IF(OR(L238="",M238="",P238=""),"",L238*P238)</f>
        <v/>
      </c>
    </row>
    <row r="239" ht="15" customHeight="1" s="32">
      <c r="A239" s="46" t="inlineStr">
        <is>
          <t>R-HB-0238</t>
        </is>
      </c>
      <c r="B239" s="47" t="n">
        <v>45123</v>
      </c>
      <c r="C239" s="46" t="inlineStr">
        <is>
          <t>2023-07</t>
        </is>
      </c>
      <c r="D239" s="46" t="n">
        <v>2023</v>
      </c>
      <c r="E239" s="46" t="inlineStr">
        <is>
          <t>P-HB-001</t>
        </is>
      </c>
      <c r="F239" s="46" t="inlineStr">
        <is>
          <t>C-HB-09</t>
        </is>
      </c>
      <c r="G239" s="48" t="inlineStr">
        <is>
          <t>중국</t>
        </is>
      </c>
      <c r="H239" s="46" t="inlineStr">
        <is>
          <t>CN</t>
        </is>
      </c>
      <c r="I239" s="49" t="n">
        <v>92847</v>
      </c>
      <c r="J239" s="46" t="inlineStr">
        <is>
          <t>EA</t>
        </is>
      </c>
      <c r="K239" s="50" t="n">
        <v>41.78</v>
      </c>
      <c r="L239" s="50" t="n">
        <v>299427.33</v>
      </c>
      <c r="M239" s="46" t="inlineStr">
        <is>
          <t>USD</t>
        </is>
      </c>
      <c r="N239" s="46" t="inlineStr">
        <is>
          <t>FOB</t>
        </is>
      </c>
      <c r="O239" s="46" t="inlineStr">
        <is>
          <t>N</t>
        </is>
      </c>
      <c r="P239" s="50" t="n">
        <v>1282.2835</v>
      </c>
      <c r="Q239" s="49">
        <f>IF(OR(L239="",M239="",P239=""),"",L239*P239)</f>
        <v/>
      </c>
    </row>
    <row r="240" ht="15" customHeight="1" s="32">
      <c r="A240" s="46" t="inlineStr">
        <is>
          <t>R-HB-0239</t>
        </is>
      </c>
      <c r="B240" s="47" t="n">
        <v>45125</v>
      </c>
      <c r="C240" s="46" t="inlineStr">
        <is>
          <t>2023-07</t>
        </is>
      </c>
      <c r="D240" s="46" t="n">
        <v>2023</v>
      </c>
      <c r="E240" s="46" t="inlineStr">
        <is>
          <t>P-HB-003</t>
        </is>
      </c>
      <c r="F240" s="46" t="inlineStr">
        <is>
          <t>C-HB-02</t>
        </is>
      </c>
      <c r="G240" s="48" t="inlineStr">
        <is>
          <t>미국</t>
        </is>
      </c>
      <c r="H240" s="46" t="inlineStr">
        <is>
          <t>US</t>
        </is>
      </c>
      <c r="I240" s="49" t="n">
        <v>30523</v>
      </c>
      <c r="J240" s="46" t="inlineStr">
        <is>
          <t>EA</t>
        </is>
      </c>
      <c r="K240" s="50" t="n">
        <v>19.84</v>
      </c>
      <c r="L240" s="50" t="n">
        <v>143792.77</v>
      </c>
      <c r="M240" s="46" t="inlineStr">
        <is>
          <t>USD</t>
        </is>
      </c>
      <c r="N240" s="46" t="inlineStr">
        <is>
          <t>FOB</t>
        </is>
      </c>
      <c r="O240" s="46" t="inlineStr">
        <is>
          <t>N</t>
        </is>
      </c>
      <c r="P240" s="50" t="n">
        <v>1282.2835</v>
      </c>
      <c r="Q240" s="49">
        <f>IF(OR(L240="",M240="",P240=""),"",L240*P240)</f>
        <v/>
      </c>
    </row>
    <row r="241" ht="15" customHeight="1" s="32">
      <c r="A241" s="46" t="inlineStr">
        <is>
          <t>R-HB-0240</t>
        </is>
      </c>
      <c r="B241" s="47" t="n">
        <v>45127</v>
      </c>
      <c r="C241" s="46" t="inlineStr">
        <is>
          <t>2023-07</t>
        </is>
      </c>
      <c r="D241" s="46" t="n">
        <v>2023</v>
      </c>
      <c r="E241" s="46" t="inlineStr">
        <is>
          <t>P-HB-003</t>
        </is>
      </c>
      <c r="F241" s="46" t="inlineStr">
        <is>
          <t>C-HB-01</t>
        </is>
      </c>
      <c r="G241" s="48" t="inlineStr">
        <is>
          <t>미국</t>
        </is>
      </c>
      <c r="H241" s="46" t="inlineStr">
        <is>
          <t>US</t>
        </is>
      </c>
      <c r="I241" s="49" t="n">
        <v>56146</v>
      </c>
      <c r="J241" s="46" t="inlineStr">
        <is>
          <t>EA</t>
        </is>
      </c>
      <c r="K241" s="50" t="n">
        <v>36.49</v>
      </c>
      <c r="L241" s="50" t="n">
        <v>263619.37</v>
      </c>
      <c r="M241" s="46" t="inlineStr">
        <is>
          <t>USD</t>
        </is>
      </c>
      <c r="N241" s="46" t="inlineStr">
        <is>
          <t>FOB</t>
        </is>
      </c>
      <c r="O241" s="46" t="inlineStr">
        <is>
          <t>N</t>
        </is>
      </c>
      <c r="P241" s="50" t="n">
        <v>1282.2835</v>
      </c>
      <c r="Q241" s="49">
        <f>IF(OR(L241="",M241="",P241=""),"",L241*P241)</f>
        <v/>
      </c>
    </row>
    <row r="242" ht="15" customHeight="1" s="32">
      <c r="A242" s="46" t="inlineStr">
        <is>
          <t>R-HB-0241</t>
        </is>
      </c>
      <c r="B242" s="47" t="n">
        <v>45127</v>
      </c>
      <c r="C242" s="46" t="inlineStr">
        <is>
          <t>2023-07</t>
        </is>
      </c>
      <c r="D242" s="46" t="n">
        <v>2023</v>
      </c>
      <c r="E242" s="46" t="inlineStr">
        <is>
          <t>P-HB-001</t>
        </is>
      </c>
      <c r="F242" s="46" t="inlineStr">
        <is>
          <t>C-HB-03</t>
        </is>
      </c>
      <c r="G242" s="48" t="inlineStr">
        <is>
          <t>멕시코</t>
        </is>
      </c>
      <c r="H242" s="46" t="inlineStr">
        <is>
          <t>MX</t>
        </is>
      </c>
      <c r="I242" s="49" t="n">
        <v>29327</v>
      </c>
      <c r="J242" s="46" t="inlineStr">
        <is>
          <t>EA</t>
        </is>
      </c>
      <c r="K242" s="50" t="n">
        <v>13.2</v>
      </c>
      <c r="L242" s="50" t="n">
        <v>93885.19</v>
      </c>
      <c r="M242" s="46" t="inlineStr">
        <is>
          <t>USD</t>
        </is>
      </c>
      <c r="N242" s="46" t="inlineStr">
        <is>
          <t>FOB</t>
        </is>
      </c>
      <c r="O242" s="46" t="inlineStr">
        <is>
          <t>N</t>
        </is>
      </c>
      <c r="P242" s="50" t="n">
        <v>1282.2835</v>
      </c>
      <c r="Q242" s="49">
        <f>IF(OR(L242="",M242="",P242=""),"",L242*P242)</f>
        <v/>
      </c>
    </row>
    <row r="243" ht="15" customHeight="1" s="32">
      <c r="A243" s="46" t="inlineStr">
        <is>
          <t>R-HB-0242</t>
        </is>
      </c>
      <c r="B243" s="47" t="n">
        <v>45127</v>
      </c>
      <c r="C243" s="46" t="inlineStr">
        <is>
          <t>2023-07</t>
        </is>
      </c>
      <c r="D243" s="46" t="n">
        <v>2023</v>
      </c>
      <c r="E243" s="46" t="inlineStr">
        <is>
          <t>P-HB-001</t>
        </is>
      </c>
      <c r="F243" s="46" t="inlineStr">
        <is>
          <t>C-HB-07</t>
        </is>
      </c>
      <c r="G243" s="48" t="inlineStr">
        <is>
          <t>인도</t>
        </is>
      </c>
      <c r="H243" s="46" t="inlineStr">
        <is>
          <t>IN</t>
        </is>
      </c>
      <c r="I243" s="49" t="n">
        <v>69009</v>
      </c>
      <c r="J243" s="46" t="inlineStr">
        <is>
          <t>EA</t>
        </is>
      </c>
      <c r="K243" s="50" t="n">
        <v>31.05</v>
      </c>
      <c r="L243" s="50" t="n">
        <v>219206.83</v>
      </c>
      <c r="M243" s="46" t="inlineStr">
        <is>
          <t>USD</t>
        </is>
      </c>
      <c r="N243" s="46" t="inlineStr">
        <is>
          <t>FOB</t>
        </is>
      </c>
      <c r="O243" s="46" t="inlineStr">
        <is>
          <t>N</t>
        </is>
      </c>
      <c r="P243" s="50" t="n">
        <v>1282.2835</v>
      </c>
      <c r="Q243" s="49">
        <f>IF(OR(L243="",M243="",P243=""),"",L243*P243)</f>
        <v/>
      </c>
    </row>
    <row r="244" ht="15" customHeight="1" s="32">
      <c r="A244" s="46" t="inlineStr">
        <is>
          <t>R-HB-0243</t>
        </is>
      </c>
      <c r="B244" s="47" t="n">
        <v>45127</v>
      </c>
      <c r="C244" s="46" t="inlineStr">
        <is>
          <t>2023-07</t>
        </is>
      </c>
      <c r="D244" s="46" t="n">
        <v>2023</v>
      </c>
      <c r="E244" s="46" t="inlineStr">
        <is>
          <t>P-HB-003</t>
        </is>
      </c>
      <c r="F244" s="46" t="inlineStr">
        <is>
          <t>C-HB-08</t>
        </is>
      </c>
      <c r="G244" s="48" t="inlineStr">
        <is>
          <t>중국</t>
        </is>
      </c>
      <c r="H244" s="46" t="inlineStr">
        <is>
          <t>CN</t>
        </is>
      </c>
      <c r="I244" s="49" t="n">
        <v>55612</v>
      </c>
      <c r="J244" s="46" t="inlineStr">
        <is>
          <t>EA</t>
        </is>
      </c>
      <c r="K244" s="50" t="n">
        <v>36.15</v>
      </c>
      <c r="L244" s="50" t="n">
        <v>248303.57</v>
      </c>
      <c r="M244" s="46" t="inlineStr">
        <is>
          <t>USD</t>
        </is>
      </c>
      <c r="N244" s="46" t="inlineStr">
        <is>
          <t>FOB</t>
        </is>
      </c>
      <c r="O244" s="46" t="inlineStr">
        <is>
          <t>N</t>
        </is>
      </c>
      <c r="P244" s="50" t="n">
        <v>1282.2835</v>
      </c>
      <c r="Q244" s="49">
        <f>IF(OR(L244="",M244="",P244=""),"",L244*P244)</f>
        <v/>
      </c>
    </row>
    <row r="245" ht="15" customHeight="1" s="32">
      <c r="A245" s="46" t="inlineStr">
        <is>
          <t>R-HB-0244</t>
        </is>
      </c>
      <c r="B245" s="47" t="n">
        <v>45128</v>
      </c>
      <c r="C245" s="46" t="inlineStr">
        <is>
          <t>2023-07</t>
        </is>
      </c>
      <c r="D245" s="46" t="n">
        <v>2023</v>
      </c>
      <c r="E245" s="46" t="inlineStr">
        <is>
          <t>P-HB-002</t>
        </is>
      </c>
      <c r="F245" s="46" t="inlineStr">
        <is>
          <t>C-HB-05</t>
        </is>
      </c>
      <c r="G245" s="48" t="inlineStr">
        <is>
          <t>독일</t>
        </is>
      </c>
      <c r="H245" s="46" t="inlineStr">
        <is>
          <t>DE</t>
        </is>
      </c>
      <c r="I245" s="49" t="n">
        <v>200</v>
      </c>
      <c r="J245" s="46" t="inlineStr">
        <is>
          <t>EA</t>
        </is>
      </c>
      <c r="K245" s="50" t="n">
        <v>0.44</v>
      </c>
      <c r="L245" s="50" t="n">
        <v>46065.92</v>
      </c>
      <c r="M245" s="46" t="inlineStr">
        <is>
          <t>USD</t>
        </is>
      </c>
      <c r="N245" s="46" t="inlineStr">
        <is>
          <t>FOB</t>
        </is>
      </c>
      <c r="O245" s="46" t="inlineStr">
        <is>
          <t>N</t>
        </is>
      </c>
      <c r="P245" s="50" t="n">
        <v>1282.2835</v>
      </c>
      <c r="Q245" s="49">
        <f>IF(OR(L245="",M245="",P245=""),"",L245*P245)</f>
        <v/>
      </c>
    </row>
    <row r="246" ht="15" customHeight="1" s="32">
      <c r="A246" s="46" t="inlineStr">
        <is>
          <t>R-HB-0245</t>
        </is>
      </c>
      <c r="B246" s="47" t="n">
        <v>45129</v>
      </c>
      <c r="C246" s="46" t="inlineStr">
        <is>
          <t>2023-07</t>
        </is>
      </c>
      <c r="D246" s="46" t="n">
        <v>2023</v>
      </c>
      <c r="E246" s="46" t="inlineStr">
        <is>
          <t>P-HB-002</t>
        </is>
      </c>
      <c r="F246" s="46" t="inlineStr">
        <is>
          <t>C-HB-04</t>
        </is>
      </c>
      <c r="G246" s="48" t="inlineStr">
        <is>
          <t>캐나다</t>
        </is>
      </c>
      <c r="H246" s="46" t="inlineStr">
        <is>
          <t>CA</t>
        </is>
      </c>
      <c r="I246" s="49" t="n">
        <v>24</v>
      </c>
      <c r="J246" s="46" t="inlineStr">
        <is>
          <t>EA</t>
        </is>
      </c>
      <c r="K246" s="50" t="n">
        <v>0.05</v>
      </c>
      <c r="L246" s="50" t="n">
        <v>5270.99</v>
      </c>
      <c r="M246" s="46" t="inlineStr">
        <is>
          <t>USD</t>
        </is>
      </c>
      <c r="N246" s="46" t="inlineStr">
        <is>
          <t>FOB</t>
        </is>
      </c>
      <c r="O246" s="46" t="inlineStr">
        <is>
          <t>N</t>
        </is>
      </c>
      <c r="P246" s="50" t="n">
        <v>1282.2835</v>
      </c>
      <c r="Q246" s="49">
        <f>IF(OR(L246="",M246="",P246=""),"",L246*P246)</f>
        <v/>
      </c>
    </row>
    <row r="247" ht="15" customHeight="1" s="32">
      <c r="A247" s="46" t="inlineStr">
        <is>
          <t>R-HB-0246</t>
        </is>
      </c>
      <c r="B247" s="47" t="n">
        <v>45129</v>
      </c>
      <c r="C247" s="46" t="inlineStr">
        <is>
          <t>2023-07</t>
        </is>
      </c>
      <c r="D247" s="46" t="n">
        <v>2023</v>
      </c>
      <c r="E247" s="46" t="inlineStr">
        <is>
          <t>P-HB-003</t>
        </is>
      </c>
      <c r="F247" s="46" t="inlineStr">
        <is>
          <t>C-HB-06</t>
        </is>
      </c>
      <c r="G247" s="48" t="inlineStr">
        <is>
          <t>베트남</t>
        </is>
      </c>
      <c r="H247" s="46" t="inlineStr">
        <is>
          <t>VN</t>
        </is>
      </c>
      <c r="I247" s="49" t="n">
        <v>40474</v>
      </c>
      <c r="J247" s="46" t="inlineStr">
        <is>
          <t>EA</t>
        </is>
      </c>
      <c r="K247" s="50" t="n">
        <v>26.31</v>
      </c>
      <c r="L247" s="50" t="n">
        <v>184508.39</v>
      </c>
      <c r="M247" s="46" t="inlineStr">
        <is>
          <t>USD</t>
        </is>
      </c>
      <c r="N247" s="46" t="inlineStr">
        <is>
          <t>FOB</t>
        </is>
      </c>
      <c r="O247" s="46" t="inlineStr">
        <is>
          <t>N</t>
        </is>
      </c>
      <c r="P247" s="50" t="n">
        <v>1282.2835</v>
      </c>
      <c r="Q247" s="49">
        <f>IF(OR(L247="",M247="",P247=""),"",L247*P247)</f>
        <v/>
      </c>
    </row>
    <row r="248" ht="15" customHeight="1" s="32">
      <c r="A248" s="46" t="inlineStr">
        <is>
          <t>R-HB-0247</t>
        </is>
      </c>
      <c r="B248" s="47" t="n">
        <v>45130</v>
      </c>
      <c r="C248" s="46" t="inlineStr">
        <is>
          <t>2023-07</t>
        </is>
      </c>
      <c r="D248" s="46" t="n">
        <v>2023</v>
      </c>
      <c r="E248" s="46" t="inlineStr">
        <is>
          <t>P-HB-001</t>
        </is>
      </c>
      <c r="F248" s="46" t="inlineStr">
        <is>
          <t>C-HB-05</t>
        </is>
      </c>
      <c r="G248" s="48" t="inlineStr">
        <is>
          <t>독일</t>
        </is>
      </c>
      <c r="H248" s="46" t="inlineStr">
        <is>
          <t>DE</t>
        </is>
      </c>
      <c r="I248" s="49" t="n">
        <v>138718</v>
      </c>
      <c r="J248" s="46" t="inlineStr">
        <is>
          <t>EA</t>
        </is>
      </c>
      <c r="K248" s="50" t="n">
        <v>62.42</v>
      </c>
      <c r="L248" s="50" t="n">
        <v>439714.43</v>
      </c>
      <c r="M248" s="46" t="inlineStr">
        <is>
          <t>USD</t>
        </is>
      </c>
      <c r="N248" s="46" t="inlineStr">
        <is>
          <t>FOB</t>
        </is>
      </c>
      <c r="O248" s="46" t="inlineStr">
        <is>
          <t>N</t>
        </is>
      </c>
      <c r="P248" s="50" t="n">
        <v>1282.2835</v>
      </c>
      <c r="Q248" s="49">
        <f>IF(OR(L248="",M248="",P248=""),"",L248*P248)</f>
        <v/>
      </c>
    </row>
    <row r="249" ht="15" customHeight="1" s="32">
      <c r="A249" s="46" t="inlineStr">
        <is>
          <t>R-HB-0248</t>
        </is>
      </c>
      <c r="B249" s="47" t="n">
        <v>45131</v>
      </c>
      <c r="C249" s="46" t="inlineStr">
        <is>
          <t>2023-07</t>
        </is>
      </c>
      <c r="D249" s="46" t="n">
        <v>2023</v>
      </c>
      <c r="E249" s="46" t="inlineStr">
        <is>
          <t>P-HB-001</t>
        </is>
      </c>
      <c r="F249" s="46" t="inlineStr">
        <is>
          <t>C-HB-01</t>
        </is>
      </c>
      <c r="G249" s="48" t="inlineStr">
        <is>
          <t>미국</t>
        </is>
      </c>
      <c r="H249" s="46" t="inlineStr">
        <is>
          <t>US</t>
        </is>
      </c>
      <c r="I249" s="49" t="n">
        <v>163604</v>
      </c>
      <c r="J249" s="46" t="inlineStr">
        <is>
          <t>EA</t>
        </is>
      </c>
      <c r="K249" s="50" t="n">
        <v>73.62</v>
      </c>
      <c r="L249" s="50" t="n">
        <v>542217.48</v>
      </c>
      <c r="M249" s="46" t="inlineStr">
        <is>
          <t>USD</t>
        </is>
      </c>
      <c r="N249" s="46" t="inlineStr">
        <is>
          <t>FOB</t>
        </is>
      </c>
      <c r="O249" s="46" t="inlineStr">
        <is>
          <t>N</t>
        </is>
      </c>
      <c r="P249" s="50" t="n">
        <v>1282.2835</v>
      </c>
      <c r="Q249" s="49">
        <f>IF(OR(L249="",M249="",P249=""),"",L249*P249)</f>
        <v/>
      </c>
    </row>
    <row r="250" ht="15" customHeight="1" s="32">
      <c r="A250" s="46" t="inlineStr">
        <is>
          <t>R-HB-0249</t>
        </is>
      </c>
      <c r="B250" s="47" t="n">
        <v>45131</v>
      </c>
      <c r="C250" s="46" t="inlineStr">
        <is>
          <t>2023-07</t>
        </is>
      </c>
      <c r="D250" s="46" t="n">
        <v>2023</v>
      </c>
      <c r="E250" s="46" t="inlineStr">
        <is>
          <t>P-HB-004</t>
        </is>
      </c>
      <c r="F250" s="46" t="inlineStr">
        <is>
          <t>C-HB-01</t>
        </is>
      </c>
      <c r="G250" s="48" t="inlineStr">
        <is>
          <t>미국</t>
        </is>
      </c>
      <c r="H250" s="46" t="inlineStr">
        <is>
          <t>US</t>
        </is>
      </c>
      <c r="I250" s="49" t="n">
        <v>14800</v>
      </c>
      <c r="J250" s="46" t="inlineStr">
        <is>
          <t>EA</t>
        </is>
      </c>
      <c r="K250" s="50" t="n">
        <v>16.28</v>
      </c>
      <c r="L250" s="50" t="n">
        <v>413407.72</v>
      </c>
      <c r="M250" s="46" t="inlineStr">
        <is>
          <t>USD</t>
        </is>
      </c>
      <c r="N250" s="46" t="inlineStr">
        <is>
          <t>FOB</t>
        </is>
      </c>
      <c r="O250" s="46" t="inlineStr">
        <is>
          <t>N</t>
        </is>
      </c>
      <c r="P250" s="50" t="n">
        <v>1282.2835</v>
      </c>
      <c r="Q250" s="49">
        <f>IF(OR(L250="",M250="",P250=""),"",L250*P250)</f>
        <v/>
      </c>
    </row>
    <row r="251" ht="15" customHeight="1" s="32">
      <c r="A251" s="46" t="inlineStr">
        <is>
          <t>R-HB-0250</t>
        </is>
      </c>
      <c r="B251" s="47" t="n">
        <v>45131</v>
      </c>
      <c r="C251" s="46" t="inlineStr">
        <is>
          <t>2023-07</t>
        </is>
      </c>
      <c r="D251" s="46" t="n">
        <v>2023</v>
      </c>
      <c r="E251" s="46" t="inlineStr">
        <is>
          <t>P-HB-003</t>
        </is>
      </c>
      <c r="F251" s="46" t="inlineStr">
        <is>
          <t>C-HB-04</t>
        </is>
      </c>
      <c r="G251" s="48" t="inlineStr">
        <is>
          <t>캐나다</t>
        </is>
      </c>
      <c r="H251" s="46" t="inlineStr">
        <is>
          <t>CA</t>
        </is>
      </c>
      <c r="I251" s="49" t="n">
        <v>4849</v>
      </c>
      <c r="J251" s="46" t="inlineStr">
        <is>
          <t>EA</t>
        </is>
      </c>
      <c r="K251" s="50" t="n">
        <v>3.15</v>
      </c>
      <c r="L251" s="50" t="n">
        <v>22967.22</v>
      </c>
      <c r="M251" s="46" t="inlineStr">
        <is>
          <t>USD</t>
        </is>
      </c>
      <c r="N251" s="46" t="inlineStr">
        <is>
          <t>FOB</t>
        </is>
      </c>
      <c r="O251" s="46" t="inlineStr">
        <is>
          <t>N</t>
        </is>
      </c>
      <c r="P251" s="50" t="n">
        <v>1282.2835</v>
      </c>
      <c r="Q251" s="49">
        <f>IF(OR(L251="",M251="",P251=""),"",L251*P251)</f>
        <v/>
      </c>
    </row>
    <row r="252" ht="15" customHeight="1" s="32">
      <c r="A252" s="46" t="inlineStr">
        <is>
          <t>R-HB-0251</t>
        </is>
      </c>
      <c r="B252" s="47" t="n">
        <v>45131</v>
      </c>
      <c r="C252" s="46" t="inlineStr">
        <is>
          <t>2023-07</t>
        </is>
      </c>
      <c r="D252" s="46" t="n">
        <v>2023</v>
      </c>
      <c r="E252" s="46" t="inlineStr">
        <is>
          <t>P-HB-004</t>
        </is>
      </c>
      <c r="F252" s="46" t="inlineStr">
        <is>
          <t>C-HB-08</t>
        </is>
      </c>
      <c r="G252" s="48" t="inlineStr">
        <is>
          <t>중국</t>
        </is>
      </c>
      <c r="H252" s="46" t="inlineStr">
        <is>
          <t>CN</t>
        </is>
      </c>
      <c r="I252" s="49" t="n">
        <v>13790</v>
      </c>
      <c r="J252" s="46" t="inlineStr">
        <is>
          <t>EA</t>
        </is>
      </c>
      <c r="K252" s="50" t="n">
        <v>15.17</v>
      </c>
      <c r="L252" s="50" t="n">
        <v>395890.27</v>
      </c>
      <c r="M252" s="46" t="inlineStr">
        <is>
          <t>USD</t>
        </is>
      </c>
      <c r="N252" s="46" t="inlineStr">
        <is>
          <t>FOB</t>
        </is>
      </c>
      <c r="O252" s="46" t="inlineStr">
        <is>
          <t>N</t>
        </is>
      </c>
      <c r="P252" s="50" t="n">
        <v>1282.2835</v>
      </c>
      <c r="Q252" s="49">
        <f>IF(OR(L252="",M252="",P252=""),"",L252*P252)</f>
        <v/>
      </c>
    </row>
    <row r="253" ht="15" customHeight="1" s="32">
      <c r="A253" s="46" t="inlineStr">
        <is>
          <t>R-HB-0252</t>
        </is>
      </c>
      <c r="B253" s="47" t="n">
        <v>45132</v>
      </c>
      <c r="C253" s="46" t="inlineStr">
        <is>
          <t>2023-07</t>
        </is>
      </c>
      <c r="D253" s="46" t="n">
        <v>2023</v>
      </c>
      <c r="E253" s="46" t="inlineStr">
        <is>
          <t>P-HB-002</t>
        </is>
      </c>
      <c r="F253" s="46" t="inlineStr">
        <is>
          <t>C-HB-07</t>
        </is>
      </c>
      <c r="G253" s="48" t="inlineStr">
        <is>
          <t>인도</t>
        </is>
      </c>
      <c r="H253" s="46" t="inlineStr">
        <is>
          <t>IN</t>
        </is>
      </c>
      <c r="I253" s="49" t="n">
        <v>111</v>
      </c>
      <c r="J253" s="46" t="inlineStr">
        <is>
          <t>EA</t>
        </is>
      </c>
      <c r="K253" s="50" t="n">
        <v>0.24</v>
      </c>
      <c r="L253" s="50" t="n">
        <v>25844.02</v>
      </c>
      <c r="M253" s="46" t="inlineStr">
        <is>
          <t>USD</t>
        </is>
      </c>
      <c r="N253" s="46" t="inlineStr">
        <is>
          <t>FOB</t>
        </is>
      </c>
      <c r="O253" s="46" t="inlineStr">
        <is>
          <t>N</t>
        </is>
      </c>
      <c r="P253" s="50" t="n">
        <v>1282.2835</v>
      </c>
      <c r="Q253" s="49">
        <f>IF(OR(L253="",M253="",P253=""),"",L253*P253)</f>
        <v/>
      </c>
    </row>
    <row r="254" ht="15" customHeight="1" s="32">
      <c r="A254" s="46" t="inlineStr">
        <is>
          <t>R-HB-0253</t>
        </is>
      </c>
      <c r="B254" s="47" t="n">
        <v>45141</v>
      </c>
      <c r="C254" s="46" t="inlineStr">
        <is>
          <t>2023-08</t>
        </is>
      </c>
      <c r="D254" s="46" t="n">
        <v>2023</v>
      </c>
      <c r="E254" s="46" t="inlineStr">
        <is>
          <t>P-HB-004</t>
        </is>
      </c>
      <c r="F254" s="46" t="inlineStr">
        <is>
          <t>C-HB-02</t>
        </is>
      </c>
      <c r="G254" s="48" t="inlineStr">
        <is>
          <t>미국</t>
        </is>
      </c>
      <c r="H254" s="46" t="inlineStr">
        <is>
          <t>US</t>
        </is>
      </c>
      <c r="I254" s="49" t="n">
        <v>8896</v>
      </c>
      <c r="J254" s="46" t="inlineStr">
        <is>
          <t>EA</t>
        </is>
      </c>
      <c r="K254" s="50" t="n">
        <v>9.789999999999999</v>
      </c>
      <c r="L254" s="50" t="n">
        <v>239611.33</v>
      </c>
      <c r="M254" s="46" t="inlineStr">
        <is>
          <t>USD</t>
        </is>
      </c>
      <c r="N254" s="46" t="inlineStr">
        <is>
          <t>FOB</t>
        </is>
      </c>
      <c r="O254" s="46" t="inlineStr">
        <is>
          <t>N</t>
        </is>
      </c>
      <c r="P254" s="50" t="n">
        <v>1321.7561</v>
      </c>
      <c r="Q254" s="49">
        <f>IF(OR(L254="",M254="",P254=""),"",L254*P254)</f>
        <v/>
      </c>
    </row>
    <row r="255" ht="15" customHeight="1" s="32">
      <c r="A255" s="46" t="inlineStr">
        <is>
          <t>R-HB-0254</t>
        </is>
      </c>
      <c r="B255" s="47" t="n">
        <v>45142</v>
      </c>
      <c r="C255" s="46" t="inlineStr">
        <is>
          <t>2023-08</t>
        </is>
      </c>
      <c r="D255" s="46" t="n">
        <v>2023</v>
      </c>
      <c r="E255" s="46" t="inlineStr">
        <is>
          <t>P-HB-001</t>
        </is>
      </c>
      <c r="F255" s="46" t="inlineStr">
        <is>
          <t>C-HB-03</t>
        </is>
      </c>
      <c r="G255" s="48" t="inlineStr">
        <is>
          <t>멕시코</t>
        </is>
      </c>
      <c r="H255" s="46" t="inlineStr">
        <is>
          <t>MX</t>
        </is>
      </c>
      <c r="I255" s="49" t="n">
        <v>28853</v>
      </c>
      <c r="J255" s="46" t="inlineStr">
        <is>
          <t>EA</t>
        </is>
      </c>
      <c r="K255" s="50" t="n">
        <v>12.98</v>
      </c>
      <c r="L255" s="50" t="n">
        <v>99012.45</v>
      </c>
      <c r="M255" s="46" t="inlineStr">
        <is>
          <t>USD</t>
        </is>
      </c>
      <c r="N255" s="46" t="inlineStr">
        <is>
          <t>FOB</t>
        </is>
      </c>
      <c r="O255" s="46" t="inlineStr">
        <is>
          <t>N</t>
        </is>
      </c>
      <c r="P255" s="50" t="n">
        <v>1321.7561</v>
      </c>
      <c r="Q255" s="49">
        <f>IF(OR(L255="",M255="",P255=""),"",L255*P255)</f>
        <v/>
      </c>
    </row>
    <row r="256" ht="15" customHeight="1" s="32">
      <c r="A256" s="46" t="inlineStr">
        <is>
          <t>R-HB-0255</t>
        </is>
      </c>
      <c r="B256" s="47" t="n">
        <v>45143</v>
      </c>
      <c r="C256" s="46" t="inlineStr">
        <is>
          <t>2023-08</t>
        </is>
      </c>
      <c r="D256" s="46" t="n">
        <v>2023</v>
      </c>
      <c r="E256" s="46" t="inlineStr">
        <is>
          <t>P-HB-001</t>
        </is>
      </c>
      <c r="F256" s="46" t="inlineStr">
        <is>
          <t>C-HB-06</t>
        </is>
      </c>
      <c r="G256" s="48" t="inlineStr">
        <is>
          <t>베트남</t>
        </is>
      </c>
      <c r="H256" s="46" t="inlineStr">
        <is>
          <t>VN</t>
        </is>
      </c>
      <c r="I256" s="49" t="n">
        <v>103121</v>
      </c>
      <c r="J256" s="46" t="inlineStr">
        <is>
          <t>EA</t>
        </is>
      </c>
      <c r="K256" s="50" t="n">
        <v>46.4</v>
      </c>
      <c r="L256" s="50" t="n">
        <v>345398.32</v>
      </c>
      <c r="M256" s="46" t="inlineStr">
        <is>
          <t>USD</t>
        </is>
      </c>
      <c r="N256" s="46" t="inlineStr">
        <is>
          <t>FOB</t>
        </is>
      </c>
      <c r="O256" s="46" t="inlineStr">
        <is>
          <t>N</t>
        </is>
      </c>
      <c r="P256" s="50" t="n">
        <v>1321.7561</v>
      </c>
      <c r="Q256" s="49">
        <f>IF(OR(L256="",M256="",P256=""),"",L256*P256)</f>
        <v/>
      </c>
    </row>
    <row r="257" ht="15" customHeight="1" s="32">
      <c r="A257" s="46" t="inlineStr">
        <is>
          <t>R-HB-0256</t>
        </is>
      </c>
      <c r="B257" s="47" t="n">
        <v>45144</v>
      </c>
      <c r="C257" s="46" t="inlineStr">
        <is>
          <t>2023-08</t>
        </is>
      </c>
      <c r="D257" s="46" t="n">
        <v>2023</v>
      </c>
      <c r="E257" s="46" t="inlineStr">
        <is>
          <t>P-HB-004</t>
        </is>
      </c>
      <c r="F257" s="46" t="inlineStr">
        <is>
          <t>C-HB-04</t>
        </is>
      </c>
      <c r="G257" s="48" t="inlineStr">
        <is>
          <t>캐나다</t>
        </is>
      </c>
      <c r="H257" s="46" t="inlineStr">
        <is>
          <t>CA</t>
        </is>
      </c>
      <c r="I257" s="49" t="n">
        <v>1327</v>
      </c>
      <c r="J257" s="46" t="inlineStr">
        <is>
          <t>EA</t>
        </is>
      </c>
      <c r="K257" s="50" t="n">
        <v>1.46</v>
      </c>
      <c r="L257" s="50" t="n">
        <v>37070.11</v>
      </c>
      <c r="M257" s="46" t="inlineStr">
        <is>
          <t>USD</t>
        </is>
      </c>
      <c r="N257" s="46" t="inlineStr">
        <is>
          <t>FOB</t>
        </is>
      </c>
      <c r="O257" s="46" t="inlineStr">
        <is>
          <t>N</t>
        </is>
      </c>
      <c r="P257" s="50" t="n">
        <v>1321.7561</v>
      </c>
      <c r="Q257" s="49">
        <f>IF(OR(L257="",M257="",P257=""),"",L257*P257)</f>
        <v/>
      </c>
    </row>
    <row r="258" ht="15" customHeight="1" s="32">
      <c r="A258" s="46" t="inlineStr">
        <is>
          <t>R-HB-0257</t>
        </is>
      </c>
      <c r="B258" s="47" t="n">
        <v>45144</v>
      </c>
      <c r="C258" s="46" t="inlineStr">
        <is>
          <t>2023-08</t>
        </is>
      </c>
      <c r="D258" s="46" t="n">
        <v>2023</v>
      </c>
      <c r="E258" s="46" t="inlineStr">
        <is>
          <t>P-HB-004</t>
        </is>
      </c>
      <c r="F258" s="46" t="inlineStr">
        <is>
          <t>C-HB-06</t>
        </is>
      </c>
      <c r="G258" s="48" t="inlineStr">
        <is>
          <t>베트남</t>
        </is>
      </c>
      <c r="H258" s="46" t="inlineStr">
        <is>
          <t>VN</t>
        </is>
      </c>
      <c r="I258" s="49" t="n">
        <v>10758</v>
      </c>
      <c r="J258" s="46" t="inlineStr">
        <is>
          <t>EA</t>
        </is>
      </c>
      <c r="K258" s="50" t="n">
        <v>11.83</v>
      </c>
      <c r="L258" s="50" t="n">
        <v>302576.46</v>
      </c>
      <c r="M258" s="46" t="inlineStr">
        <is>
          <t>USD</t>
        </is>
      </c>
      <c r="N258" s="46" t="inlineStr">
        <is>
          <t>FOB</t>
        </is>
      </c>
      <c r="O258" s="46" t="inlineStr">
        <is>
          <t>N</t>
        </is>
      </c>
      <c r="P258" s="50" t="n">
        <v>1321.7561</v>
      </c>
      <c r="Q258" s="49">
        <f>IF(OR(L258="",M258="",P258=""),"",L258*P258)</f>
        <v/>
      </c>
    </row>
    <row r="259" ht="15" customHeight="1" s="32">
      <c r="A259" s="46" t="inlineStr">
        <is>
          <t>R-HB-0258</t>
        </is>
      </c>
      <c r="B259" s="47" t="n">
        <v>45145</v>
      </c>
      <c r="C259" s="46" t="inlineStr">
        <is>
          <t>2023-08</t>
        </is>
      </c>
      <c r="D259" s="46" t="n">
        <v>2023</v>
      </c>
      <c r="E259" s="46" t="inlineStr">
        <is>
          <t>P-HB-004</t>
        </is>
      </c>
      <c r="F259" s="46" t="inlineStr">
        <is>
          <t>C-HB-03</t>
        </is>
      </c>
      <c r="G259" s="48" t="inlineStr">
        <is>
          <t>멕시코</t>
        </is>
      </c>
      <c r="H259" s="46" t="inlineStr">
        <is>
          <t>MX</t>
        </is>
      </c>
      <c r="I259" s="49" t="n">
        <v>2913</v>
      </c>
      <c r="J259" s="46" t="inlineStr">
        <is>
          <t>EA</t>
        </is>
      </c>
      <c r="K259" s="50" t="n">
        <v>3.2</v>
      </c>
      <c r="L259" s="50" t="n">
        <v>79298.07000000001</v>
      </c>
      <c r="M259" s="46" t="inlineStr">
        <is>
          <t>USD</t>
        </is>
      </c>
      <c r="N259" s="46" t="inlineStr">
        <is>
          <t>FOB</t>
        </is>
      </c>
      <c r="O259" s="46" t="inlineStr">
        <is>
          <t>N</t>
        </is>
      </c>
      <c r="P259" s="50" t="n">
        <v>1321.7561</v>
      </c>
      <c r="Q259" s="49">
        <f>IF(OR(L259="",M259="",P259=""),"",L259*P259)</f>
        <v/>
      </c>
    </row>
    <row r="260" ht="15" customHeight="1" s="32">
      <c r="A260" s="46" t="inlineStr">
        <is>
          <t>R-HB-0259</t>
        </is>
      </c>
      <c r="B260" s="47" t="n">
        <v>45145</v>
      </c>
      <c r="C260" s="46" t="inlineStr">
        <is>
          <t>2023-08</t>
        </is>
      </c>
      <c r="D260" s="46" t="n">
        <v>2023</v>
      </c>
      <c r="E260" s="46" t="inlineStr">
        <is>
          <t>P-HB-002</t>
        </is>
      </c>
      <c r="F260" s="46" t="inlineStr">
        <is>
          <t>C-HB-04</t>
        </is>
      </c>
      <c r="G260" s="48" t="inlineStr">
        <is>
          <t>캐나다</t>
        </is>
      </c>
      <c r="H260" s="46" t="inlineStr">
        <is>
          <t>CA</t>
        </is>
      </c>
      <c r="I260" s="49" t="n">
        <v>23</v>
      </c>
      <c r="J260" s="46" t="inlineStr">
        <is>
          <t>EA</t>
        </is>
      </c>
      <c r="K260" s="50" t="n">
        <v>0.05</v>
      </c>
      <c r="L260" s="50" t="n">
        <v>5641.99</v>
      </c>
      <c r="M260" s="46" t="inlineStr">
        <is>
          <t>USD</t>
        </is>
      </c>
      <c r="N260" s="46" t="inlineStr">
        <is>
          <t>FOB</t>
        </is>
      </c>
      <c r="O260" s="46" t="inlineStr">
        <is>
          <t>N</t>
        </is>
      </c>
      <c r="P260" s="50" t="n">
        <v>1321.7561</v>
      </c>
      <c r="Q260" s="49">
        <f>IF(OR(L260="",M260="",P260=""),"",L260*P260)</f>
        <v/>
      </c>
    </row>
    <row r="261" ht="15" customHeight="1" s="32">
      <c r="A261" s="46" t="inlineStr">
        <is>
          <t>R-HB-0260</t>
        </is>
      </c>
      <c r="B261" s="47" t="n">
        <v>45146</v>
      </c>
      <c r="C261" s="46" t="inlineStr">
        <is>
          <t>2023-08</t>
        </is>
      </c>
      <c r="D261" s="46" t="n">
        <v>2023</v>
      </c>
      <c r="E261" s="46" t="inlineStr">
        <is>
          <t>P-HB-003</t>
        </is>
      </c>
      <c r="F261" s="46" t="inlineStr">
        <is>
          <t>C-HB-06</t>
        </is>
      </c>
      <c r="G261" s="48" t="inlineStr">
        <is>
          <t>베트남</t>
        </is>
      </c>
      <c r="H261" s="46" t="inlineStr">
        <is>
          <t>VN</t>
        </is>
      </c>
      <c r="I261" s="49" t="n">
        <v>35612</v>
      </c>
      <c r="J261" s="46" t="inlineStr">
        <is>
          <t>EA</t>
        </is>
      </c>
      <c r="K261" s="50" t="n">
        <v>23.15</v>
      </c>
      <c r="L261" s="50" t="n">
        <v>176506.35</v>
      </c>
      <c r="M261" s="46" t="inlineStr">
        <is>
          <t>USD</t>
        </is>
      </c>
      <c r="N261" s="46" t="inlineStr">
        <is>
          <t>FOB</t>
        </is>
      </c>
      <c r="O261" s="46" t="inlineStr">
        <is>
          <t>N</t>
        </is>
      </c>
      <c r="P261" s="50" t="n">
        <v>1321.7561</v>
      </c>
      <c r="Q261" s="49">
        <f>IF(OR(L261="",M261="",P261=""),"",L261*P261)</f>
        <v/>
      </c>
    </row>
    <row r="262" ht="15" customHeight="1" s="32">
      <c r="A262" s="46" t="inlineStr">
        <is>
          <t>R-HB-0261</t>
        </is>
      </c>
      <c r="B262" s="47" t="n">
        <v>45146</v>
      </c>
      <c r="C262" s="46" t="inlineStr">
        <is>
          <t>2023-08</t>
        </is>
      </c>
      <c r="D262" s="46" t="n">
        <v>2023</v>
      </c>
      <c r="E262" s="46" t="inlineStr">
        <is>
          <t>P-HB-001</t>
        </is>
      </c>
      <c r="F262" s="46" t="inlineStr">
        <is>
          <t>C-HB-09</t>
        </is>
      </c>
      <c r="G262" s="48" t="inlineStr">
        <is>
          <t>중국</t>
        </is>
      </c>
      <c r="H262" s="46" t="inlineStr">
        <is>
          <t>CN</t>
        </is>
      </c>
      <c r="I262" s="49" t="n">
        <v>87637</v>
      </c>
      <c r="J262" s="46" t="inlineStr">
        <is>
          <t>EA</t>
        </is>
      </c>
      <c r="K262" s="50" t="n">
        <v>39.44</v>
      </c>
      <c r="L262" s="50" t="n">
        <v>301702.65</v>
      </c>
      <c r="M262" s="46" t="inlineStr">
        <is>
          <t>USD</t>
        </is>
      </c>
      <c r="N262" s="46" t="inlineStr">
        <is>
          <t>FOB</t>
        </is>
      </c>
      <c r="O262" s="46" t="inlineStr">
        <is>
          <t>N</t>
        </is>
      </c>
      <c r="P262" s="50" t="n">
        <v>1321.7561</v>
      </c>
      <c r="Q262" s="49">
        <f>IF(OR(L262="",M262="",P262=""),"",L262*P262)</f>
        <v/>
      </c>
    </row>
    <row r="263" ht="15" customHeight="1" s="32">
      <c r="A263" s="46" t="inlineStr">
        <is>
          <t>R-HB-0262</t>
        </is>
      </c>
      <c r="B263" s="47" t="n">
        <v>45148</v>
      </c>
      <c r="C263" s="46" t="inlineStr">
        <is>
          <t>2023-08</t>
        </is>
      </c>
      <c r="D263" s="46" t="n">
        <v>2023</v>
      </c>
      <c r="E263" s="46" t="inlineStr">
        <is>
          <t>P-HB-001</t>
        </is>
      </c>
      <c r="F263" s="46" t="inlineStr">
        <is>
          <t>C-HB-01</t>
        </is>
      </c>
      <c r="G263" s="48" t="inlineStr">
        <is>
          <t>미국</t>
        </is>
      </c>
      <c r="H263" s="46" t="inlineStr">
        <is>
          <t>US</t>
        </is>
      </c>
      <c r="I263" s="49" t="n">
        <v>149330</v>
      </c>
      <c r="J263" s="46" t="inlineStr">
        <is>
          <t>EA</t>
        </is>
      </c>
      <c r="K263" s="50" t="n">
        <v>67.2</v>
      </c>
      <c r="L263" s="50" t="n">
        <v>495349.51</v>
      </c>
      <c r="M263" s="46" t="inlineStr">
        <is>
          <t>USD</t>
        </is>
      </c>
      <c r="N263" s="46" t="inlineStr">
        <is>
          <t>FOB</t>
        </is>
      </c>
      <c r="O263" s="46" t="inlineStr">
        <is>
          <t>N</t>
        </is>
      </c>
      <c r="P263" s="50" t="n">
        <v>1321.7561</v>
      </c>
      <c r="Q263" s="49">
        <f>IF(OR(L263="",M263="",P263=""),"",L263*P263)</f>
        <v/>
      </c>
    </row>
    <row r="264" ht="15" customHeight="1" s="32">
      <c r="A264" s="46" t="inlineStr">
        <is>
          <t>R-HB-0263</t>
        </is>
      </c>
      <c r="B264" s="47" t="n">
        <v>45148</v>
      </c>
      <c r="C264" s="46" t="inlineStr">
        <is>
          <t>2023-08</t>
        </is>
      </c>
      <c r="D264" s="46" t="n">
        <v>2023</v>
      </c>
      <c r="E264" s="46" t="inlineStr">
        <is>
          <t>P-HB-001</t>
        </is>
      </c>
      <c r="F264" s="46" t="inlineStr">
        <is>
          <t>C-HB-05</t>
        </is>
      </c>
      <c r="G264" s="48" t="inlineStr">
        <is>
          <t>독일</t>
        </is>
      </c>
      <c r="H264" s="46" t="inlineStr">
        <is>
          <t>DE</t>
        </is>
      </c>
      <c r="I264" s="49" t="n">
        <v>141403</v>
      </c>
      <c r="J264" s="46" t="inlineStr">
        <is>
          <t>EA</t>
        </is>
      </c>
      <c r="K264" s="50" t="n">
        <v>63.63</v>
      </c>
      <c r="L264" s="50" t="n">
        <v>468641.01</v>
      </c>
      <c r="M264" s="46" t="inlineStr">
        <is>
          <t>USD</t>
        </is>
      </c>
      <c r="N264" s="46" t="inlineStr">
        <is>
          <t>FOB</t>
        </is>
      </c>
      <c r="O264" s="46" t="inlineStr">
        <is>
          <t>N</t>
        </is>
      </c>
      <c r="P264" s="50" t="n">
        <v>1321.7561</v>
      </c>
      <c r="Q264" s="49">
        <f>IF(OR(L264="",M264="",P264=""),"",L264*P264)</f>
        <v/>
      </c>
    </row>
    <row r="265" ht="15" customHeight="1" s="32">
      <c r="A265" s="46" t="inlineStr">
        <is>
          <t>R-HB-0264</t>
        </is>
      </c>
      <c r="B265" s="47" t="n">
        <v>45148</v>
      </c>
      <c r="C265" s="46" t="inlineStr">
        <is>
          <t>2023-08</t>
        </is>
      </c>
      <c r="D265" s="46" t="n">
        <v>2023</v>
      </c>
      <c r="E265" s="46" t="inlineStr">
        <is>
          <t>P-HB-001</t>
        </is>
      </c>
      <c r="F265" s="46" t="inlineStr">
        <is>
          <t>C-HB-08</t>
        </is>
      </c>
      <c r="G265" s="48" t="inlineStr">
        <is>
          <t>중국</t>
        </is>
      </c>
      <c r="H265" s="46" t="inlineStr">
        <is>
          <t>CN</t>
        </is>
      </c>
      <c r="I265" s="49" t="n">
        <v>142181</v>
      </c>
      <c r="J265" s="46" t="inlineStr">
        <is>
          <t>EA</t>
        </is>
      </c>
      <c r="K265" s="50" t="n">
        <v>63.98</v>
      </c>
      <c r="L265" s="50" t="n">
        <v>471837.81</v>
      </c>
      <c r="M265" s="46" t="inlineStr">
        <is>
          <t>USD</t>
        </is>
      </c>
      <c r="N265" s="46" t="inlineStr">
        <is>
          <t>FOB</t>
        </is>
      </c>
      <c r="O265" s="46" t="inlineStr">
        <is>
          <t>N</t>
        </is>
      </c>
      <c r="P265" s="50" t="n">
        <v>1321.7561</v>
      </c>
      <c r="Q265" s="49">
        <f>IF(OR(L265="",M265="",P265=""),"",L265*P265)</f>
        <v/>
      </c>
    </row>
    <row r="266" ht="15" customHeight="1" s="32">
      <c r="A266" s="46" t="inlineStr">
        <is>
          <t>R-HB-0265</t>
        </is>
      </c>
      <c r="B266" s="47" t="n">
        <v>45148</v>
      </c>
      <c r="C266" s="46" t="inlineStr">
        <is>
          <t>2023-08</t>
        </is>
      </c>
      <c r="D266" s="46" t="n">
        <v>2023</v>
      </c>
      <c r="E266" s="46" t="inlineStr">
        <is>
          <t>P-HB-003</t>
        </is>
      </c>
      <c r="F266" s="46" t="inlineStr">
        <is>
          <t>C-HB-09</t>
        </is>
      </c>
      <c r="G266" s="48" t="inlineStr">
        <is>
          <t>중국</t>
        </is>
      </c>
      <c r="H266" s="46" t="inlineStr">
        <is>
          <t>CN</t>
        </is>
      </c>
      <c r="I266" s="49" t="n">
        <v>38376</v>
      </c>
      <c r="J266" s="46" t="inlineStr">
        <is>
          <t>EA</t>
        </is>
      </c>
      <c r="K266" s="50" t="n">
        <v>24.94</v>
      </c>
      <c r="L266" s="50" t="n">
        <v>177002.2</v>
      </c>
      <c r="M266" s="46" t="inlineStr">
        <is>
          <t>USD</t>
        </is>
      </c>
      <c r="N266" s="46" t="inlineStr">
        <is>
          <t>FOB</t>
        </is>
      </c>
      <c r="O266" s="46" t="inlineStr">
        <is>
          <t>N</t>
        </is>
      </c>
      <c r="P266" s="50" t="n">
        <v>1321.7561</v>
      </c>
      <c r="Q266" s="49">
        <f>IF(OR(L266="",M266="",P266=""),"",L266*P266)</f>
        <v/>
      </c>
    </row>
    <row r="267" ht="15" customHeight="1" s="32">
      <c r="A267" s="46" t="inlineStr">
        <is>
          <t>R-HB-0266</t>
        </is>
      </c>
      <c r="B267" s="47" t="n">
        <v>45149</v>
      </c>
      <c r="C267" s="46" t="inlineStr">
        <is>
          <t>2023-08</t>
        </is>
      </c>
      <c r="D267" s="46" t="n">
        <v>2023</v>
      </c>
      <c r="E267" s="46" t="inlineStr">
        <is>
          <t>P-HB-003</t>
        </is>
      </c>
      <c r="F267" s="46" t="inlineStr">
        <is>
          <t>C-HB-05</t>
        </is>
      </c>
      <c r="G267" s="48" t="inlineStr">
        <is>
          <t>독일</t>
        </is>
      </c>
      <c r="H267" s="46" t="inlineStr">
        <is>
          <t>DE</t>
        </is>
      </c>
      <c r="I267" s="49" t="n">
        <v>45618</v>
      </c>
      <c r="J267" s="46" t="inlineStr">
        <is>
          <t>EA</t>
        </is>
      </c>
      <c r="K267" s="50" t="n">
        <v>29.65</v>
      </c>
      <c r="L267" s="50" t="n">
        <v>217484.79</v>
      </c>
      <c r="M267" s="46" t="inlineStr">
        <is>
          <t>USD</t>
        </is>
      </c>
      <c r="N267" s="46" t="inlineStr">
        <is>
          <t>FOB</t>
        </is>
      </c>
      <c r="O267" s="46" t="inlineStr">
        <is>
          <t>N</t>
        </is>
      </c>
      <c r="P267" s="50" t="n">
        <v>1321.7561</v>
      </c>
      <c r="Q267" s="49">
        <f>IF(OR(L267="",M267="",P267=""),"",L267*P267)</f>
        <v/>
      </c>
    </row>
    <row r="268" ht="15" customHeight="1" s="32">
      <c r="A268" s="46" t="inlineStr">
        <is>
          <t>R-HB-0267</t>
        </is>
      </c>
      <c r="B268" s="47" t="n">
        <v>45149</v>
      </c>
      <c r="C268" s="46" t="inlineStr">
        <is>
          <t>2023-08</t>
        </is>
      </c>
      <c r="D268" s="46" t="n">
        <v>2023</v>
      </c>
      <c r="E268" s="46" t="inlineStr">
        <is>
          <t>P-HB-002</t>
        </is>
      </c>
      <c r="F268" s="46" t="inlineStr">
        <is>
          <t>C-HB-09</t>
        </is>
      </c>
      <c r="G268" s="48" t="inlineStr">
        <is>
          <t>중국</t>
        </is>
      </c>
      <c r="H268" s="46" t="inlineStr">
        <is>
          <t>CN</t>
        </is>
      </c>
      <c r="I268" s="49" t="n">
        <v>156</v>
      </c>
      <c r="J268" s="46" t="inlineStr">
        <is>
          <t>EA</t>
        </is>
      </c>
      <c r="K268" s="50" t="n">
        <v>0.34</v>
      </c>
      <c r="L268" s="50" t="n">
        <v>35095.96</v>
      </c>
      <c r="M268" s="46" t="inlineStr">
        <is>
          <t>USD</t>
        </is>
      </c>
      <c r="N268" s="46" t="inlineStr">
        <is>
          <t>FOB</t>
        </is>
      </c>
      <c r="O268" s="46" t="inlineStr">
        <is>
          <t>N</t>
        </is>
      </c>
      <c r="P268" s="50" t="n">
        <v>1321.7561</v>
      </c>
      <c r="Q268" s="49">
        <f>IF(OR(L268="",M268="",P268=""),"",L268*P268)</f>
        <v/>
      </c>
    </row>
    <row r="269" ht="15" customHeight="1" s="32">
      <c r="A269" s="46" t="inlineStr">
        <is>
          <t>R-HB-0268</t>
        </is>
      </c>
      <c r="B269" s="47" t="n">
        <v>45150</v>
      </c>
      <c r="C269" s="46" t="inlineStr">
        <is>
          <t>2023-08</t>
        </is>
      </c>
      <c r="D269" s="46" t="n">
        <v>2023</v>
      </c>
      <c r="E269" s="46" t="inlineStr">
        <is>
          <t>P-HB-001</t>
        </is>
      </c>
      <c r="F269" s="46" t="inlineStr">
        <is>
          <t>C-HB-04</t>
        </is>
      </c>
      <c r="G269" s="48" t="inlineStr">
        <is>
          <t>캐나다</t>
        </is>
      </c>
      <c r="H269" s="46" t="inlineStr">
        <is>
          <t>CA</t>
        </is>
      </c>
      <c r="I269" s="49" t="n">
        <v>13554</v>
      </c>
      <c r="J269" s="46" t="inlineStr">
        <is>
          <t>EA</t>
        </is>
      </c>
      <c r="K269" s="50" t="n">
        <v>6.1</v>
      </c>
      <c r="L269" s="50" t="n">
        <v>45494.56</v>
      </c>
      <c r="M269" s="46" t="inlineStr">
        <is>
          <t>USD</t>
        </is>
      </c>
      <c r="N269" s="46" t="inlineStr">
        <is>
          <t>FOB</t>
        </is>
      </c>
      <c r="O269" s="46" t="inlineStr">
        <is>
          <t>N</t>
        </is>
      </c>
      <c r="P269" s="50" t="n">
        <v>1321.7561</v>
      </c>
      <c r="Q269" s="49">
        <f>IF(OR(L269="",M269="",P269=""),"",L269*P269)</f>
        <v/>
      </c>
    </row>
    <row r="270" ht="15" customHeight="1" s="32">
      <c r="A270" s="46" t="inlineStr">
        <is>
          <t>R-HB-0269</t>
        </is>
      </c>
      <c r="B270" s="47" t="n">
        <v>45151</v>
      </c>
      <c r="C270" s="46" t="inlineStr">
        <is>
          <t>2023-08</t>
        </is>
      </c>
      <c r="D270" s="46" t="n">
        <v>2023</v>
      </c>
      <c r="E270" s="46" t="inlineStr">
        <is>
          <t>P-HB-004</t>
        </is>
      </c>
      <c r="F270" s="46" t="inlineStr">
        <is>
          <t>C-HB-01</t>
        </is>
      </c>
      <c r="G270" s="48" t="inlineStr">
        <is>
          <t>미국</t>
        </is>
      </c>
      <c r="H270" s="46" t="inlineStr">
        <is>
          <t>US</t>
        </is>
      </c>
      <c r="I270" s="49" t="n">
        <v>15348</v>
      </c>
      <c r="J270" s="46" t="inlineStr">
        <is>
          <t>EA</t>
        </is>
      </c>
      <c r="K270" s="50" t="n">
        <v>16.88</v>
      </c>
      <c r="L270" s="50" t="n">
        <v>440069.11</v>
      </c>
      <c r="M270" s="46" t="inlineStr">
        <is>
          <t>USD</t>
        </is>
      </c>
      <c r="N270" s="46" t="inlineStr">
        <is>
          <t>FOB</t>
        </is>
      </c>
      <c r="O270" s="46" t="inlineStr">
        <is>
          <t>N</t>
        </is>
      </c>
      <c r="P270" s="50" t="n">
        <v>1321.7561</v>
      </c>
      <c r="Q270" s="49">
        <f>IF(OR(L270="",M270="",P270=""),"",L270*P270)</f>
        <v/>
      </c>
    </row>
    <row r="271" ht="15" customHeight="1" s="32">
      <c r="A271" s="46" t="inlineStr">
        <is>
          <t>R-HB-0270</t>
        </is>
      </c>
      <c r="B271" s="47" t="n">
        <v>45151</v>
      </c>
      <c r="C271" s="46" t="inlineStr">
        <is>
          <t>2023-08</t>
        </is>
      </c>
      <c r="D271" s="46" t="n">
        <v>2023</v>
      </c>
      <c r="E271" s="46" t="inlineStr">
        <is>
          <t>P-HB-002</t>
        </is>
      </c>
      <c r="F271" s="46" t="inlineStr">
        <is>
          <t>C-HB-06</t>
        </is>
      </c>
      <c r="G271" s="48" t="inlineStr">
        <is>
          <t>베트남</t>
        </is>
      </c>
      <c r="H271" s="46" t="inlineStr">
        <is>
          <t>VN</t>
        </is>
      </c>
      <c r="I271" s="49" t="n">
        <v>186</v>
      </c>
      <c r="J271" s="46" t="inlineStr">
        <is>
          <t>EA</t>
        </is>
      </c>
      <c r="K271" s="50" t="n">
        <v>0.41</v>
      </c>
      <c r="L271" s="50" t="n">
        <v>43574.72</v>
      </c>
      <c r="M271" s="46" t="inlineStr">
        <is>
          <t>USD</t>
        </is>
      </c>
      <c r="N271" s="46" t="inlineStr">
        <is>
          <t>FOB</t>
        </is>
      </c>
      <c r="O271" s="46" t="inlineStr">
        <is>
          <t>N</t>
        </is>
      </c>
      <c r="P271" s="50" t="n">
        <v>1321.7561</v>
      </c>
      <c r="Q271" s="49">
        <f>IF(OR(L271="",M271="",P271=""),"",L271*P271)</f>
        <v/>
      </c>
    </row>
    <row r="272" ht="15" customHeight="1" s="32">
      <c r="A272" s="46" t="inlineStr">
        <is>
          <t>R-HB-0271</t>
        </is>
      </c>
      <c r="B272" s="47" t="n">
        <v>45154</v>
      </c>
      <c r="C272" s="46" t="inlineStr">
        <is>
          <t>2023-08</t>
        </is>
      </c>
      <c r="D272" s="46" t="n">
        <v>2023</v>
      </c>
      <c r="E272" s="46" t="inlineStr">
        <is>
          <t>P-HB-003</t>
        </is>
      </c>
      <c r="F272" s="46" t="inlineStr">
        <is>
          <t>C-HB-02</t>
        </is>
      </c>
      <c r="G272" s="48" t="inlineStr">
        <is>
          <t>미국</t>
        </is>
      </c>
      <c r="H272" s="46" t="inlineStr">
        <is>
          <t>US</t>
        </is>
      </c>
      <c r="I272" s="49" t="n">
        <v>33456</v>
      </c>
      <c r="J272" s="46" t="inlineStr">
        <is>
          <t>EA</t>
        </is>
      </c>
      <c r="K272" s="50" t="n">
        <v>21.75</v>
      </c>
      <c r="L272" s="50" t="n">
        <v>154006.67</v>
      </c>
      <c r="M272" s="46" t="inlineStr">
        <is>
          <t>USD</t>
        </is>
      </c>
      <c r="N272" s="46" t="inlineStr">
        <is>
          <t>FOB</t>
        </is>
      </c>
      <c r="O272" s="46" t="inlineStr">
        <is>
          <t>N</t>
        </is>
      </c>
      <c r="P272" s="50" t="n">
        <v>1321.7561</v>
      </c>
      <c r="Q272" s="49">
        <f>IF(OR(L272="",M272="",P272=""),"",L272*P272)</f>
        <v/>
      </c>
    </row>
    <row r="273" ht="15" customHeight="1" s="32">
      <c r="A273" s="46" t="inlineStr">
        <is>
          <t>R-HB-0272</t>
        </is>
      </c>
      <c r="B273" s="47" t="n">
        <v>45154</v>
      </c>
      <c r="C273" s="46" t="inlineStr">
        <is>
          <t>2023-08</t>
        </is>
      </c>
      <c r="D273" s="46" t="n">
        <v>2023</v>
      </c>
      <c r="E273" s="46" t="inlineStr">
        <is>
          <t>P-HB-004</t>
        </is>
      </c>
      <c r="F273" s="46" t="inlineStr">
        <is>
          <t>C-HB-09</t>
        </is>
      </c>
      <c r="G273" s="48" t="inlineStr">
        <is>
          <t>중국</t>
        </is>
      </c>
      <c r="H273" s="46" t="inlineStr">
        <is>
          <t>CN</t>
        </is>
      </c>
      <c r="I273" s="49" t="n">
        <v>9916</v>
      </c>
      <c r="J273" s="46" t="inlineStr">
        <is>
          <t>EA</t>
        </is>
      </c>
      <c r="K273" s="50" t="n">
        <v>10.91</v>
      </c>
      <c r="L273" s="50" t="n">
        <v>279345.23</v>
      </c>
      <c r="M273" s="46" t="inlineStr">
        <is>
          <t>USD</t>
        </is>
      </c>
      <c r="N273" s="46" t="inlineStr">
        <is>
          <t>FOB</t>
        </is>
      </c>
      <c r="O273" s="46" t="inlineStr">
        <is>
          <t>N</t>
        </is>
      </c>
      <c r="P273" s="50" t="n">
        <v>1321.7561</v>
      </c>
      <c r="Q273" s="49">
        <f>IF(OR(L273="",M273="",P273=""),"",L273*P273)</f>
        <v/>
      </c>
    </row>
    <row r="274" ht="15" customHeight="1" s="32">
      <c r="A274" s="46" t="inlineStr">
        <is>
          <t>R-HB-0273</t>
        </is>
      </c>
      <c r="B274" s="47" t="n">
        <v>45155</v>
      </c>
      <c r="C274" s="46" t="inlineStr">
        <is>
          <t>2023-08</t>
        </is>
      </c>
      <c r="D274" s="46" t="n">
        <v>2023</v>
      </c>
      <c r="E274" s="46" t="inlineStr">
        <is>
          <t>P-HB-003</t>
        </is>
      </c>
      <c r="F274" s="46" t="inlineStr">
        <is>
          <t>C-HB-01</t>
        </is>
      </c>
      <c r="G274" s="48" t="inlineStr">
        <is>
          <t>미국</t>
        </is>
      </c>
      <c r="H274" s="46" t="inlineStr">
        <is>
          <t>US</t>
        </is>
      </c>
      <c r="I274" s="49" t="n">
        <v>59469</v>
      </c>
      <c r="J274" s="46" t="inlineStr">
        <is>
          <t>EA</t>
        </is>
      </c>
      <c r="K274" s="50" t="n">
        <v>38.65</v>
      </c>
      <c r="L274" s="50" t="n">
        <v>287167.77</v>
      </c>
      <c r="M274" s="46" t="inlineStr">
        <is>
          <t>USD</t>
        </is>
      </c>
      <c r="N274" s="46" t="inlineStr">
        <is>
          <t>FOB</t>
        </is>
      </c>
      <c r="O274" s="46" t="inlineStr">
        <is>
          <t>N</t>
        </is>
      </c>
      <c r="P274" s="50" t="n">
        <v>1321.7561</v>
      </c>
      <c r="Q274" s="49">
        <f>IF(OR(L274="",M274="",P274=""),"",L274*P274)</f>
        <v/>
      </c>
    </row>
    <row r="275" ht="15" customHeight="1" s="32">
      <c r="A275" s="46" t="inlineStr">
        <is>
          <t>R-HB-0274</t>
        </is>
      </c>
      <c r="B275" s="47" t="n">
        <v>45155</v>
      </c>
      <c r="C275" s="46" t="inlineStr">
        <is>
          <t>2023-08</t>
        </is>
      </c>
      <c r="D275" s="46" t="n">
        <v>2023</v>
      </c>
      <c r="E275" s="46" t="inlineStr">
        <is>
          <t>P-HB-001</t>
        </is>
      </c>
      <c r="F275" s="46" t="inlineStr">
        <is>
          <t>C-HB-02</t>
        </is>
      </c>
      <c r="G275" s="48" t="inlineStr">
        <is>
          <t>미국</t>
        </is>
      </c>
      <c r="H275" s="46" t="inlineStr">
        <is>
          <t>US</t>
        </is>
      </c>
      <c r="I275" s="49" t="n">
        <v>87109</v>
      </c>
      <c r="J275" s="46" t="inlineStr">
        <is>
          <t>EA</t>
        </is>
      </c>
      <c r="K275" s="50" t="n">
        <v>39.2</v>
      </c>
      <c r="L275" s="50" t="n">
        <v>303380.14</v>
      </c>
      <c r="M275" s="46" t="inlineStr">
        <is>
          <t>USD</t>
        </is>
      </c>
      <c r="N275" s="46" t="inlineStr">
        <is>
          <t>FOB</t>
        </is>
      </c>
      <c r="O275" s="46" t="inlineStr">
        <is>
          <t>N</t>
        </is>
      </c>
      <c r="P275" s="50" t="n">
        <v>1321.7561</v>
      </c>
      <c r="Q275" s="49">
        <f>IF(OR(L275="",M275="",P275=""),"",L275*P275)</f>
        <v/>
      </c>
    </row>
    <row r="276" ht="15" customHeight="1" s="32">
      <c r="A276" s="46" t="inlineStr">
        <is>
          <t>R-HB-0275</t>
        </is>
      </c>
      <c r="B276" s="47" t="n">
        <v>45155</v>
      </c>
      <c r="C276" s="46" t="inlineStr">
        <is>
          <t>2023-08</t>
        </is>
      </c>
      <c r="D276" s="46" t="n">
        <v>2023</v>
      </c>
      <c r="E276" s="46" t="inlineStr">
        <is>
          <t>P-HB-004</t>
        </is>
      </c>
      <c r="F276" s="46" t="inlineStr">
        <is>
          <t>C-HB-07</t>
        </is>
      </c>
      <c r="G276" s="48" t="inlineStr">
        <is>
          <t>인도</t>
        </is>
      </c>
      <c r="H276" s="46" t="inlineStr">
        <is>
          <t>IN</t>
        </is>
      </c>
      <c r="I276" s="49" t="n">
        <v>7264</v>
      </c>
      <c r="J276" s="46" t="inlineStr">
        <is>
          <t>EA</t>
        </is>
      </c>
      <c r="K276" s="50" t="n">
        <v>7.99</v>
      </c>
      <c r="L276" s="50" t="n">
        <v>196367.87</v>
      </c>
      <c r="M276" s="46" t="inlineStr">
        <is>
          <t>USD</t>
        </is>
      </c>
      <c r="N276" s="46" t="inlineStr">
        <is>
          <t>FOB</t>
        </is>
      </c>
      <c r="O276" s="46" t="inlineStr">
        <is>
          <t>N</t>
        </is>
      </c>
      <c r="P276" s="50" t="n">
        <v>1321.7561</v>
      </c>
      <c r="Q276" s="49">
        <f>IF(OR(L276="",M276="",P276=""),"",L276*P276)</f>
        <v/>
      </c>
    </row>
    <row r="277" ht="15" customHeight="1" s="32">
      <c r="A277" s="46" t="inlineStr">
        <is>
          <t>R-HB-0276</t>
        </is>
      </c>
      <c r="B277" s="47" t="n">
        <v>45156</v>
      </c>
      <c r="C277" s="46" t="inlineStr">
        <is>
          <t>2023-08</t>
        </is>
      </c>
      <c r="D277" s="46" t="n">
        <v>2023</v>
      </c>
      <c r="E277" s="46" t="inlineStr">
        <is>
          <t>P-HB-003</t>
        </is>
      </c>
      <c r="F277" s="46" t="inlineStr">
        <is>
          <t>C-HB-03</t>
        </is>
      </c>
      <c r="G277" s="48" t="inlineStr">
        <is>
          <t>멕시코</t>
        </is>
      </c>
      <c r="H277" s="46" t="inlineStr">
        <is>
          <t>MX</t>
        </is>
      </c>
      <c r="I277" s="49" t="n">
        <v>10432</v>
      </c>
      <c r="J277" s="46" t="inlineStr">
        <is>
          <t>EA</t>
        </is>
      </c>
      <c r="K277" s="50" t="n">
        <v>6.78</v>
      </c>
      <c r="L277" s="50" t="n">
        <v>48528.67</v>
      </c>
      <c r="M277" s="46" t="inlineStr">
        <is>
          <t>USD</t>
        </is>
      </c>
      <c r="N277" s="46" t="inlineStr">
        <is>
          <t>FOB</t>
        </is>
      </c>
      <c r="O277" s="46" t="inlineStr">
        <is>
          <t>N</t>
        </is>
      </c>
      <c r="P277" s="50" t="n">
        <v>1321.7561</v>
      </c>
      <c r="Q277" s="49">
        <f>IF(OR(L277="",M277="",P277=""),"",L277*P277)</f>
        <v/>
      </c>
    </row>
    <row r="278" ht="15" customHeight="1" s="32">
      <c r="A278" s="46" t="inlineStr">
        <is>
          <t>R-HB-0277</t>
        </is>
      </c>
      <c r="B278" s="47" t="n">
        <v>45157</v>
      </c>
      <c r="C278" s="46" t="inlineStr">
        <is>
          <t>2023-08</t>
        </is>
      </c>
      <c r="D278" s="46" t="n">
        <v>2023</v>
      </c>
      <c r="E278" s="46" t="inlineStr">
        <is>
          <t>P-HB-002</t>
        </is>
      </c>
      <c r="F278" s="46" t="inlineStr">
        <is>
          <t>C-HB-01</t>
        </is>
      </c>
      <c r="G278" s="48" t="inlineStr">
        <is>
          <t>미국</t>
        </is>
      </c>
      <c r="H278" s="46" t="inlineStr">
        <is>
          <t>US</t>
        </is>
      </c>
      <c r="I278" s="49" t="n">
        <v>255</v>
      </c>
      <c r="J278" s="46" t="inlineStr">
        <is>
          <t>EA</t>
        </is>
      </c>
      <c r="K278" s="50" t="n">
        <v>0.5600000000000001</v>
      </c>
      <c r="L278" s="50" t="n">
        <v>61204.51</v>
      </c>
      <c r="M278" s="46" t="inlineStr">
        <is>
          <t>USD</t>
        </is>
      </c>
      <c r="N278" s="46" t="inlineStr">
        <is>
          <t>FOB</t>
        </is>
      </c>
      <c r="O278" s="46" t="inlineStr">
        <is>
          <t>N</t>
        </is>
      </c>
      <c r="P278" s="50" t="n">
        <v>1321.7561</v>
      </c>
      <c r="Q278" s="49">
        <f>IF(OR(L278="",M278="",P278=""),"",L278*P278)</f>
        <v/>
      </c>
    </row>
    <row r="279" ht="15" customHeight="1" s="32">
      <c r="A279" s="46" t="inlineStr">
        <is>
          <t>R-HB-0278</t>
        </is>
      </c>
      <c r="B279" s="47" t="n">
        <v>45159</v>
      </c>
      <c r="C279" s="46" t="inlineStr">
        <is>
          <t>2023-08</t>
        </is>
      </c>
      <c r="D279" s="46" t="n">
        <v>2023</v>
      </c>
      <c r="E279" s="46" t="inlineStr">
        <is>
          <t>P-HB-001</t>
        </is>
      </c>
      <c r="F279" s="46" t="inlineStr">
        <is>
          <t>C-HB-07</t>
        </is>
      </c>
      <c r="G279" s="48" t="inlineStr">
        <is>
          <t>인도</t>
        </is>
      </c>
      <c r="H279" s="46" t="inlineStr">
        <is>
          <t>IN</t>
        </is>
      </c>
      <c r="I279" s="49" t="n">
        <v>71201</v>
      </c>
      <c r="J279" s="46" t="inlineStr">
        <is>
          <t>EA</t>
        </is>
      </c>
      <c r="K279" s="50" t="n">
        <v>32.04</v>
      </c>
      <c r="L279" s="50" t="n">
        <v>243210.58</v>
      </c>
      <c r="M279" s="46" t="inlineStr">
        <is>
          <t>USD</t>
        </is>
      </c>
      <c r="N279" s="46" t="inlineStr">
        <is>
          <t>FOB</t>
        </is>
      </c>
      <c r="O279" s="46" t="inlineStr">
        <is>
          <t>N</t>
        </is>
      </c>
      <c r="P279" s="50" t="n">
        <v>1321.7561</v>
      </c>
      <c r="Q279" s="49">
        <f>IF(OR(L279="",M279="",P279=""),"",L279*P279)</f>
        <v/>
      </c>
    </row>
    <row r="280" ht="15" customHeight="1" s="32">
      <c r="A280" s="46" t="inlineStr">
        <is>
          <t>R-HB-0279</t>
        </is>
      </c>
      <c r="B280" s="47" t="n">
        <v>45159</v>
      </c>
      <c r="C280" s="46" t="inlineStr">
        <is>
          <t>2023-08</t>
        </is>
      </c>
      <c r="D280" s="46" t="n">
        <v>2023</v>
      </c>
      <c r="E280" s="46" t="inlineStr">
        <is>
          <t>P-HB-003</t>
        </is>
      </c>
      <c r="F280" s="46" t="inlineStr">
        <is>
          <t>C-HB-08</t>
        </is>
      </c>
      <c r="G280" s="48" t="inlineStr">
        <is>
          <t>중국</t>
        </is>
      </c>
      <c r="H280" s="46" t="inlineStr">
        <is>
          <t>CN</t>
        </is>
      </c>
      <c r="I280" s="49" t="n">
        <v>53448</v>
      </c>
      <c r="J280" s="46" t="inlineStr">
        <is>
          <t>EA</t>
        </is>
      </c>
      <c r="K280" s="50" t="n">
        <v>34.74</v>
      </c>
      <c r="L280" s="50" t="n">
        <v>246578.51</v>
      </c>
      <c r="M280" s="46" t="inlineStr">
        <is>
          <t>USD</t>
        </is>
      </c>
      <c r="N280" s="46" t="inlineStr">
        <is>
          <t>FOB</t>
        </is>
      </c>
      <c r="O280" s="46" t="inlineStr">
        <is>
          <t>N</t>
        </is>
      </c>
      <c r="P280" s="50" t="n">
        <v>1321.7561</v>
      </c>
      <c r="Q280" s="49">
        <f>IF(OR(L280="",M280="",P280=""),"",L280*P280)</f>
        <v/>
      </c>
    </row>
    <row r="281" ht="15" customHeight="1" s="32">
      <c r="A281" s="46" t="inlineStr">
        <is>
          <t>R-HB-0280</t>
        </is>
      </c>
      <c r="B281" s="47" t="n">
        <v>45160</v>
      </c>
      <c r="C281" s="46" t="inlineStr">
        <is>
          <t>2023-08</t>
        </is>
      </c>
      <c r="D281" s="46" t="n">
        <v>2023</v>
      </c>
      <c r="E281" s="46" t="inlineStr">
        <is>
          <t>P-HB-003</t>
        </is>
      </c>
      <c r="F281" s="46" t="inlineStr">
        <is>
          <t>C-HB-04</t>
        </is>
      </c>
      <c r="G281" s="48" t="inlineStr">
        <is>
          <t>캐나다</t>
        </is>
      </c>
      <c r="H281" s="46" t="inlineStr">
        <is>
          <t>CA</t>
        </is>
      </c>
      <c r="I281" s="49" t="n">
        <v>5502</v>
      </c>
      <c r="J281" s="46" t="inlineStr">
        <is>
          <t>EA</t>
        </is>
      </c>
      <c r="K281" s="50" t="n">
        <v>3.58</v>
      </c>
      <c r="L281" s="50" t="n">
        <v>25366.19</v>
      </c>
      <c r="M281" s="46" t="inlineStr">
        <is>
          <t>USD</t>
        </is>
      </c>
      <c r="N281" s="46" t="inlineStr">
        <is>
          <t>FOB</t>
        </is>
      </c>
      <c r="O281" s="46" t="inlineStr">
        <is>
          <t>N</t>
        </is>
      </c>
      <c r="P281" s="50" t="n">
        <v>1321.7561</v>
      </c>
      <c r="Q281" s="49">
        <f>IF(OR(L281="",M281="",P281=""),"",L281*P281)</f>
        <v/>
      </c>
    </row>
    <row r="282" ht="15" customHeight="1" s="32">
      <c r="A282" s="46" t="inlineStr">
        <is>
          <t>R-HB-0281</t>
        </is>
      </c>
      <c r="B282" s="47" t="n">
        <v>45162</v>
      </c>
      <c r="C282" s="46" t="inlineStr">
        <is>
          <t>2023-08</t>
        </is>
      </c>
      <c r="D282" s="46" t="n">
        <v>2023</v>
      </c>
      <c r="E282" s="46" t="inlineStr">
        <is>
          <t>P-HB-004</t>
        </is>
      </c>
      <c r="F282" s="46" t="inlineStr">
        <is>
          <t>C-HB-05</t>
        </is>
      </c>
      <c r="G282" s="48" t="inlineStr">
        <is>
          <t>독일</t>
        </is>
      </c>
      <c r="H282" s="46" t="inlineStr">
        <is>
          <t>DE</t>
        </is>
      </c>
      <c r="I282" s="49" t="n">
        <v>13302</v>
      </c>
      <c r="J282" s="46" t="inlineStr">
        <is>
          <t>EA</t>
        </is>
      </c>
      <c r="K282" s="50" t="n">
        <v>14.63</v>
      </c>
      <c r="L282" s="50" t="n">
        <v>387108.08</v>
      </c>
      <c r="M282" s="46" t="inlineStr">
        <is>
          <t>USD</t>
        </is>
      </c>
      <c r="N282" s="46" t="inlineStr">
        <is>
          <t>FOB</t>
        </is>
      </c>
      <c r="O282" s="46" t="inlineStr">
        <is>
          <t>N</t>
        </is>
      </c>
      <c r="P282" s="50" t="n">
        <v>1321.7561</v>
      </c>
      <c r="Q282" s="49">
        <f>IF(OR(L282="",M282="",P282=""),"",L282*P282)</f>
        <v/>
      </c>
    </row>
    <row r="283" ht="15" customHeight="1" s="32">
      <c r="A283" s="46" t="inlineStr">
        <is>
          <t>R-HB-0282</t>
        </is>
      </c>
      <c r="B283" s="47" t="n">
        <v>45162</v>
      </c>
      <c r="C283" s="46" t="inlineStr">
        <is>
          <t>2023-08</t>
        </is>
      </c>
      <c r="D283" s="46" t="n">
        <v>2023</v>
      </c>
      <c r="E283" s="46" t="inlineStr">
        <is>
          <t>P-HB-003</t>
        </is>
      </c>
      <c r="F283" s="46" t="inlineStr">
        <is>
          <t>C-HB-07</t>
        </is>
      </c>
      <c r="G283" s="48" t="inlineStr">
        <is>
          <t>인도</t>
        </is>
      </c>
      <c r="H283" s="46" t="inlineStr">
        <is>
          <t>IN</t>
        </is>
      </c>
      <c r="I283" s="49" t="n">
        <v>26902</v>
      </c>
      <c r="J283" s="46" t="inlineStr">
        <is>
          <t>EA</t>
        </is>
      </c>
      <c r="K283" s="50" t="n">
        <v>17.49</v>
      </c>
      <c r="L283" s="50" t="n">
        <v>128705.53</v>
      </c>
      <c r="M283" s="46" t="inlineStr">
        <is>
          <t>USD</t>
        </is>
      </c>
      <c r="N283" s="46" t="inlineStr">
        <is>
          <t>FOB</t>
        </is>
      </c>
      <c r="O283" s="46" t="inlineStr">
        <is>
          <t>N</t>
        </is>
      </c>
      <c r="P283" s="50" t="n">
        <v>1321.7561</v>
      </c>
      <c r="Q283" s="49">
        <f>IF(OR(L283="",M283="",P283=""),"",L283*P283)</f>
        <v/>
      </c>
    </row>
    <row r="284" ht="15" customHeight="1" s="32">
      <c r="A284" s="46" t="inlineStr">
        <is>
          <t>R-HB-0283</t>
        </is>
      </c>
      <c r="B284" s="47" t="n">
        <v>45162</v>
      </c>
      <c r="C284" s="46" t="inlineStr">
        <is>
          <t>2023-08</t>
        </is>
      </c>
      <c r="D284" s="46" t="n">
        <v>2023</v>
      </c>
      <c r="E284" s="46" t="inlineStr">
        <is>
          <t>P-HB-004</t>
        </is>
      </c>
      <c r="F284" s="46" t="inlineStr">
        <is>
          <t>C-HB-08</t>
        </is>
      </c>
      <c r="G284" s="48" t="inlineStr">
        <is>
          <t>중국</t>
        </is>
      </c>
      <c r="H284" s="46" t="inlineStr">
        <is>
          <t>CN</t>
        </is>
      </c>
      <c r="I284" s="49" t="n">
        <v>13819</v>
      </c>
      <c r="J284" s="46" t="inlineStr">
        <is>
          <t>EA</t>
        </is>
      </c>
      <c r="K284" s="50" t="n">
        <v>15.2</v>
      </c>
      <c r="L284" s="50" t="n">
        <v>395292.5</v>
      </c>
      <c r="M284" s="46" t="inlineStr">
        <is>
          <t>USD</t>
        </is>
      </c>
      <c r="N284" s="46" t="inlineStr">
        <is>
          <t>FOB</t>
        </is>
      </c>
      <c r="O284" s="46" t="inlineStr">
        <is>
          <t>N</t>
        </is>
      </c>
      <c r="P284" s="50" t="n">
        <v>1321.7561</v>
      </c>
      <c r="Q284" s="49">
        <f>IF(OR(L284="",M284="",P284=""),"",L284*P284)</f>
        <v/>
      </c>
    </row>
    <row r="285" ht="15" customHeight="1" s="32">
      <c r="A285" s="46" t="inlineStr">
        <is>
          <t>R-HB-0284</t>
        </is>
      </c>
      <c r="B285" s="47" t="n">
        <v>45163</v>
      </c>
      <c r="C285" s="46" t="inlineStr">
        <is>
          <t>2023-08</t>
        </is>
      </c>
      <c r="D285" s="46" t="n">
        <v>2023</v>
      </c>
      <c r="E285" s="46" t="inlineStr">
        <is>
          <t>P-HB-002</t>
        </is>
      </c>
      <c r="F285" s="46" t="inlineStr">
        <is>
          <t>C-HB-03</t>
        </is>
      </c>
      <c r="G285" s="48" t="inlineStr">
        <is>
          <t>멕시코</t>
        </is>
      </c>
      <c r="H285" s="46" t="inlineStr">
        <is>
          <t>MX</t>
        </is>
      </c>
      <c r="I285" s="49" t="n">
        <v>50</v>
      </c>
      <c r="J285" s="46" t="inlineStr">
        <is>
          <t>EA</t>
        </is>
      </c>
      <c r="K285" s="50" t="n">
        <v>0.11</v>
      </c>
      <c r="L285" s="50" t="n">
        <v>11168.79</v>
      </c>
      <c r="M285" s="46" t="inlineStr">
        <is>
          <t>USD</t>
        </is>
      </c>
      <c r="N285" s="46" t="inlineStr">
        <is>
          <t>FOB</t>
        </is>
      </c>
      <c r="O285" s="46" t="inlineStr">
        <is>
          <t>N</t>
        </is>
      </c>
      <c r="P285" s="50" t="n">
        <v>1321.7561</v>
      </c>
      <c r="Q285" s="49">
        <f>IF(OR(L285="",M285="",P285=""),"",L285*P285)</f>
        <v/>
      </c>
    </row>
    <row r="286" ht="15" customHeight="1" s="32">
      <c r="A286" s="46" t="inlineStr">
        <is>
          <t>R-HB-0285</t>
        </is>
      </c>
      <c r="B286" s="47" t="n">
        <v>45163</v>
      </c>
      <c r="C286" s="46" t="inlineStr">
        <is>
          <t>2023-08</t>
        </is>
      </c>
      <c r="D286" s="46" t="n">
        <v>2023</v>
      </c>
      <c r="E286" s="46" t="inlineStr">
        <is>
          <t>P-HB-002</t>
        </is>
      </c>
      <c r="F286" s="46" t="inlineStr">
        <is>
          <t>C-HB-05</t>
        </is>
      </c>
      <c r="G286" s="48" t="inlineStr">
        <is>
          <t>독일</t>
        </is>
      </c>
      <c r="H286" s="46" t="inlineStr">
        <is>
          <t>DE</t>
        </is>
      </c>
      <c r="I286" s="49" t="n">
        <v>214</v>
      </c>
      <c r="J286" s="46" t="inlineStr">
        <is>
          <t>EA</t>
        </is>
      </c>
      <c r="K286" s="50" t="n">
        <v>0.47</v>
      </c>
      <c r="L286" s="50" t="n">
        <v>48392.42</v>
      </c>
      <c r="M286" s="46" t="inlineStr">
        <is>
          <t>USD</t>
        </is>
      </c>
      <c r="N286" s="46" t="inlineStr">
        <is>
          <t>FOB</t>
        </is>
      </c>
      <c r="O286" s="46" t="inlineStr">
        <is>
          <t>N</t>
        </is>
      </c>
      <c r="P286" s="50" t="n">
        <v>1321.7561</v>
      </c>
      <c r="Q286" s="49">
        <f>IF(OR(L286="",M286="",P286=""),"",L286*P286)</f>
        <v/>
      </c>
    </row>
    <row r="287" ht="15" customHeight="1" s="32">
      <c r="A287" s="46" t="inlineStr">
        <is>
          <t>R-HB-0286</t>
        </is>
      </c>
      <c r="B287" s="47" t="n">
        <v>45164</v>
      </c>
      <c r="C287" s="46" t="inlineStr">
        <is>
          <t>2023-08</t>
        </is>
      </c>
      <c r="D287" s="46" t="n">
        <v>2023</v>
      </c>
      <c r="E287" s="46" t="inlineStr">
        <is>
          <t>P-HB-002</t>
        </is>
      </c>
      <c r="F287" s="46" t="inlineStr">
        <is>
          <t>C-HB-02</t>
        </is>
      </c>
      <c r="G287" s="48" t="inlineStr">
        <is>
          <t>미국</t>
        </is>
      </c>
      <c r="H287" s="46" t="inlineStr">
        <is>
          <t>US</t>
        </is>
      </c>
      <c r="I287" s="49" t="n">
        <v>140</v>
      </c>
      <c r="J287" s="46" t="inlineStr">
        <is>
          <t>EA</t>
        </is>
      </c>
      <c r="K287" s="50" t="n">
        <v>0.31</v>
      </c>
      <c r="L287" s="50" t="n">
        <v>32172.32</v>
      </c>
      <c r="M287" s="46" t="inlineStr">
        <is>
          <t>USD</t>
        </is>
      </c>
      <c r="N287" s="46" t="inlineStr">
        <is>
          <t>FOB</t>
        </is>
      </c>
      <c r="O287" s="46" t="inlineStr">
        <is>
          <t>N</t>
        </is>
      </c>
      <c r="P287" s="50" t="n">
        <v>1321.7561</v>
      </c>
      <c r="Q287" s="49">
        <f>IF(OR(L287="",M287="",P287=""),"",L287*P287)</f>
        <v/>
      </c>
    </row>
    <row r="288" ht="15" customHeight="1" s="32">
      <c r="A288" s="46" t="inlineStr">
        <is>
          <t>R-HB-0287</t>
        </is>
      </c>
      <c r="B288" s="47" t="n">
        <v>45165</v>
      </c>
      <c r="C288" s="46" t="inlineStr">
        <is>
          <t>2023-08</t>
        </is>
      </c>
      <c r="D288" s="46" t="n">
        <v>2023</v>
      </c>
      <c r="E288" s="46" t="inlineStr">
        <is>
          <t>P-HB-002</t>
        </is>
      </c>
      <c r="F288" s="46" t="inlineStr">
        <is>
          <t>C-HB-07</t>
        </is>
      </c>
      <c r="G288" s="48" t="inlineStr">
        <is>
          <t>인도</t>
        </is>
      </c>
      <c r="H288" s="46" t="inlineStr">
        <is>
          <t>IN</t>
        </is>
      </c>
      <c r="I288" s="49" t="n">
        <v>102</v>
      </c>
      <c r="J288" s="46" t="inlineStr">
        <is>
          <t>EA</t>
        </is>
      </c>
      <c r="K288" s="50" t="n">
        <v>0.22</v>
      </c>
      <c r="L288" s="50" t="n">
        <v>24674.04</v>
      </c>
      <c r="M288" s="46" t="inlineStr">
        <is>
          <t>USD</t>
        </is>
      </c>
      <c r="N288" s="46" t="inlineStr">
        <is>
          <t>FOB</t>
        </is>
      </c>
      <c r="O288" s="46" t="inlineStr">
        <is>
          <t>N</t>
        </is>
      </c>
      <c r="P288" s="50" t="n">
        <v>1321.7561</v>
      </c>
      <c r="Q288" s="49">
        <f>IF(OR(L288="",M288="",P288=""),"",L288*P288)</f>
        <v/>
      </c>
    </row>
    <row r="289" ht="15" customHeight="1" s="32">
      <c r="A289" s="46" t="inlineStr">
        <is>
          <t>R-HB-0288</t>
        </is>
      </c>
      <c r="B289" s="47" t="n">
        <v>45165</v>
      </c>
      <c r="C289" s="46" t="inlineStr">
        <is>
          <t>2023-08</t>
        </is>
      </c>
      <c r="D289" s="46" t="n">
        <v>2023</v>
      </c>
      <c r="E289" s="46" t="inlineStr">
        <is>
          <t>P-HB-002</t>
        </is>
      </c>
      <c r="F289" s="46" t="inlineStr">
        <is>
          <t>C-HB-08</t>
        </is>
      </c>
      <c r="G289" s="48" t="inlineStr">
        <is>
          <t>중국</t>
        </is>
      </c>
      <c r="H289" s="46" t="inlineStr">
        <is>
          <t>CN</t>
        </is>
      </c>
      <c r="I289" s="49" t="n">
        <v>219</v>
      </c>
      <c r="J289" s="46" t="inlineStr">
        <is>
          <t>EA</t>
        </is>
      </c>
      <c r="K289" s="50" t="n">
        <v>0.48</v>
      </c>
      <c r="L289" s="50" t="n">
        <v>49934.81</v>
      </c>
      <c r="M289" s="46" t="inlineStr">
        <is>
          <t>USD</t>
        </is>
      </c>
      <c r="N289" s="46" t="inlineStr">
        <is>
          <t>FOB</t>
        </is>
      </c>
      <c r="O289" s="46" t="inlineStr">
        <is>
          <t>N</t>
        </is>
      </c>
      <c r="P289" s="50" t="n">
        <v>1321.7561</v>
      </c>
      <c r="Q289" s="49">
        <f>IF(OR(L289="",M289="",P289=""),"",L289*P289)</f>
        <v/>
      </c>
    </row>
    <row r="290" ht="15" customHeight="1" s="32">
      <c r="A290" s="46" t="inlineStr">
        <is>
          <t>R-HB-0289</t>
        </is>
      </c>
      <c r="B290" s="47" t="n">
        <v>45172</v>
      </c>
      <c r="C290" s="46" t="inlineStr">
        <is>
          <t>2023-09</t>
        </is>
      </c>
      <c r="D290" s="46" t="n">
        <v>2023</v>
      </c>
      <c r="E290" s="46" t="inlineStr">
        <is>
          <t>P-HB-002</t>
        </is>
      </c>
      <c r="F290" s="46" t="inlineStr">
        <is>
          <t>C-HB-02</t>
        </is>
      </c>
      <c r="G290" s="48" t="inlineStr">
        <is>
          <t>미국</t>
        </is>
      </c>
      <c r="H290" s="46" t="inlineStr">
        <is>
          <t>US</t>
        </is>
      </c>
      <c r="I290" s="49" t="n">
        <v>121</v>
      </c>
      <c r="J290" s="46" t="inlineStr">
        <is>
          <t>EA</t>
        </is>
      </c>
      <c r="K290" s="50" t="n">
        <v>0.27</v>
      </c>
      <c r="L290" s="50" t="n">
        <v>30528.09</v>
      </c>
      <c r="M290" s="46" t="inlineStr">
        <is>
          <t>USD</t>
        </is>
      </c>
      <c r="N290" s="46" t="inlineStr">
        <is>
          <t>FOB</t>
        </is>
      </c>
      <c r="O290" s="46" t="inlineStr">
        <is>
          <t>N</t>
        </is>
      </c>
      <c r="P290" s="50" t="n">
        <v>1334.237</v>
      </c>
      <c r="Q290" s="49">
        <f>IF(OR(L290="",M290="",P290=""),"",L290*P290)</f>
        <v/>
      </c>
    </row>
    <row r="291" ht="15" customHeight="1" s="32">
      <c r="A291" s="46" t="inlineStr">
        <is>
          <t>R-HB-0290</t>
        </is>
      </c>
      <c r="B291" s="47" t="n">
        <v>45172</v>
      </c>
      <c r="C291" s="46" t="inlineStr">
        <is>
          <t>2023-09</t>
        </is>
      </c>
      <c r="D291" s="46" t="n">
        <v>2023</v>
      </c>
      <c r="E291" s="46" t="inlineStr">
        <is>
          <t>P-HB-003</t>
        </is>
      </c>
      <c r="F291" s="46" t="inlineStr">
        <is>
          <t>C-HB-02</t>
        </is>
      </c>
      <c r="G291" s="48" t="inlineStr">
        <is>
          <t>미국</t>
        </is>
      </c>
      <c r="H291" s="46" t="inlineStr">
        <is>
          <t>US</t>
        </is>
      </c>
      <c r="I291" s="49" t="n">
        <v>33758</v>
      </c>
      <c r="J291" s="46" t="inlineStr">
        <is>
          <t>EA</t>
        </is>
      </c>
      <c r="K291" s="50" t="n">
        <v>21.94</v>
      </c>
      <c r="L291" s="50" t="n">
        <v>164243.35</v>
      </c>
      <c r="M291" s="46" t="inlineStr">
        <is>
          <t>USD</t>
        </is>
      </c>
      <c r="N291" s="46" t="inlineStr">
        <is>
          <t>FOB</t>
        </is>
      </c>
      <c r="O291" s="46" t="inlineStr">
        <is>
          <t>N</t>
        </is>
      </c>
      <c r="P291" s="50" t="n">
        <v>1334.237</v>
      </c>
      <c r="Q291" s="49">
        <f>IF(OR(L291="",M291="",P291=""),"",L291*P291)</f>
        <v/>
      </c>
    </row>
    <row r="292" ht="15" customHeight="1" s="32">
      <c r="A292" s="46" t="inlineStr">
        <is>
          <t>R-HB-0291</t>
        </is>
      </c>
      <c r="B292" s="47" t="n">
        <v>45173</v>
      </c>
      <c r="C292" s="46" t="inlineStr">
        <is>
          <t>2023-09</t>
        </is>
      </c>
      <c r="D292" s="46" t="n">
        <v>2023</v>
      </c>
      <c r="E292" s="46" t="inlineStr">
        <is>
          <t>P-HB-004</t>
        </is>
      </c>
      <c r="F292" s="46" t="inlineStr">
        <is>
          <t>C-HB-08</t>
        </is>
      </c>
      <c r="G292" s="48" t="inlineStr">
        <is>
          <t>중국</t>
        </is>
      </c>
      <c r="H292" s="46" t="inlineStr">
        <is>
          <t>CN</t>
        </is>
      </c>
      <c r="I292" s="49" t="n">
        <v>15765</v>
      </c>
      <c r="J292" s="46" t="inlineStr">
        <is>
          <t>EA</t>
        </is>
      </c>
      <c r="K292" s="50" t="n">
        <v>17.34</v>
      </c>
      <c r="L292" s="50" t="n">
        <v>433032.82</v>
      </c>
      <c r="M292" s="46" t="inlineStr">
        <is>
          <t>USD</t>
        </is>
      </c>
      <c r="N292" s="46" t="inlineStr">
        <is>
          <t>FOB</t>
        </is>
      </c>
      <c r="O292" s="46" t="inlineStr">
        <is>
          <t>N</t>
        </is>
      </c>
      <c r="P292" s="50" t="n">
        <v>1334.237</v>
      </c>
      <c r="Q292" s="49">
        <f>IF(OR(L292="",M292="",P292=""),"",L292*P292)</f>
        <v/>
      </c>
    </row>
    <row r="293" ht="15" customHeight="1" s="32">
      <c r="A293" s="46" t="inlineStr">
        <is>
          <t>R-HB-0292</t>
        </is>
      </c>
      <c r="B293" s="47" t="n">
        <v>45173</v>
      </c>
      <c r="C293" s="46" t="inlineStr">
        <is>
          <t>2023-09</t>
        </is>
      </c>
      <c r="D293" s="46" t="n">
        <v>2023</v>
      </c>
      <c r="E293" s="46" t="inlineStr">
        <is>
          <t>P-HB-004</t>
        </is>
      </c>
      <c r="F293" s="46" t="inlineStr">
        <is>
          <t>C-HB-09</t>
        </is>
      </c>
      <c r="G293" s="48" t="inlineStr">
        <is>
          <t>중국</t>
        </is>
      </c>
      <c r="H293" s="46" t="inlineStr">
        <is>
          <t>CN</t>
        </is>
      </c>
      <c r="I293" s="49" t="n">
        <v>9556</v>
      </c>
      <c r="J293" s="46" t="inlineStr">
        <is>
          <t>EA</t>
        </is>
      </c>
      <c r="K293" s="50" t="n">
        <v>10.51</v>
      </c>
      <c r="L293" s="50" t="n">
        <v>272583.59</v>
      </c>
      <c r="M293" s="46" t="inlineStr">
        <is>
          <t>USD</t>
        </is>
      </c>
      <c r="N293" s="46" t="inlineStr">
        <is>
          <t>FOB</t>
        </is>
      </c>
      <c r="O293" s="46" t="inlineStr">
        <is>
          <t>N</t>
        </is>
      </c>
      <c r="P293" s="50" t="n">
        <v>1334.237</v>
      </c>
      <c r="Q293" s="49">
        <f>IF(OR(L293="",M293="",P293=""),"",L293*P293)</f>
        <v/>
      </c>
    </row>
    <row r="294" ht="15" customHeight="1" s="32">
      <c r="A294" s="46" t="inlineStr">
        <is>
          <t>R-HB-0293</t>
        </is>
      </c>
      <c r="B294" s="47" t="n">
        <v>45174</v>
      </c>
      <c r="C294" s="46" t="inlineStr">
        <is>
          <t>2023-09</t>
        </is>
      </c>
      <c r="D294" s="46" t="n">
        <v>2023</v>
      </c>
      <c r="E294" s="46" t="inlineStr">
        <is>
          <t>P-HB-003</t>
        </is>
      </c>
      <c r="F294" s="46" t="inlineStr">
        <is>
          <t>C-HB-03</t>
        </is>
      </c>
      <c r="G294" s="48" t="inlineStr">
        <is>
          <t>멕시코</t>
        </is>
      </c>
      <c r="H294" s="46" t="inlineStr">
        <is>
          <t>MX</t>
        </is>
      </c>
      <c r="I294" s="49" t="n">
        <v>9577</v>
      </c>
      <c r="J294" s="46" t="inlineStr">
        <is>
          <t>EA</t>
        </is>
      </c>
      <c r="K294" s="50" t="n">
        <v>6.23</v>
      </c>
      <c r="L294" s="50" t="n">
        <v>48681.06</v>
      </c>
      <c r="M294" s="46" t="inlineStr">
        <is>
          <t>USD</t>
        </is>
      </c>
      <c r="N294" s="46" t="inlineStr">
        <is>
          <t>FOB</t>
        </is>
      </c>
      <c r="O294" s="46" t="inlineStr">
        <is>
          <t>N</t>
        </is>
      </c>
      <c r="P294" s="50" t="n">
        <v>1334.237</v>
      </c>
      <c r="Q294" s="49">
        <f>IF(OR(L294="",M294="",P294=""),"",L294*P294)</f>
        <v/>
      </c>
    </row>
    <row r="295" ht="15" customHeight="1" s="32">
      <c r="A295" s="46" t="inlineStr">
        <is>
          <t>R-HB-0294</t>
        </is>
      </c>
      <c r="B295" s="47" t="n">
        <v>45175</v>
      </c>
      <c r="C295" s="46" t="inlineStr">
        <is>
          <t>2023-09</t>
        </is>
      </c>
      <c r="D295" s="46" t="n">
        <v>2023</v>
      </c>
      <c r="E295" s="46" t="inlineStr">
        <is>
          <t>P-HB-004</t>
        </is>
      </c>
      <c r="F295" s="46" t="inlineStr">
        <is>
          <t>C-HB-05</t>
        </is>
      </c>
      <c r="G295" s="48" t="inlineStr">
        <is>
          <t>독일</t>
        </is>
      </c>
      <c r="H295" s="46" t="inlineStr">
        <is>
          <t>DE</t>
        </is>
      </c>
      <c r="I295" s="49" t="n">
        <v>14866</v>
      </c>
      <c r="J295" s="46" t="inlineStr">
        <is>
          <t>EA</t>
        </is>
      </c>
      <c r="K295" s="50" t="n">
        <v>16.35</v>
      </c>
      <c r="L295" s="50" t="n">
        <v>413845.62</v>
      </c>
      <c r="M295" s="46" t="inlineStr">
        <is>
          <t>USD</t>
        </is>
      </c>
      <c r="N295" s="46" t="inlineStr">
        <is>
          <t>FOB</t>
        </is>
      </c>
      <c r="O295" s="46" t="inlineStr">
        <is>
          <t>N</t>
        </is>
      </c>
      <c r="P295" s="50" t="n">
        <v>1334.237</v>
      </c>
      <c r="Q295" s="49">
        <f>IF(OR(L295="",M295="",P295=""),"",L295*P295)</f>
        <v/>
      </c>
    </row>
    <row r="296" ht="15" customHeight="1" s="32">
      <c r="A296" s="46" t="inlineStr">
        <is>
          <t>R-HB-0295</t>
        </is>
      </c>
      <c r="B296" s="47" t="n">
        <v>45177</v>
      </c>
      <c r="C296" s="46" t="inlineStr">
        <is>
          <t>2023-09</t>
        </is>
      </c>
      <c r="D296" s="46" t="n">
        <v>2023</v>
      </c>
      <c r="E296" s="46" t="inlineStr">
        <is>
          <t>P-HB-004</t>
        </is>
      </c>
      <c r="F296" s="46" t="inlineStr">
        <is>
          <t>C-HB-01</t>
        </is>
      </c>
      <c r="G296" s="48" t="inlineStr">
        <is>
          <t>미국</t>
        </is>
      </c>
      <c r="H296" s="46" t="inlineStr">
        <is>
          <t>US</t>
        </is>
      </c>
      <c r="I296" s="49" t="n">
        <v>17582</v>
      </c>
      <c r="J296" s="46" t="inlineStr">
        <is>
          <t>EA</t>
        </is>
      </c>
      <c r="K296" s="50" t="n">
        <v>19.34</v>
      </c>
      <c r="L296" s="50" t="n">
        <v>486222.3</v>
      </c>
      <c r="M296" s="46" t="inlineStr">
        <is>
          <t>USD</t>
        </is>
      </c>
      <c r="N296" s="46" t="inlineStr">
        <is>
          <t>FOB</t>
        </is>
      </c>
      <c r="O296" s="46" t="inlineStr">
        <is>
          <t>N</t>
        </is>
      </c>
      <c r="P296" s="50" t="n">
        <v>1334.237</v>
      </c>
      <c r="Q296" s="49">
        <f>IF(OR(L296="",M296="",P296=""),"",L296*P296)</f>
        <v/>
      </c>
    </row>
    <row r="297" ht="15" customHeight="1" s="32">
      <c r="A297" s="46" t="inlineStr">
        <is>
          <t>R-HB-0296</t>
        </is>
      </c>
      <c r="B297" s="47" t="n">
        <v>45177</v>
      </c>
      <c r="C297" s="46" t="inlineStr">
        <is>
          <t>2023-09</t>
        </is>
      </c>
      <c r="D297" s="46" t="n">
        <v>2023</v>
      </c>
      <c r="E297" s="46" t="inlineStr">
        <is>
          <t>P-HB-004</t>
        </is>
      </c>
      <c r="F297" s="46" t="inlineStr">
        <is>
          <t>C-HB-03</t>
        </is>
      </c>
      <c r="G297" s="48" t="inlineStr">
        <is>
          <t>멕시코</t>
        </is>
      </c>
      <c r="H297" s="46" t="inlineStr">
        <is>
          <t>MX</t>
        </is>
      </c>
      <c r="I297" s="49" t="n">
        <v>3183</v>
      </c>
      <c r="J297" s="46" t="inlineStr">
        <is>
          <t>EA</t>
        </is>
      </c>
      <c r="K297" s="50" t="n">
        <v>3.5</v>
      </c>
      <c r="L297" s="50" t="n">
        <v>89319.60000000001</v>
      </c>
      <c r="M297" s="46" t="inlineStr">
        <is>
          <t>USD</t>
        </is>
      </c>
      <c r="N297" s="46" t="inlineStr">
        <is>
          <t>FOB</t>
        </is>
      </c>
      <c r="O297" s="46" t="inlineStr">
        <is>
          <t>N</t>
        </is>
      </c>
      <c r="P297" s="50" t="n">
        <v>1334.237</v>
      </c>
      <c r="Q297" s="49">
        <f>IF(OR(L297="",M297="",P297=""),"",L297*P297)</f>
        <v/>
      </c>
    </row>
    <row r="298" ht="15" customHeight="1" s="32">
      <c r="A298" s="46" t="inlineStr">
        <is>
          <t>R-HB-0297</t>
        </is>
      </c>
      <c r="B298" s="47" t="n">
        <v>45178</v>
      </c>
      <c r="C298" s="46" t="inlineStr">
        <is>
          <t>2023-09</t>
        </is>
      </c>
      <c r="D298" s="46" t="n">
        <v>2023</v>
      </c>
      <c r="E298" s="46" t="inlineStr">
        <is>
          <t>P-HB-001</t>
        </is>
      </c>
      <c r="F298" s="46" t="inlineStr">
        <is>
          <t>C-HB-07</t>
        </is>
      </c>
      <c r="G298" s="48" t="inlineStr">
        <is>
          <t>인도</t>
        </is>
      </c>
      <c r="H298" s="46" t="inlineStr">
        <is>
          <t>IN</t>
        </is>
      </c>
      <c r="I298" s="49" t="n">
        <v>69245</v>
      </c>
      <c r="J298" s="46" t="inlineStr">
        <is>
          <t>EA</t>
        </is>
      </c>
      <c r="K298" s="50" t="n">
        <v>31.16</v>
      </c>
      <c r="L298" s="50" t="n">
        <v>249989.23</v>
      </c>
      <c r="M298" s="46" t="inlineStr">
        <is>
          <t>USD</t>
        </is>
      </c>
      <c r="N298" s="46" t="inlineStr">
        <is>
          <t>FOB</t>
        </is>
      </c>
      <c r="O298" s="46" t="inlineStr">
        <is>
          <t>N</t>
        </is>
      </c>
      <c r="P298" s="50" t="n">
        <v>1334.237</v>
      </c>
      <c r="Q298" s="49">
        <f>IF(OR(L298="",M298="",P298=""),"",L298*P298)</f>
        <v/>
      </c>
    </row>
    <row r="299" ht="15" customHeight="1" s="32">
      <c r="A299" s="46" t="inlineStr">
        <is>
          <t>R-HB-0298</t>
        </is>
      </c>
      <c r="B299" s="47" t="n">
        <v>45178</v>
      </c>
      <c r="C299" s="46" t="inlineStr">
        <is>
          <t>2023-09</t>
        </is>
      </c>
      <c r="D299" s="46" t="n">
        <v>2023</v>
      </c>
      <c r="E299" s="46" t="inlineStr">
        <is>
          <t>P-HB-002</t>
        </is>
      </c>
      <c r="F299" s="46" t="inlineStr">
        <is>
          <t>C-HB-09</t>
        </is>
      </c>
      <c r="G299" s="48" t="inlineStr">
        <is>
          <t>중국</t>
        </is>
      </c>
      <c r="H299" s="46" t="inlineStr">
        <is>
          <t>CN</t>
        </is>
      </c>
      <c r="I299" s="49" t="n">
        <v>153</v>
      </c>
      <c r="J299" s="46" t="inlineStr">
        <is>
          <t>EA</t>
        </is>
      </c>
      <c r="K299" s="50" t="n">
        <v>0.34</v>
      </c>
      <c r="L299" s="50" t="n">
        <v>38442.19</v>
      </c>
      <c r="M299" s="46" t="inlineStr">
        <is>
          <t>USD</t>
        </is>
      </c>
      <c r="N299" s="46" t="inlineStr">
        <is>
          <t>FOB</t>
        </is>
      </c>
      <c r="O299" s="46" t="inlineStr">
        <is>
          <t>N</t>
        </is>
      </c>
      <c r="P299" s="50" t="n">
        <v>1334.237</v>
      </c>
      <c r="Q299" s="49">
        <f>IF(OR(L299="",M299="",P299=""),"",L299*P299)</f>
        <v/>
      </c>
    </row>
    <row r="300" ht="15" customHeight="1" s="32">
      <c r="A300" s="46" t="inlineStr">
        <is>
          <t>R-HB-0299</t>
        </is>
      </c>
      <c r="B300" s="47" t="n">
        <v>45179</v>
      </c>
      <c r="C300" s="46" t="inlineStr">
        <is>
          <t>2023-09</t>
        </is>
      </c>
      <c r="D300" s="46" t="n">
        <v>2023</v>
      </c>
      <c r="E300" s="46" t="inlineStr">
        <is>
          <t>P-HB-001</t>
        </is>
      </c>
      <c r="F300" s="46" t="inlineStr">
        <is>
          <t>C-HB-01</t>
        </is>
      </c>
      <c r="G300" s="48" t="inlineStr">
        <is>
          <t>미국</t>
        </is>
      </c>
      <c r="H300" s="46" t="inlineStr">
        <is>
          <t>US</t>
        </is>
      </c>
      <c r="I300" s="49" t="n">
        <v>164084</v>
      </c>
      <c r="J300" s="46" t="inlineStr">
        <is>
          <t>EA</t>
        </is>
      </c>
      <c r="K300" s="50" t="n">
        <v>73.84</v>
      </c>
      <c r="L300" s="50" t="n">
        <v>580728.5</v>
      </c>
      <c r="M300" s="46" t="inlineStr">
        <is>
          <t>USD</t>
        </is>
      </c>
      <c r="N300" s="46" t="inlineStr">
        <is>
          <t>FOB</t>
        </is>
      </c>
      <c r="O300" s="46" t="inlineStr">
        <is>
          <t>N</t>
        </is>
      </c>
      <c r="P300" s="50" t="n">
        <v>1334.237</v>
      </c>
      <c r="Q300" s="49">
        <f>IF(OR(L300="",M300="",P300=""),"",L300*P300)</f>
        <v/>
      </c>
    </row>
    <row r="301" ht="15" customHeight="1" s="32">
      <c r="A301" s="46" t="inlineStr">
        <is>
          <t>R-HB-0300</t>
        </is>
      </c>
      <c r="B301" s="47" t="n">
        <v>45180</v>
      </c>
      <c r="C301" s="46" t="inlineStr">
        <is>
          <t>2023-09</t>
        </is>
      </c>
      <c r="D301" s="46" t="n">
        <v>2023</v>
      </c>
      <c r="E301" s="46" t="inlineStr">
        <is>
          <t>P-HB-003</t>
        </is>
      </c>
      <c r="F301" s="46" t="inlineStr">
        <is>
          <t>C-HB-05</t>
        </is>
      </c>
      <c r="G301" s="48" t="inlineStr">
        <is>
          <t>독일</t>
        </is>
      </c>
      <c r="H301" s="46" t="inlineStr">
        <is>
          <t>DE</t>
        </is>
      </c>
      <c r="I301" s="49" t="n">
        <v>46340</v>
      </c>
      <c r="J301" s="46" t="inlineStr">
        <is>
          <t>EA</t>
        </is>
      </c>
      <c r="K301" s="50" t="n">
        <v>30.12</v>
      </c>
      <c r="L301" s="50" t="n">
        <v>238702.6</v>
      </c>
      <c r="M301" s="46" t="inlineStr">
        <is>
          <t>USD</t>
        </is>
      </c>
      <c r="N301" s="46" t="inlineStr">
        <is>
          <t>FOB</t>
        </is>
      </c>
      <c r="O301" s="46" t="inlineStr">
        <is>
          <t>N</t>
        </is>
      </c>
      <c r="P301" s="50" t="n">
        <v>1334.237</v>
      </c>
      <c r="Q301" s="49">
        <f>IF(OR(L301="",M301="",P301=""),"",L301*P301)</f>
        <v/>
      </c>
    </row>
    <row r="302" ht="15" customHeight="1" s="32">
      <c r="A302" s="46" t="inlineStr">
        <is>
          <t>R-HB-0301</t>
        </is>
      </c>
      <c r="B302" s="47" t="n">
        <v>45180</v>
      </c>
      <c r="C302" s="46" t="inlineStr">
        <is>
          <t>2023-09</t>
        </is>
      </c>
      <c r="D302" s="46" t="n">
        <v>2023</v>
      </c>
      <c r="E302" s="46" t="inlineStr">
        <is>
          <t>P-HB-003</t>
        </is>
      </c>
      <c r="F302" s="46" t="inlineStr">
        <is>
          <t>C-HB-06</t>
        </is>
      </c>
      <c r="G302" s="48" t="inlineStr">
        <is>
          <t>베트남</t>
        </is>
      </c>
      <c r="H302" s="46" t="inlineStr">
        <is>
          <t>VN</t>
        </is>
      </c>
      <c r="I302" s="49" t="n">
        <v>40118</v>
      </c>
      <c r="J302" s="46" t="inlineStr">
        <is>
          <t>EA</t>
        </is>
      </c>
      <c r="K302" s="50" t="n">
        <v>26.08</v>
      </c>
      <c r="L302" s="50" t="n">
        <v>201253.2</v>
      </c>
      <c r="M302" s="46" t="inlineStr">
        <is>
          <t>USD</t>
        </is>
      </c>
      <c r="N302" s="46" t="inlineStr">
        <is>
          <t>FOB</t>
        </is>
      </c>
      <c r="O302" s="46" t="inlineStr">
        <is>
          <t>N</t>
        </is>
      </c>
      <c r="P302" s="50" t="n">
        <v>1334.237</v>
      </c>
      <c r="Q302" s="49">
        <f>IF(OR(L302="",M302="",P302=""),"",L302*P302)</f>
        <v/>
      </c>
    </row>
    <row r="303" ht="15" customHeight="1" s="32">
      <c r="A303" s="46" t="inlineStr">
        <is>
          <t>R-HB-0302</t>
        </is>
      </c>
      <c r="B303" s="47" t="n">
        <v>45181</v>
      </c>
      <c r="C303" s="46" t="inlineStr">
        <is>
          <t>2023-09</t>
        </is>
      </c>
      <c r="D303" s="46" t="n">
        <v>2023</v>
      </c>
      <c r="E303" s="46" t="inlineStr">
        <is>
          <t>P-HB-003</t>
        </is>
      </c>
      <c r="F303" s="46" t="inlineStr">
        <is>
          <t>C-HB-07</t>
        </is>
      </c>
      <c r="G303" s="48" t="inlineStr">
        <is>
          <t>인도</t>
        </is>
      </c>
      <c r="H303" s="46" t="inlineStr">
        <is>
          <t>IN</t>
        </is>
      </c>
      <c r="I303" s="49" t="n">
        <v>26169</v>
      </c>
      <c r="J303" s="46" t="inlineStr">
        <is>
          <t>EA</t>
        </is>
      </c>
      <c r="K303" s="50" t="n">
        <v>17.01</v>
      </c>
      <c r="L303" s="50" t="n">
        <v>133326.16</v>
      </c>
      <c r="M303" s="46" t="inlineStr">
        <is>
          <t>USD</t>
        </is>
      </c>
      <c r="N303" s="46" t="inlineStr">
        <is>
          <t>FOB</t>
        </is>
      </c>
      <c r="O303" s="46" t="inlineStr">
        <is>
          <t>N</t>
        </is>
      </c>
      <c r="P303" s="50" t="n">
        <v>1334.237</v>
      </c>
      <c r="Q303" s="49">
        <f>IF(OR(L303="",M303="",P303=""),"",L303*P303)</f>
        <v/>
      </c>
    </row>
    <row r="304" ht="15" customHeight="1" s="32">
      <c r="A304" s="46" t="inlineStr">
        <is>
          <t>R-HB-0303</t>
        </is>
      </c>
      <c r="B304" s="47" t="n">
        <v>45181</v>
      </c>
      <c r="C304" s="46" t="inlineStr">
        <is>
          <t>2023-09</t>
        </is>
      </c>
      <c r="D304" s="46" t="n">
        <v>2023</v>
      </c>
      <c r="E304" s="46" t="inlineStr">
        <is>
          <t>P-HB-003</t>
        </is>
      </c>
      <c r="F304" s="46" t="inlineStr">
        <is>
          <t>C-HB-09</t>
        </is>
      </c>
      <c r="G304" s="48" t="inlineStr">
        <is>
          <t>중국</t>
        </is>
      </c>
      <c r="H304" s="46" t="inlineStr">
        <is>
          <t>CN</t>
        </is>
      </c>
      <c r="I304" s="49" t="n">
        <v>31537</v>
      </c>
      <c r="J304" s="46" t="inlineStr">
        <is>
          <t>EA</t>
        </is>
      </c>
      <c r="K304" s="50" t="n">
        <v>20.5</v>
      </c>
      <c r="L304" s="50" t="n">
        <v>160242.6</v>
      </c>
      <c r="M304" s="46" t="inlineStr">
        <is>
          <t>USD</t>
        </is>
      </c>
      <c r="N304" s="46" t="inlineStr">
        <is>
          <t>FOB</t>
        </is>
      </c>
      <c r="O304" s="46" t="inlineStr">
        <is>
          <t>N</t>
        </is>
      </c>
      <c r="P304" s="50" t="n">
        <v>1334.237</v>
      </c>
      <c r="Q304" s="49">
        <f>IF(OR(L304="",M304="",P304=""),"",L304*P304)</f>
        <v/>
      </c>
    </row>
    <row r="305" ht="15" customHeight="1" s="32">
      <c r="A305" s="46" t="inlineStr">
        <is>
          <t>R-HB-0304</t>
        </is>
      </c>
      <c r="B305" s="47" t="n">
        <v>45183</v>
      </c>
      <c r="C305" s="46" t="inlineStr">
        <is>
          <t>2023-09</t>
        </is>
      </c>
      <c r="D305" s="46" t="n">
        <v>2023</v>
      </c>
      <c r="E305" s="46" t="inlineStr">
        <is>
          <t>P-HB-001</t>
        </is>
      </c>
      <c r="F305" s="46" t="inlineStr">
        <is>
          <t>C-HB-06</t>
        </is>
      </c>
      <c r="G305" s="48" t="inlineStr">
        <is>
          <t>베트남</t>
        </is>
      </c>
      <c r="H305" s="46" t="inlineStr">
        <is>
          <t>VN</t>
        </is>
      </c>
      <c r="I305" s="49" t="n">
        <v>102953</v>
      </c>
      <c r="J305" s="46" t="inlineStr">
        <is>
          <t>EA</t>
        </is>
      </c>
      <c r="K305" s="50" t="n">
        <v>46.33</v>
      </c>
      <c r="L305" s="50" t="n">
        <v>352240.55</v>
      </c>
      <c r="M305" s="46" t="inlineStr">
        <is>
          <t>USD</t>
        </is>
      </c>
      <c r="N305" s="46" t="inlineStr">
        <is>
          <t>FOB</t>
        </is>
      </c>
      <c r="O305" s="46" t="inlineStr">
        <is>
          <t>N</t>
        </is>
      </c>
      <c r="P305" s="50" t="n">
        <v>1334.237</v>
      </c>
      <c r="Q305" s="49">
        <f>IF(OR(L305="",M305="",P305=""),"",L305*P305)</f>
        <v/>
      </c>
    </row>
    <row r="306" ht="15" customHeight="1" s="32">
      <c r="A306" s="46" t="inlineStr">
        <is>
          <t>R-HB-0305</t>
        </is>
      </c>
      <c r="B306" s="47" t="n">
        <v>45183</v>
      </c>
      <c r="C306" s="46" t="inlineStr">
        <is>
          <t>2023-09</t>
        </is>
      </c>
      <c r="D306" s="46" t="n">
        <v>2023</v>
      </c>
      <c r="E306" s="46" t="inlineStr">
        <is>
          <t>P-HB-004</t>
        </is>
      </c>
      <c r="F306" s="46" t="inlineStr">
        <is>
          <t>C-HB-06</t>
        </is>
      </c>
      <c r="G306" s="48" t="inlineStr">
        <is>
          <t>베트남</t>
        </is>
      </c>
      <c r="H306" s="46" t="inlineStr">
        <is>
          <t>VN</t>
        </is>
      </c>
      <c r="I306" s="49" t="n">
        <v>10471</v>
      </c>
      <c r="J306" s="46" t="inlineStr">
        <is>
          <t>EA</t>
        </is>
      </c>
      <c r="K306" s="50" t="n">
        <v>11.52</v>
      </c>
      <c r="L306" s="50" t="n">
        <v>298844.58</v>
      </c>
      <c r="M306" s="46" t="inlineStr">
        <is>
          <t>USD</t>
        </is>
      </c>
      <c r="N306" s="46" t="inlineStr">
        <is>
          <t>FOB</t>
        </is>
      </c>
      <c r="O306" s="46" t="inlineStr">
        <is>
          <t>N</t>
        </is>
      </c>
      <c r="P306" s="50" t="n">
        <v>1334.237</v>
      </c>
      <c r="Q306" s="49">
        <f>IF(OR(L306="",M306="",P306=""),"",L306*P306)</f>
        <v/>
      </c>
    </row>
    <row r="307" ht="15" customHeight="1" s="32">
      <c r="A307" s="46" t="inlineStr">
        <is>
          <t>R-HB-0306</t>
        </is>
      </c>
      <c r="B307" s="47" t="n">
        <v>45185</v>
      </c>
      <c r="C307" s="46" t="inlineStr">
        <is>
          <t>2023-09</t>
        </is>
      </c>
      <c r="D307" s="46" t="n">
        <v>2023</v>
      </c>
      <c r="E307" s="46" t="inlineStr">
        <is>
          <t>P-HB-001</t>
        </is>
      </c>
      <c r="F307" s="46" t="inlineStr">
        <is>
          <t>C-HB-02</t>
        </is>
      </c>
      <c r="G307" s="48" t="inlineStr">
        <is>
          <t>미국</t>
        </is>
      </c>
      <c r="H307" s="46" t="inlineStr">
        <is>
          <t>US</t>
        </is>
      </c>
      <c r="I307" s="49" t="n">
        <v>77890</v>
      </c>
      <c r="J307" s="46" t="inlineStr">
        <is>
          <t>EA</t>
        </is>
      </c>
      <c r="K307" s="50" t="n">
        <v>35.05</v>
      </c>
      <c r="L307" s="50" t="n">
        <v>274358.79</v>
      </c>
      <c r="M307" s="46" t="inlineStr">
        <is>
          <t>USD</t>
        </is>
      </c>
      <c r="N307" s="46" t="inlineStr">
        <is>
          <t>FOB</t>
        </is>
      </c>
      <c r="O307" s="46" t="inlineStr">
        <is>
          <t>N</t>
        </is>
      </c>
      <c r="P307" s="50" t="n">
        <v>1334.237</v>
      </c>
      <c r="Q307" s="49">
        <f>IF(OR(L307="",M307="",P307=""),"",L307*P307)</f>
        <v/>
      </c>
    </row>
    <row r="308" ht="15" customHeight="1" s="32">
      <c r="A308" s="46" t="inlineStr">
        <is>
          <t>R-HB-0307</t>
        </is>
      </c>
      <c r="B308" s="47" t="n">
        <v>45185</v>
      </c>
      <c r="C308" s="46" t="inlineStr">
        <is>
          <t>2023-09</t>
        </is>
      </c>
      <c r="D308" s="46" t="n">
        <v>2023</v>
      </c>
      <c r="E308" s="46" t="inlineStr">
        <is>
          <t>P-HB-004</t>
        </is>
      </c>
      <c r="F308" s="46" t="inlineStr">
        <is>
          <t>C-HB-02</t>
        </is>
      </c>
      <c r="G308" s="48" t="inlineStr">
        <is>
          <t>미국</t>
        </is>
      </c>
      <c r="H308" s="46" t="inlineStr">
        <is>
          <t>US</t>
        </is>
      </c>
      <c r="I308" s="49" t="n">
        <v>8045</v>
      </c>
      <c r="J308" s="46" t="inlineStr">
        <is>
          <t>EA</t>
        </is>
      </c>
      <c r="K308" s="50" t="n">
        <v>8.85</v>
      </c>
      <c r="L308" s="50" t="n">
        <v>233148.4</v>
      </c>
      <c r="M308" s="46" t="inlineStr">
        <is>
          <t>USD</t>
        </is>
      </c>
      <c r="N308" s="46" t="inlineStr">
        <is>
          <t>FOB</t>
        </is>
      </c>
      <c r="O308" s="46" t="inlineStr">
        <is>
          <t>N</t>
        </is>
      </c>
      <c r="P308" s="50" t="n">
        <v>1334.237</v>
      </c>
      <c r="Q308" s="49">
        <f>IF(OR(L308="",M308="",P308=""),"",L308*P308)</f>
        <v/>
      </c>
    </row>
    <row r="309" ht="15" customHeight="1" s="32">
      <c r="A309" s="46" t="inlineStr">
        <is>
          <t>R-HB-0308</t>
        </is>
      </c>
      <c r="B309" s="47" t="n">
        <v>45187</v>
      </c>
      <c r="C309" s="46" t="inlineStr">
        <is>
          <t>2023-09</t>
        </is>
      </c>
      <c r="D309" s="46" t="n">
        <v>2023</v>
      </c>
      <c r="E309" s="46" t="inlineStr">
        <is>
          <t>P-HB-001</t>
        </is>
      </c>
      <c r="F309" s="46" t="inlineStr">
        <is>
          <t>C-HB-04</t>
        </is>
      </c>
      <c r="G309" s="48" t="inlineStr">
        <is>
          <t>캐나다</t>
        </is>
      </c>
      <c r="H309" s="46" t="inlineStr">
        <is>
          <t>CA</t>
        </is>
      </c>
      <c r="I309" s="49" t="n">
        <v>12916</v>
      </c>
      <c r="J309" s="46" t="inlineStr">
        <is>
          <t>EA</t>
        </is>
      </c>
      <c r="K309" s="50" t="n">
        <v>5.81</v>
      </c>
      <c r="L309" s="50" t="n">
        <v>46549.6</v>
      </c>
      <c r="M309" s="46" t="inlineStr">
        <is>
          <t>USD</t>
        </is>
      </c>
      <c r="N309" s="46" t="inlineStr">
        <is>
          <t>FOB</t>
        </is>
      </c>
      <c r="O309" s="46" t="inlineStr">
        <is>
          <t>N</t>
        </is>
      </c>
      <c r="P309" s="50" t="n">
        <v>1334.237</v>
      </c>
      <c r="Q309" s="49">
        <f>IF(OR(L309="",M309="",P309=""),"",L309*P309)</f>
        <v/>
      </c>
    </row>
    <row r="310" ht="15" customHeight="1" s="32">
      <c r="A310" s="46" t="inlineStr">
        <is>
          <t>R-HB-0309</t>
        </is>
      </c>
      <c r="B310" s="47" t="n">
        <v>45188</v>
      </c>
      <c r="C310" s="46" t="inlineStr">
        <is>
          <t>2023-09</t>
        </is>
      </c>
      <c r="D310" s="46" t="n">
        <v>2023</v>
      </c>
      <c r="E310" s="46" t="inlineStr">
        <is>
          <t>P-HB-001</t>
        </is>
      </c>
      <c r="F310" s="46" t="inlineStr">
        <is>
          <t>C-HB-09</t>
        </is>
      </c>
      <c r="G310" s="48" t="inlineStr">
        <is>
          <t>중국</t>
        </is>
      </c>
      <c r="H310" s="46" t="inlineStr">
        <is>
          <t>CN</t>
        </is>
      </c>
      <c r="I310" s="49" t="n">
        <v>90751</v>
      </c>
      <c r="J310" s="46" t="inlineStr">
        <is>
          <t>EA</t>
        </is>
      </c>
      <c r="K310" s="50" t="n">
        <v>40.84</v>
      </c>
      <c r="L310" s="50" t="n">
        <v>314432.74</v>
      </c>
      <c r="M310" s="46" t="inlineStr">
        <is>
          <t>USD</t>
        </is>
      </c>
      <c r="N310" s="46" t="inlineStr">
        <is>
          <t>FOB</t>
        </is>
      </c>
      <c r="O310" s="46" t="inlineStr">
        <is>
          <t>N</t>
        </is>
      </c>
      <c r="P310" s="50" t="n">
        <v>1334.237</v>
      </c>
      <c r="Q310" s="49">
        <f>IF(OR(L310="",M310="",P310=""),"",L310*P310)</f>
        <v/>
      </c>
    </row>
    <row r="311" ht="15" customHeight="1" s="32">
      <c r="A311" s="46" t="inlineStr">
        <is>
          <t>R-HB-0310</t>
        </is>
      </c>
      <c r="B311" s="47" t="n">
        <v>45189</v>
      </c>
      <c r="C311" s="46" t="inlineStr">
        <is>
          <t>2023-09</t>
        </is>
      </c>
      <c r="D311" s="46" t="n">
        <v>2023</v>
      </c>
      <c r="E311" s="46" t="inlineStr">
        <is>
          <t>P-HB-001</t>
        </is>
      </c>
      <c r="F311" s="46" t="inlineStr">
        <is>
          <t>C-HB-05</t>
        </is>
      </c>
      <c r="G311" s="48" t="inlineStr">
        <is>
          <t>독일</t>
        </is>
      </c>
      <c r="H311" s="46" t="inlineStr">
        <is>
          <t>DE</t>
        </is>
      </c>
      <c r="I311" s="49" t="n">
        <v>130063</v>
      </c>
      <c r="J311" s="46" t="inlineStr">
        <is>
          <t>EA</t>
        </is>
      </c>
      <c r="K311" s="50" t="n">
        <v>58.53</v>
      </c>
      <c r="L311" s="50" t="n">
        <v>473700.81</v>
      </c>
      <c r="M311" s="46" t="inlineStr">
        <is>
          <t>USD</t>
        </is>
      </c>
      <c r="N311" s="46" t="inlineStr">
        <is>
          <t>FOB</t>
        </is>
      </c>
      <c r="O311" s="46" t="inlineStr">
        <is>
          <t>N</t>
        </is>
      </c>
      <c r="P311" s="50" t="n">
        <v>1334.237</v>
      </c>
      <c r="Q311" s="49">
        <f>IF(OR(L311="",M311="",P311=""),"",L311*P311)</f>
        <v/>
      </c>
    </row>
    <row r="312" ht="15" customHeight="1" s="32">
      <c r="A312" s="46" t="inlineStr">
        <is>
          <t>R-HB-0311</t>
        </is>
      </c>
      <c r="B312" s="47" t="n">
        <v>45189</v>
      </c>
      <c r="C312" s="46" t="inlineStr">
        <is>
          <t>2023-09</t>
        </is>
      </c>
      <c r="D312" s="46" t="n">
        <v>2023</v>
      </c>
      <c r="E312" s="46" t="inlineStr">
        <is>
          <t>P-HB-002</t>
        </is>
      </c>
      <c r="F312" s="46" t="inlineStr">
        <is>
          <t>C-HB-05</t>
        </is>
      </c>
      <c r="G312" s="48" t="inlineStr">
        <is>
          <t>독일</t>
        </is>
      </c>
      <c r="H312" s="46" t="inlineStr">
        <is>
          <t>DE</t>
        </is>
      </c>
      <c r="I312" s="49" t="n">
        <v>204</v>
      </c>
      <c r="J312" s="46" t="inlineStr">
        <is>
          <t>EA</t>
        </is>
      </c>
      <c r="K312" s="50" t="n">
        <v>0.45</v>
      </c>
      <c r="L312" s="50" t="n">
        <v>50181.2</v>
      </c>
      <c r="M312" s="46" t="inlineStr">
        <is>
          <t>USD</t>
        </is>
      </c>
      <c r="N312" s="46" t="inlineStr">
        <is>
          <t>FOB</t>
        </is>
      </c>
      <c r="O312" s="46" t="inlineStr">
        <is>
          <t>N</t>
        </is>
      </c>
      <c r="P312" s="50" t="n">
        <v>1334.237</v>
      </c>
      <c r="Q312" s="49">
        <f>IF(OR(L312="",M312="",P312=""),"",L312*P312)</f>
        <v/>
      </c>
    </row>
    <row r="313" ht="15" customHeight="1" s="32">
      <c r="A313" s="46" t="inlineStr">
        <is>
          <t>R-HB-0312</t>
        </is>
      </c>
      <c r="B313" s="47" t="n">
        <v>45190</v>
      </c>
      <c r="C313" s="46" t="inlineStr">
        <is>
          <t>2023-09</t>
        </is>
      </c>
      <c r="D313" s="46" t="n">
        <v>2023</v>
      </c>
      <c r="E313" s="46" t="inlineStr">
        <is>
          <t>P-HB-003</t>
        </is>
      </c>
      <c r="F313" s="46" t="inlineStr">
        <is>
          <t>C-HB-01</t>
        </is>
      </c>
      <c r="G313" s="48" t="inlineStr">
        <is>
          <t>미국</t>
        </is>
      </c>
      <c r="H313" s="46" t="inlineStr">
        <is>
          <t>US</t>
        </is>
      </c>
      <c r="I313" s="49" t="n">
        <v>55135</v>
      </c>
      <c r="J313" s="46" t="inlineStr">
        <is>
          <t>EA</t>
        </is>
      </c>
      <c r="K313" s="50" t="n">
        <v>35.84</v>
      </c>
      <c r="L313" s="50" t="n">
        <v>275124.02</v>
      </c>
      <c r="M313" s="46" t="inlineStr">
        <is>
          <t>USD</t>
        </is>
      </c>
      <c r="N313" s="46" t="inlineStr">
        <is>
          <t>FOB</t>
        </is>
      </c>
      <c r="O313" s="46" t="inlineStr">
        <is>
          <t>N</t>
        </is>
      </c>
      <c r="P313" s="50" t="n">
        <v>1334.237</v>
      </c>
      <c r="Q313" s="49">
        <f>IF(OR(L313="",M313="",P313=""),"",L313*P313)</f>
        <v/>
      </c>
    </row>
    <row r="314" ht="15" customHeight="1" s="32">
      <c r="A314" s="46" t="inlineStr">
        <is>
          <t>R-HB-0313</t>
        </is>
      </c>
      <c r="B314" s="47" t="n">
        <v>45190</v>
      </c>
      <c r="C314" s="46" t="inlineStr">
        <is>
          <t>2023-09</t>
        </is>
      </c>
      <c r="D314" s="46" t="n">
        <v>2023</v>
      </c>
      <c r="E314" s="46" t="inlineStr">
        <is>
          <t>P-HB-002</t>
        </is>
      </c>
      <c r="F314" s="46" t="inlineStr">
        <is>
          <t>C-HB-06</t>
        </is>
      </c>
      <c r="G314" s="48" t="inlineStr">
        <is>
          <t>베트남</t>
        </is>
      </c>
      <c r="H314" s="46" t="inlineStr">
        <is>
          <t>VN</t>
        </is>
      </c>
      <c r="I314" s="49" t="n">
        <v>184</v>
      </c>
      <c r="J314" s="46" t="inlineStr">
        <is>
          <t>EA</t>
        </is>
      </c>
      <c r="K314" s="50" t="n">
        <v>0.4</v>
      </c>
      <c r="L314" s="50" t="n">
        <v>45495.66</v>
      </c>
      <c r="M314" s="46" t="inlineStr">
        <is>
          <t>USD</t>
        </is>
      </c>
      <c r="N314" s="46" t="inlineStr">
        <is>
          <t>FOB</t>
        </is>
      </c>
      <c r="O314" s="46" t="inlineStr">
        <is>
          <t>N</t>
        </is>
      </c>
      <c r="P314" s="50" t="n">
        <v>1334.237</v>
      </c>
      <c r="Q314" s="49">
        <f>IF(OR(L314="",M314="",P314=""),"",L314*P314)</f>
        <v/>
      </c>
    </row>
    <row r="315" ht="15" customHeight="1" s="32">
      <c r="A315" s="46" t="inlineStr">
        <is>
          <t>R-HB-0314</t>
        </is>
      </c>
      <c r="B315" s="47" t="n">
        <v>45190</v>
      </c>
      <c r="C315" s="46" t="inlineStr">
        <is>
          <t>2023-09</t>
        </is>
      </c>
      <c r="D315" s="46" t="n">
        <v>2023</v>
      </c>
      <c r="E315" s="46" t="inlineStr">
        <is>
          <t>P-HB-004</t>
        </is>
      </c>
      <c r="F315" s="46" t="inlineStr">
        <is>
          <t>C-HB-07</t>
        </is>
      </c>
      <c r="G315" s="48" t="inlineStr">
        <is>
          <t>인도</t>
        </is>
      </c>
      <c r="H315" s="46" t="inlineStr">
        <is>
          <t>IN</t>
        </is>
      </c>
      <c r="I315" s="49" t="n">
        <v>7714</v>
      </c>
      <c r="J315" s="46" t="inlineStr">
        <is>
          <t>EA</t>
        </is>
      </c>
      <c r="K315" s="50" t="n">
        <v>8.49</v>
      </c>
      <c r="L315" s="50" t="n">
        <v>210891.32</v>
      </c>
      <c r="M315" s="46" t="inlineStr">
        <is>
          <t>USD</t>
        </is>
      </c>
      <c r="N315" s="46" t="inlineStr">
        <is>
          <t>FOB</t>
        </is>
      </c>
      <c r="O315" s="46" t="inlineStr">
        <is>
          <t>N</t>
        </is>
      </c>
      <c r="P315" s="50" t="n">
        <v>1334.237</v>
      </c>
      <c r="Q315" s="49">
        <f>IF(OR(L315="",M315="",P315=""),"",L315*P315)</f>
        <v/>
      </c>
    </row>
    <row r="316" ht="15" customHeight="1" s="32">
      <c r="A316" s="46" t="inlineStr">
        <is>
          <t>R-HB-0315</t>
        </is>
      </c>
      <c r="B316" s="47" t="n">
        <v>45190</v>
      </c>
      <c r="C316" s="46" t="inlineStr">
        <is>
          <t>2023-09</t>
        </is>
      </c>
      <c r="D316" s="46" t="n">
        <v>2023</v>
      </c>
      <c r="E316" s="46" t="inlineStr">
        <is>
          <t>P-HB-001</t>
        </is>
      </c>
      <c r="F316" s="46" t="inlineStr">
        <is>
          <t>C-HB-08</t>
        </is>
      </c>
      <c r="G316" s="48" t="inlineStr">
        <is>
          <t>중국</t>
        </is>
      </c>
      <c r="H316" s="46" t="inlineStr">
        <is>
          <t>CN</t>
        </is>
      </c>
      <c r="I316" s="49" t="n">
        <v>146778</v>
      </c>
      <c r="J316" s="46" t="inlineStr">
        <is>
          <t>EA</t>
        </is>
      </c>
      <c r="K316" s="50" t="n">
        <v>66.05</v>
      </c>
      <c r="L316" s="50" t="n">
        <v>499720.98</v>
      </c>
      <c r="M316" s="46" t="inlineStr">
        <is>
          <t>USD</t>
        </is>
      </c>
      <c r="N316" s="46" t="inlineStr">
        <is>
          <t>FOB</t>
        </is>
      </c>
      <c r="O316" s="46" t="inlineStr">
        <is>
          <t>N</t>
        </is>
      </c>
      <c r="P316" s="50" t="n">
        <v>1334.237</v>
      </c>
      <c r="Q316" s="49">
        <f>IF(OR(L316="",M316="",P316=""),"",L316*P316)</f>
        <v/>
      </c>
    </row>
    <row r="317" ht="15" customHeight="1" s="32">
      <c r="A317" s="46" t="inlineStr">
        <is>
          <t>R-HB-0316</t>
        </is>
      </c>
      <c r="B317" s="47" t="n">
        <v>45190</v>
      </c>
      <c r="C317" s="46" t="inlineStr">
        <is>
          <t>2023-09</t>
        </is>
      </c>
      <c r="D317" s="46" t="n">
        <v>2023</v>
      </c>
      <c r="E317" s="46" t="inlineStr">
        <is>
          <t>P-HB-003</t>
        </is>
      </c>
      <c r="F317" s="46" t="inlineStr">
        <is>
          <t>C-HB-08</t>
        </is>
      </c>
      <c r="G317" s="48" t="inlineStr">
        <is>
          <t>중국</t>
        </is>
      </c>
      <c r="H317" s="46" t="inlineStr">
        <is>
          <t>CN</t>
        </is>
      </c>
      <c r="I317" s="49" t="n">
        <v>54770</v>
      </c>
      <c r="J317" s="46" t="inlineStr">
        <is>
          <t>EA</t>
        </is>
      </c>
      <c r="K317" s="50" t="n">
        <v>35.6</v>
      </c>
      <c r="L317" s="50" t="n">
        <v>271708.58</v>
      </c>
      <c r="M317" s="46" t="inlineStr">
        <is>
          <t>USD</t>
        </is>
      </c>
      <c r="N317" s="46" t="inlineStr">
        <is>
          <t>FOB</t>
        </is>
      </c>
      <c r="O317" s="46" t="inlineStr">
        <is>
          <t>N</t>
        </is>
      </c>
      <c r="P317" s="50" t="n">
        <v>1334.237</v>
      </c>
      <c r="Q317" s="49">
        <f>IF(OR(L317="",M317="",P317=""),"",L317*P317)</f>
        <v/>
      </c>
    </row>
    <row r="318" ht="15" customHeight="1" s="32">
      <c r="A318" s="46" t="inlineStr">
        <is>
          <t>R-HB-0317</t>
        </is>
      </c>
      <c r="B318" s="47" t="n">
        <v>45191</v>
      </c>
      <c r="C318" s="46" t="inlineStr">
        <is>
          <t>2023-09</t>
        </is>
      </c>
      <c r="D318" s="46" t="n">
        <v>2023</v>
      </c>
      <c r="E318" s="46" t="inlineStr">
        <is>
          <t>P-HB-002</t>
        </is>
      </c>
      <c r="F318" s="46" t="inlineStr">
        <is>
          <t>C-HB-07</t>
        </is>
      </c>
      <c r="G318" s="48" t="inlineStr">
        <is>
          <t>인도</t>
        </is>
      </c>
      <c r="H318" s="46" t="inlineStr">
        <is>
          <t>IN</t>
        </is>
      </c>
      <c r="I318" s="49" t="n">
        <v>120</v>
      </c>
      <c r="J318" s="46" t="inlineStr">
        <is>
          <t>EA</t>
        </is>
      </c>
      <c r="K318" s="50" t="n">
        <v>0.26</v>
      </c>
      <c r="L318" s="50" t="n">
        <v>28942.35</v>
      </c>
      <c r="M318" s="46" t="inlineStr">
        <is>
          <t>USD</t>
        </is>
      </c>
      <c r="N318" s="46" t="inlineStr">
        <is>
          <t>FOB</t>
        </is>
      </c>
      <c r="O318" s="46" t="inlineStr">
        <is>
          <t>N</t>
        </is>
      </c>
      <c r="P318" s="50" t="n">
        <v>1334.237</v>
      </c>
      <c r="Q318" s="49">
        <f>IF(OR(L318="",M318="",P318=""),"",L318*P318)</f>
        <v/>
      </c>
    </row>
    <row r="319" ht="15" customHeight="1" s="32">
      <c r="A319" s="46" t="inlineStr">
        <is>
          <t>R-HB-0318</t>
        </is>
      </c>
      <c r="B319" s="47" t="n">
        <v>45193</v>
      </c>
      <c r="C319" s="46" t="inlineStr">
        <is>
          <t>2023-09</t>
        </is>
      </c>
      <c r="D319" s="46" t="n">
        <v>2023</v>
      </c>
      <c r="E319" s="46" t="inlineStr">
        <is>
          <t>P-HB-002</t>
        </is>
      </c>
      <c r="F319" s="46" t="inlineStr">
        <is>
          <t>C-HB-08</t>
        </is>
      </c>
      <c r="G319" s="48" t="inlineStr">
        <is>
          <t>중국</t>
        </is>
      </c>
      <c r="H319" s="46" t="inlineStr">
        <is>
          <t>CN</t>
        </is>
      </c>
      <c r="I319" s="49" t="n">
        <v>225</v>
      </c>
      <c r="J319" s="46" t="inlineStr">
        <is>
          <t>EA</t>
        </is>
      </c>
      <c r="K319" s="50" t="n">
        <v>0.5</v>
      </c>
      <c r="L319" s="50" t="n">
        <v>56001.41</v>
      </c>
      <c r="M319" s="46" t="inlineStr">
        <is>
          <t>USD</t>
        </is>
      </c>
      <c r="N319" s="46" t="inlineStr">
        <is>
          <t>FOB</t>
        </is>
      </c>
      <c r="O319" s="46" t="inlineStr">
        <is>
          <t>N</t>
        </is>
      </c>
      <c r="P319" s="50" t="n">
        <v>1334.237</v>
      </c>
      <c r="Q319" s="49">
        <f>IF(OR(L319="",M319="",P319=""),"",L319*P319)</f>
        <v/>
      </c>
    </row>
    <row r="320" ht="15" customHeight="1" s="32">
      <c r="A320" s="46" t="inlineStr">
        <is>
          <t>R-HB-0319</t>
        </is>
      </c>
      <c r="B320" s="47" t="n">
        <v>45194</v>
      </c>
      <c r="C320" s="46" t="inlineStr">
        <is>
          <t>2023-09</t>
        </is>
      </c>
      <c r="D320" s="46" t="n">
        <v>2023</v>
      </c>
      <c r="E320" s="46" t="inlineStr">
        <is>
          <t>P-HB-001</t>
        </is>
      </c>
      <c r="F320" s="46" t="inlineStr">
        <is>
          <t>C-HB-03</t>
        </is>
      </c>
      <c r="G320" s="48" t="inlineStr">
        <is>
          <t>멕시코</t>
        </is>
      </c>
      <c r="H320" s="46" t="inlineStr">
        <is>
          <t>MX</t>
        </is>
      </c>
      <c r="I320" s="49" t="n">
        <v>26527</v>
      </c>
      <c r="J320" s="46" t="inlineStr">
        <is>
          <t>EA</t>
        </is>
      </c>
      <c r="K320" s="50" t="n">
        <v>11.94</v>
      </c>
      <c r="L320" s="50" t="n">
        <v>93798.56</v>
      </c>
      <c r="M320" s="46" t="inlineStr">
        <is>
          <t>USD</t>
        </is>
      </c>
      <c r="N320" s="46" t="inlineStr">
        <is>
          <t>FOB</t>
        </is>
      </c>
      <c r="O320" s="46" t="inlineStr">
        <is>
          <t>N</t>
        </is>
      </c>
      <c r="P320" s="50" t="n">
        <v>1334.237</v>
      </c>
      <c r="Q320" s="49">
        <f>IF(OR(L320="",M320="",P320=""),"",L320*P320)</f>
        <v/>
      </c>
    </row>
    <row r="321" ht="15" customHeight="1" s="32">
      <c r="A321" s="46" t="inlineStr">
        <is>
          <t>R-HB-0320</t>
        </is>
      </c>
      <c r="B321" s="47" t="n">
        <v>45195</v>
      </c>
      <c r="C321" s="46" t="inlineStr">
        <is>
          <t>2023-09</t>
        </is>
      </c>
      <c r="D321" s="46" t="n">
        <v>2023</v>
      </c>
      <c r="E321" s="46" t="inlineStr">
        <is>
          <t>P-HB-002</t>
        </is>
      </c>
      <c r="F321" s="46" t="inlineStr">
        <is>
          <t>C-HB-03</t>
        </is>
      </c>
      <c r="G321" s="48" t="inlineStr">
        <is>
          <t>멕시코</t>
        </is>
      </c>
      <c r="H321" s="46" t="inlineStr">
        <is>
          <t>MX</t>
        </is>
      </c>
      <c r="I321" s="49" t="n">
        <v>45</v>
      </c>
      <c r="J321" s="46" t="inlineStr">
        <is>
          <t>EA</t>
        </is>
      </c>
      <c r="K321" s="50" t="n">
        <v>0.1</v>
      </c>
      <c r="L321" s="50" t="n">
        <v>10922.3</v>
      </c>
      <c r="M321" s="46" t="inlineStr">
        <is>
          <t>USD</t>
        </is>
      </c>
      <c r="N321" s="46" t="inlineStr">
        <is>
          <t>FOB</t>
        </is>
      </c>
      <c r="O321" s="46" t="inlineStr">
        <is>
          <t>N</t>
        </is>
      </c>
      <c r="P321" s="50" t="n">
        <v>1334.237</v>
      </c>
      <c r="Q321" s="49">
        <f>IF(OR(L321="",M321="",P321=""),"",L321*P321)</f>
        <v/>
      </c>
    </row>
    <row r="322" ht="15" customHeight="1" s="32">
      <c r="A322" s="46" t="inlineStr">
        <is>
          <t>R-HB-0321</t>
        </is>
      </c>
      <c r="B322" s="47" t="n">
        <v>45195</v>
      </c>
      <c r="C322" s="46" t="inlineStr">
        <is>
          <t>2023-09</t>
        </is>
      </c>
      <c r="D322" s="46" t="n">
        <v>2023</v>
      </c>
      <c r="E322" s="46" t="inlineStr">
        <is>
          <t>P-HB-002</t>
        </is>
      </c>
      <c r="F322" s="46" t="inlineStr">
        <is>
          <t>C-HB-04</t>
        </is>
      </c>
      <c r="G322" s="48" t="inlineStr">
        <is>
          <t>캐나다</t>
        </is>
      </c>
      <c r="H322" s="46" t="inlineStr">
        <is>
          <t>CA</t>
        </is>
      </c>
      <c r="I322" s="49" t="n">
        <v>23</v>
      </c>
      <c r="J322" s="46" t="inlineStr">
        <is>
          <t>EA</t>
        </is>
      </c>
      <c r="K322" s="50" t="n">
        <v>0.05</v>
      </c>
      <c r="L322" s="50" t="n">
        <v>5365.49</v>
      </c>
      <c r="M322" s="46" t="inlineStr">
        <is>
          <t>USD</t>
        </is>
      </c>
      <c r="N322" s="46" t="inlineStr">
        <is>
          <t>FOB</t>
        </is>
      </c>
      <c r="O322" s="46" t="inlineStr">
        <is>
          <t>N</t>
        </is>
      </c>
      <c r="P322" s="50" t="n">
        <v>1334.237</v>
      </c>
      <c r="Q322" s="49">
        <f>IF(OR(L322="",M322="",P322=""),"",L322*P322)</f>
        <v/>
      </c>
    </row>
    <row r="323" ht="15" customHeight="1" s="32">
      <c r="A323" s="46" t="inlineStr">
        <is>
          <t>R-HB-0322</t>
        </is>
      </c>
      <c r="B323" s="47" t="n">
        <v>45195</v>
      </c>
      <c r="C323" s="46" t="inlineStr">
        <is>
          <t>2023-09</t>
        </is>
      </c>
      <c r="D323" s="46" t="n">
        <v>2023</v>
      </c>
      <c r="E323" s="46" t="inlineStr">
        <is>
          <t>P-HB-003</t>
        </is>
      </c>
      <c r="F323" s="46" t="inlineStr">
        <is>
          <t>C-HB-04</t>
        </is>
      </c>
      <c r="G323" s="48" t="inlineStr">
        <is>
          <t>캐나다</t>
        </is>
      </c>
      <c r="H323" s="46" t="inlineStr">
        <is>
          <t>CA</t>
        </is>
      </c>
      <c r="I323" s="49" t="n">
        <v>5268</v>
      </c>
      <c r="J323" s="46" t="inlineStr">
        <is>
          <t>EA</t>
        </is>
      </c>
      <c r="K323" s="50" t="n">
        <v>3.42</v>
      </c>
      <c r="L323" s="50" t="n">
        <v>25478.44</v>
      </c>
      <c r="M323" s="46" t="inlineStr">
        <is>
          <t>USD</t>
        </is>
      </c>
      <c r="N323" s="46" t="inlineStr">
        <is>
          <t>FOB</t>
        </is>
      </c>
      <c r="O323" s="46" t="inlineStr">
        <is>
          <t>N</t>
        </is>
      </c>
      <c r="P323" s="50" t="n">
        <v>1334.237</v>
      </c>
      <c r="Q323" s="49">
        <f>IF(OR(L323="",M323="",P323=""),"",L323*P323)</f>
        <v/>
      </c>
    </row>
    <row r="324" ht="15" customHeight="1" s="32">
      <c r="A324" s="46" t="inlineStr">
        <is>
          <t>R-HB-0323</t>
        </is>
      </c>
      <c r="B324" s="47" t="n">
        <v>45195</v>
      </c>
      <c r="C324" s="46" t="inlineStr">
        <is>
          <t>2023-09</t>
        </is>
      </c>
      <c r="D324" s="46" t="n">
        <v>2023</v>
      </c>
      <c r="E324" s="46" t="inlineStr">
        <is>
          <t>P-HB-004</t>
        </is>
      </c>
      <c r="F324" s="46" t="inlineStr">
        <is>
          <t>C-HB-04</t>
        </is>
      </c>
      <c r="G324" s="48" t="inlineStr">
        <is>
          <t>캐나다</t>
        </is>
      </c>
      <c r="H324" s="46" t="inlineStr">
        <is>
          <t>CA</t>
        </is>
      </c>
      <c r="I324" s="49" t="n">
        <v>1543</v>
      </c>
      <c r="J324" s="46" t="inlineStr">
        <is>
          <t>EA</t>
        </is>
      </c>
      <c r="K324" s="50" t="n">
        <v>1.7</v>
      </c>
      <c r="L324" s="50" t="n">
        <v>41942.6</v>
      </c>
      <c r="M324" s="46" t="inlineStr">
        <is>
          <t>USD</t>
        </is>
      </c>
      <c r="N324" s="46" t="inlineStr">
        <is>
          <t>FOB</t>
        </is>
      </c>
      <c r="O324" s="46" t="inlineStr">
        <is>
          <t>N</t>
        </is>
      </c>
      <c r="P324" s="50" t="n">
        <v>1334.237</v>
      </c>
      <c r="Q324" s="49">
        <f>IF(OR(L324="",M324="",P324=""),"",L324*P324)</f>
        <v/>
      </c>
    </row>
    <row r="325" ht="15" customHeight="1" s="32">
      <c r="A325" s="46" t="inlineStr">
        <is>
          <t>R-HB-0324</t>
        </is>
      </c>
      <c r="B325" s="47" t="n">
        <v>45196</v>
      </c>
      <c r="C325" s="46" t="inlineStr">
        <is>
          <t>2023-09</t>
        </is>
      </c>
      <c r="D325" s="46" t="n">
        <v>2023</v>
      </c>
      <c r="E325" s="46" t="inlineStr">
        <is>
          <t>P-HB-002</t>
        </is>
      </c>
      <c r="F325" s="46" t="inlineStr">
        <is>
          <t>C-HB-01</t>
        </is>
      </c>
      <c r="G325" s="48" t="inlineStr">
        <is>
          <t>미국</t>
        </is>
      </c>
      <c r="H325" s="46" t="inlineStr">
        <is>
          <t>US</t>
        </is>
      </c>
      <c r="I325" s="49" t="n">
        <v>263</v>
      </c>
      <c r="J325" s="46" t="inlineStr">
        <is>
          <t>EA</t>
        </is>
      </c>
      <c r="K325" s="50" t="n">
        <v>0.58</v>
      </c>
      <c r="L325" s="50" t="n">
        <v>64805.42</v>
      </c>
      <c r="M325" s="46" t="inlineStr">
        <is>
          <t>USD</t>
        </is>
      </c>
      <c r="N325" s="46" t="inlineStr">
        <is>
          <t>FOB</t>
        </is>
      </c>
      <c r="O325" s="46" t="inlineStr">
        <is>
          <t>N</t>
        </is>
      </c>
      <c r="P325" s="50" t="n">
        <v>1334.237</v>
      </c>
      <c r="Q325" s="49">
        <f>IF(OR(L325="",M325="",P325=""),"",L325*P325)</f>
        <v/>
      </c>
    </row>
    <row r="326" ht="15" customHeight="1" s="32">
      <c r="A326" s="46" t="inlineStr">
        <is>
          <t>R-HB-0325</t>
        </is>
      </c>
      <c r="B326" s="47" t="n">
        <v>45202</v>
      </c>
      <c r="C326" s="46" t="inlineStr">
        <is>
          <t>2023-10</t>
        </is>
      </c>
      <c r="D326" s="46" t="n">
        <v>2023</v>
      </c>
      <c r="E326" s="46" t="inlineStr">
        <is>
          <t>P-HB-003</t>
        </is>
      </c>
      <c r="F326" s="46" t="inlineStr">
        <is>
          <t>C-HB-02</t>
        </is>
      </c>
      <c r="G326" s="48" t="inlineStr">
        <is>
          <t>미국</t>
        </is>
      </c>
      <c r="H326" s="46" t="inlineStr">
        <is>
          <t>US</t>
        </is>
      </c>
      <c r="I326" s="49" t="n">
        <v>32960</v>
      </c>
      <c r="J326" s="46" t="inlineStr">
        <is>
          <t>EA</t>
        </is>
      </c>
      <c r="K326" s="50" t="n">
        <v>21.42</v>
      </c>
      <c r="L326" s="50" t="n">
        <v>169068.21</v>
      </c>
      <c r="M326" s="46" t="inlineStr">
        <is>
          <t>USD</t>
        </is>
      </c>
      <c r="N326" s="46" t="inlineStr">
        <is>
          <t>FOB</t>
        </is>
      </c>
      <c r="O326" s="46" t="inlineStr">
        <is>
          <t>N</t>
        </is>
      </c>
      <c r="P326" s="50" t="n">
        <v>1351.5071</v>
      </c>
      <c r="Q326" s="49">
        <f>IF(OR(L326="",M326="",P326=""),"",L326*P326)</f>
        <v/>
      </c>
    </row>
    <row r="327" ht="15" customHeight="1" s="32">
      <c r="A327" s="46" t="inlineStr">
        <is>
          <t>R-HB-0326</t>
        </is>
      </c>
      <c r="B327" s="47" t="n">
        <v>45203</v>
      </c>
      <c r="C327" s="46" t="inlineStr">
        <is>
          <t>2023-10</t>
        </is>
      </c>
      <c r="D327" s="46" t="n">
        <v>2023</v>
      </c>
      <c r="E327" s="46" t="inlineStr">
        <is>
          <t>P-HB-004</t>
        </is>
      </c>
      <c r="F327" s="46" t="inlineStr">
        <is>
          <t>C-HB-07</t>
        </is>
      </c>
      <c r="G327" s="48" t="inlineStr">
        <is>
          <t>인도</t>
        </is>
      </c>
      <c r="H327" s="46" t="inlineStr">
        <is>
          <t>IN</t>
        </is>
      </c>
      <c r="I327" s="49" t="n">
        <v>8128</v>
      </c>
      <c r="J327" s="46" t="inlineStr">
        <is>
          <t>EA</t>
        </is>
      </c>
      <c r="K327" s="50" t="n">
        <v>8.94</v>
      </c>
      <c r="L327" s="50" t="n">
        <v>226122.12</v>
      </c>
      <c r="M327" s="46" t="inlineStr">
        <is>
          <t>USD</t>
        </is>
      </c>
      <c r="N327" s="46" t="inlineStr">
        <is>
          <t>FOB</t>
        </is>
      </c>
      <c r="O327" s="46" t="inlineStr">
        <is>
          <t>N</t>
        </is>
      </c>
      <c r="P327" s="50" t="n">
        <v>1351.5071</v>
      </c>
      <c r="Q327" s="49">
        <f>IF(OR(L327="",M327="",P327=""),"",L327*P327)</f>
        <v/>
      </c>
    </row>
    <row r="328" ht="15" customHeight="1" s="32">
      <c r="A328" s="46" t="inlineStr">
        <is>
          <t>R-HB-0327</t>
        </is>
      </c>
      <c r="B328" s="47" t="n">
        <v>45203</v>
      </c>
      <c r="C328" s="46" t="inlineStr">
        <is>
          <t>2023-10</t>
        </is>
      </c>
      <c r="D328" s="46" t="n">
        <v>2023</v>
      </c>
      <c r="E328" s="46" t="inlineStr">
        <is>
          <t>P-HB-002</t>
        </is>
      </c>
      <c r="F328" s="46" t="inlineStr">
        <is>
          <t>C-HB-09</t>
        </is>
      </c>
      <c r="G328" s="48" t="inlineStr">
        <is>
          <t>중국</t>
        </is>
      </c>
      <c r="H328" s="46" t="inlineStr">
        <is>
          <t>CN</t>
        </is>
      </c>
      <c r="I328" s="49" t="n">
        <v>151</v>
      </c>
      <c r="J328" s="46" t="inlineStr">
        <is>
          <t>EA</t>
        </is>
      </c>
      <c r="K328" s="50" t="n">
        <v>0.33</v>
      </c>
      <c r="L328" s="50" t="n">
        <v>38005.07</v>
      </c>
      <c r="M328" s="46" t="inlineStr">
        <is>
          <t>USD</t>
        </is>
      </c>
      <c r="N328" s="46" t="inlineStr">
        <is>
          <t>FOB</t>
        </is>
      </c>
      <c r="O328" s="46" t="inlineStr">
        <is>
          <t>N</t>
        </is>
      </c>
      <c r="P328" s="50" t="n">
        <v>1351.5071</v>
      </c>
      <c r="Q328" s="49">
        <f>IF(OR(L328="",M328="",P328=""),"",L328*P328)</f>
        <v/>
      </c>
    </row>
    <row r="329" ht="15" customHeight="1" s="32">
      <c r="A329" s="46" t="inlineStr">
        <is>
          <t>R-HB-0328</t>
        </is>
      </c>
      <c r="B329" s="47" t="n">
        <v>45205</v>
      </c>
      <c r="C329" s="46" t="inlineStr">
        <is>
          <t>2023-10</t>
        </is>
      </c>
      <c r="D329" s="46" t="n">
        <v>2023</v>
      </c>
      <c r="E329" s="46" t="inlineStr">
        <is>
          <t>P-HB-003</t>
        </is>
      </c>
      <c r="F329" s="46" t="inlineStr">
        <is>
          <t>C-HB-03</t>
        </is>
      </c>
      <c r="G329" s="48" t="inlineStr">
        <is>
          <t>멕시코</t>
        </is>
      </c>
      <c r="H329" s="46" t="inlineStr">
        <is>
          <t>MX</t>
        </is>
      </c>
      <c r="I329" s="49" t="n">
        <v>9852</v>
      </c>
      <c r="J329" s="46" t="inlineStr">
        <is>
          <t>EA</t>
        </is>
      </c>
      <c r="K329" s="50" t="n">
        <v>6.4</v>
      </c>
      <c r="L329" s="50" t="n">
        <v>51640.71</v>
      </c>
      <c r="M329" s="46" t="inlineStr">
        <is>
          <t>USD</t>
        </is>
      </c>
      <c r="N329" s="46" t="inlineStr">
        <is>
          <t>FOB</t>
        </is>
      </c>
      <c r="O329" s="46" t="inlineStr">
        <is>
          <t>N</t>
        </is>
      </c>
      <c r="P329" s="50" t="n">
        <v>1351.5071</v>
      </c>
      <c r="Q329" s="49">
        <f>IF(OR(L329="",M329="",P329=""),"",L329*P329)</f>
        <v/>
      </c>
    </row>
    <row r="330" ht="15" customHeight="1" s="32">
      <c r="A330" s="46" t="inlineStr">
        <is>
          <t>R-HB-0329</t>
        </is>
      </c>
      <c r="B330" s="47" t="n">
        <v>45206</v>
      </c>
      <c r="C330" s="46" t="inlineStr">
        <is>
          <t>2023-10</t>
        </is>
      </c>
      <c r="D330" s="46" t="n">
        <v>2023</v>
      </c>
      <c r="E330" s="46" t="inlineStr">
        <is>
          <t>P-HB-004</t>
        </is>
      </c>
      <c r="F330" s="46" t="inlineStr">
        <is>
          <t>C-HB-02</t>
        </is>
      </c>
      <c r="G330" s="48" t="inlineStr">
        <is>
          <t>미국</t>
        </is>
      </c>
      <c r="H330" s="46" t="inlineStr">
        <is>
          <t>US</t>
        </is>
      </c>
      <c r="I330" s="49" t="n">
        <v>8612</v>
      </c>
      <c r="J330" s="46" t="inlineStr">
        <is>
          <t>EA</t>
        </is>
      </c>
      <c r="K330" s="50" t="n">
        <v>9.470000000000001</v>
      </c>
      <c r="L330" s="50" t="n">
        <v>245906.47</v>
      </c>
      <c r="M330" s="46" t="inlineStr">
        <is>
          <t>USD</t>
        </is>
      </c>
      <c r="N330" s="46" t="inlineStr">
        <is>
          <t>FOB</t>
        </is>
      </c>
      <c r="O330" s="46" t="inlineStr">
        <is>
          <t>N</t>
        </is>
      </c>
      <c r="P330" s="50" t="n">
        <v>1351.5071</v>
      </c>
      <c r="Q330" s="49">
        <f>IF(OR(L330="",M330="",P330=""),"",L330*P330)</f>
        <v/>
      </c>
    </row>
    <row r="331" ht="15" customHeight="1" s="32">
      <c r="A331" s="46" t="inlineStr">
        <is>
          <t>R-HB-0330</t>
        </is>
      </c>
      <c r="B331" s="47" t="n">
        <v>45206</v>
      </c>
      <c r="C331" s="46" t="inlineStr">
        <is>
          <t>2023-10</t>
        </is>
      </c>
      <c r="D331" s="46" t="n">
        <v>2023</v>
      </c>
      <c r="E331" s="46" t="inlineStr">
        <is>
          <t>P-HB-003</t>
        </is>
      </c>
      <c r="F331" s="46" t="inlineStr">
        <is>
          <t>C-HB-09</t>
        </is>
      </c>
      <c r="G331" s="48" t="inlineStr">
        <is>
          <t>중국</t>
        </is>
      </c>
      <c r="H331" s="46" t="inlineStr">
        <is>
          <t>CN</t>
        </is>
      </c>
      <c r="I331" s="49" t="n">
        <v>36893</v>
      </c>
      <c r="J331" s="46" t="inlineStr">
        <is>
          <t>EA</t>
        </is>
      </c>
      <c r="K331" s="50" t="n">
        <v>23.98</v>
      </c>
      <c r="L331" s="50" t="n">
        <v>187633.45</v>
      </c>
      <c r="M331" s="46" t="inlineStr">
        <is>
          <t>USD</t>
        </is>
      </c>
      <c r="N331" s="46" t="inlineStr">
        <is>
          <t>FOB</t>
        </is>
      </c>
      <c r="O331" s="46" t="inlineStr">
        <is>
          <t>N</t>
        </is>
      </c>
      <c r="P331" s="50" t="n">
        <v>1351.5071</v>
      </c>
      <c r="Q331" s="49">
        <f>IF(OR(L331="",M331="",P331=""),"",L331*P331)</f>
        <v/>
      </c>
    </row>
    <row r="332" ht="15" customHeight="1" s="32">
      <c r="A332" s="46" t="inlineStr">
        <is>
          <t>R-HB-0331</t>
        </is>
      </c>
      <c r="B332" s="47" t="n">
        <v>45207</v>
      </c>
      <c r="C332" s="46" t="inlineStr">
        <is>
          <t>2023-10</t>
        </is>
      </c>
      <c r="D332" s="46" t="n">
        <v>2023</v>
      </c>
      <c r="E332" s="46" t="inlineStr">
        <is>
          <t>P-HB-002</t>
        </is>
      </c>
      <c r="F332" s="46" t="inlineStr">
        <is>
          <t>C-HB-04</t>
        </is>
      </c>
      <c r="G332" s="48" t="inlineStr">
        <is>
          <t>캐나다</t>
        </is>
      </c>
      <c r="H332" s="46" t="inlineStr">
        <is>
          <t>CA</t>
        </is>
      </c>
      <c r="I332" s="49" t="n">
        <v>21</v>
      </c>
      <c r="J332" s="46" t="inlineStr">
        <is>
          <t>EA</t>
        </is>
      </c>
      <c r="K332" s="50" t="n">
        <v>0.05</v>
      </c>
      <c r="L332" s="50" t="n">
        <v>5607.95</v>
      </c>
      <c r="M332" s="46" t="inlineStr">
        <is>
          <t>USD</t>
        </is>
      </c>
      <c r="N332" s="46" t="inlineStr">
        <is>
          <t>FOB</t>
        </is>
      </c>
      <c r="O332" s="46" t="inlineStr">
        <is>
          <t>N</t>
        </is>
      </c>
      <c r="P332" s="50" t="n">
        <v>1351.5071</v>
      </c>
      <c r="Q332" s="49">
        <f>IF(OR(L332="",M332="",P332=""),"",L332*P332)</f>
        <v/>
      </c>
    </row>
    <row r="333" ht="15" customHeight="1" s="32">
      <c r="A333" s="46" t="inlineStr">
        <is>
          <t>R-HB-0332</t>
        </is>
      </c>
      <c r="B333" s="47" t="n">
        <v>45207</v>
      </c>
      <c r="C333" s="46" t="inlineStr">
        <is>
          <t>2023-10</t>
        </is>
      </c>
      <c r="D333" s="46" t="n">
        <v>2023</v>
      </c>
      <c r="E333" s="46" t="inlineStr">
        <is>
          <t>P-HB-001</t>
        </is>
      </c>
      <c r="F333" s="46" t="inlineStr">
        <is>
          <t>C-HB-06</t>
        </is>
      </c>
      <c r="G333" s="48" t="inlineStr">
        <is>
          <t>베트남</t>
        </is>
      </c>
      <c r="H333" s="46" t="inlineStr">
        <is>
          <t>VN</t>
        </is>
      </c>
      <c r="I333" s="49" t="n">
        <v>108701</v>
      </c>
      <c r="J333" s="46" t="inlineStr">
        <is>
          <t>EA</t>
        </is>
      </c>
      <c r="K333" s="50" t="n">
        <v>48.92</v>
      </c>
      <c r="L333" s="50" t="n">
        <v>400069.88</v>
      </c>
      <c r="M333" s="46" t="inlineStr">
        <is>
          <t>USD</t>
        </is>
      </c>
      <c r="N333" s="46" t="inlineStr">
        <is>
          <t>FOB</t>
        </is>
      </c>
      <c r="O333" s="46" t="inlineStr">
        <is>
          <t>N</t>
        </is>
      </c>
      <c r="P333" s="50" t="n">
        <v>1351.5071</v>
      </c>
      <c r="Q333" s="49">
        <f>IF(OR(L333="",M333="",P333=""),"",L333*P333)</f>
        <v/>
      </c>
    </row>
    <row r="334" ht="15" customHeight="1" s="32">
      <c r="A334" s="46" t="inlineStr">
        <is>
          <t>R-HB-0333</t>
        </is>
      </c>
      <c r="B334" s="47" t="n">
        <v>45207</v>
      </c>
      <c r="C334" s="46" t="inlineStr">
        <is>
          <t>2023-10</t>
        </is>
      </c>
      <c r="D334" s="46" t="n">
        <v>2023</v>
      </c>
      <c r="E334" s="46" t="inlineStr">
        <is>
          <t>P-HB-004</t>
        </is>
      </c>
      <c r="F334" s="46" t="inlineStr">
        <is>
          <t>C-HB-09</t>
        </is>
      </c>
      <c r="G334" s="48" t="inlineStr">
        <is>
          <t>중국</t>
        </is>
      </c>
      <c r="H334" s="46" t="inlineStr">
        <is>
          <t>CN</t>
        </is>
      </c>
      <c r="I334" s="49" t="n">
        <v>9929</v>
      </c>
      <c r="J334" s="46" t="inlineStr">
        <is>
          <t>EA</t>
        </is>
      </c>
      <c r="K334" s="50" t="n">
        <v>10.92</v>
      </c>
      <c r="L334" s="50" t="n">
        <v>271117.73</v>
      </c>
      <c r="M334" s="46" t="inlineStr">
        <is>
          <t>USD</t>
        </is>
      </c>
      <c r="N334" s="46" t="inlineStr">
        <is>
          <t>FOB</t>
        </is>
      </c>
      <c r="O334" s="46" t="inlineStr">
        <is>
          <t>N</t>
        </is>
      </c>
      <c r="P334" s="50" t="n">
        <v>1351.5071</v>
      </c>
      <c r="Q334" s="49">
        <f>IF(OR(L334="",M334="",P334=""),"",L334*P334)</f>
        <v/>
      </c>
    </row>
    <row r="335" ht="15" customHeight="1" s="32">
      <c r="A335" s="46" t="inlineStr">
        <is>
          <t>R-HB-0334</t>
        </is>
      </c>
      <c r="B335" s="47" t="n">
        <v>45208</v>
      </c>
      <c r="C335" s="46" t="inlineStr">
        <is>
          <t>2023-10</t>
        </is>
      </c>
      <c r="D335" s="46" t="n">
        <v>2023</v>
      </c>
      <c r="E335" s="46" t="inlineStr">
        <is>
          <t>P-HB-002</t>
        </is>
      </c>
      <c r="F335" s="46" t="inlineStr">
        <is>
          <t>C-HB-01</t>
        </is>
      </c>
      <c r="G335" s="48" t="inlineStr">
        <is>
          <t>미국</t>
        </is>
      </c>
      <c r="H335" s="46" t="inlineStr">
        <is>
          <t>US</t>
        </is>
      </c>
      <c r="I335" s="49" t="n">
        <v>266</v>
      </c>
      <c r="J335" s="46" t="inlineStr">
        <is>
          <t>EA</t>
        </is>
      </c>
      <c r="K335" s="50" t="n">
        <v>0.59</v>
      </c>
      <c r="L335" s="50" t="n">
        <v>65338.74</v>
      </c>
      <c r="M335" s="46" t="inlineStr">
        <is>
          <t>USD</t>
        </is>
      </c>
      <c r="N335" s="46" t="inlineStr">
        <is>
          <t>FOB</t>
        </is>
      </c>
      <c r="O335" s="46" t="inlineStr">
        <is>
          <t>N</t>
        </is>
      </c>
      <c r="P335" s="50" t="n">
        <v>1351.5071</v>
      </c>
      <c r="Q335" s="49">
        <f>IF(OR(L335="",M335="",P335=""),"",L335*P335)</f>
        <v/>
      </c>
    </row>
    <row r="336" ht="15" customHeight="1" s="32">
      <c r="A336" s="46" t="inlineStr">
        <is>
          <t>R-HB-0335</t>
        </is>
      </c>
      <c r="B336" s="47" t="n">
        <v>45208</v>
      </c>
      <c r="C336" s="46" t="inlineStr">
        <is>
          <t>2023-10</t>
        </is>
      </c>
      <c r="D336" s="46" t="n">
        <v>2023</v>
      </c>
      <c r="E336" s="46" t="inlineStr">
        <is>
          <t>P-HB-001</t>
        </is>
      </c>
      <c r="F336" s="46" t="inlineStr">
        <is>
          <t>C-HB-05</t>
        </is>
      </c>
      <c r="G336" s="48" t="inlineStr">
        <is>
          <t>독일</t>
        </is>
      </c>
      <c r="H336" s="46" t="inlineStr">
        <is>
          <t>DE</t>
        </is>
      </c>
      <c r="I336" s="49" t="n">
        <v>124780</v>
      </c>
      <c r="J336" s="46" t="inlineStr">
        <is>
          <t>EA</t>
        </is>
      </c>
      <c r="K336" s="50" t="n">
        <v>56.15</v>
      </c>
      <c r="L336" s="50" t="n">
        <v>463721.42</v>
      </c>
      <c r="M336" s="46" t="inlineStr">
        <is>
          <t>USD</t>
        </is>
      </c>
      <c r="N336" s="46" t="inlineStr">
        <is>
          <t>FOB</t>
        </is>
      </c>
      <c r="O336" s="46" t="inlineStr">
        <is>
          <t>N</t>
        </is>
      </c>
      <c r="P336" s="50" t="n">
        <v>1351.5071</v>
      </c>
      <c r="Q336" s="49">
        <f>IF(OR(L336="",M336="",P336=""),"",L336*P336)</f>
        <v/>
      </c>
    </row>
    <row r="337" ht="15" customHeight="1" s="32">
      <c r="A337" s="46" t="inlineStr">
        <is>
          <t>R-HB-0336</t>
        </is>
      </c>
      <c r="B337" s="47" t="n">
        <v>45209</v>
      </c>
      <c r="C337" s="46" t="inlineStr">
        <is>
          <t>2023-10</t>
        </is>
      </c>
      <c r="D337" s="46" t="n">
        <v>2023</v>
      </c>
      <c r="E337" s="46" t="inlineStr">
        <is>
          <t>P-HB-001</t>
        </is>
      </c>
      <c r="F337" s="46" t="inlineStr">
        <is>
          <t>C-HB-08</t>
        </is>
      </c>
      <c r="G337" s="48" t="inlineStr">
        <is>
          <t>중국</t>
        </is>
      </c>
      <c r="H337" s="46" t="inlineStr">
        <is>
          <t>CN</t>
        </is>
      </c>
      <c r="I337" s="49" t="n">
        <v>139929</v>
      </c>
      <c r="J337" s="46" t="inlineStr">
        <is>
          <t>EA</t>
        </is>
      </c>
      <c r="K337" s="50" t="n">
        <v>62.97</v>
      </c>
      <c r="L337" s="50" t="n">
        <v>522342.78</v>
      </c>
      <c r="M337" s="46" t="inlineStr">
        <is>
          <t>USD</t>
        </is>
      </c>
      <c r="N337" s="46" t="inlineStr">
        <is>
          <t>FOB</t>
        </is>
      </c>
      <c r="O337" s="46" t="inlineStr">
        <is>
          <t>N</t>
        </is>
      </c>
      <c r="P337" s="50" t="n">
        <v>1351.5071</v>
      </c>
      <c r="Q337" s="49">
        <f>IF(OR(L337="",M337="",P337=""),"",L337*P337)</f>
        <v/>
      </c>
    </row>
    <row r="338" ht="15" customHeight="1" s="32">
      <c r="A338" s="46" t="inlineStr">
        <is>
          <t>R-HB-0337</t>
        </is>
      </c>
      <c r="B338" s="47" t="n">
        <v>45211</v>
      </c>
      <c r="C338" s="46" t="inlineStr">
        <is>
          <t>2023-10</t>
        </is>
      </c>
      <c r="D338" s="46" t="n">
        <v>2023</v>
      </c>
      <c r="E338" s="46" t="inlineStr">
        <is>
          <t>P-HB-001</t>
        </is>
      </c>
      <c r="F338" s="46" t="inlineStr">
        <is>
          <t>C-HB-07</t>
        </is>
      </c>
      <c r="G338" s="48" t="inlineStr">
        <is>
          <t>인도</t>
        </is>
      </c>
      <c r="H338" s="46" t="inlineStr">
        <is>
          <t>IN</t>
        </is>
      </c>
      <c r="I338" s="49" t="n">
        <v>74925</v>
      </c>
      <c r="J338" s="46" t="inlineStr">
        <is>
          <t>EA</t>
        </is>
      </c>
      <c r="K338" s="50" t="n">
        <v>33.72</v>
      </c>
      <c r="L338" s="50" t="n">
        <v>275924.11</v>
      </c>
      <c r="M338" s="46" t="inlineStr">
        <is>
          <t>USD</t>
        </is>
      </c>
      <c r="N338" s="46" t="inlineStr">
        <is>
          <t>FOB</t>
        </is>
      </c>
      <c r="O338" s="46" t="inlineStr">
        <is>
          <t>N</t>
        </is>
      </c>
      <c r="P338" s="50" t="n">
        <v>1351.5071</v>
      </c>
      <c r="Q338" s="49">
        <f>IF(OR(L338="",M338="",P338=""),"",L338*P338)</f>
        <v/>
      </c>
    </row>
    <row r="339" ht="15" customHeight="1" s="32">
      <c r="A339" s="46" t="inlineStr">
        <is>
          <t>R-HB-0338</t>
        </is>
      </c>
      <c r="B339" s="47" t="n">
        <v>45212</v>
      </c>
      <c r="C339" s="46" t="inlineStr">
        <is>
          <t>2023-10</t>
        </is>
      </c>
      <c r="D339" s="46" t="n">
        <v>2023</v>
      </c>
      <c r="E339" s="46" t="inlineStr">
        <is>
          <t>P-HB-001</t>
        </is>
      </c>
      <c r="F339" s="46" t="inlineStr">
        <is>
          <t>C-HB-09</t>
        </is>
      </c>
      <c r="G339" s="48" t="inlineStr">
        <is>
          <t>중국</t>
        </is>
      </c>
      <c r="H339" s="46" t="inlineStr">
        <is>
          <t>CN</t>
        </is>
      </c>
      <c r="I339" s="49" t="n">
        <v>90326</v>
      </c>
      <c r="J339" s="46" t="inlineStr">
        <is>
          <t>EA</t>
        </is>
      </c>
      <c r="K339" s="50" t="n">
        <v>40.65</v>
      </c>
      <c r="L339" s="50" t="n">
        <v>321527.2</v>
      </c>
      <c r="M339" s="46" t="inlineStr">
        <is>
          <t>USD</t>
        </is>
      </c>
      <c r="N339" s="46" t="inlineStr">
        <is>
          <t>FOB</t>
        </is>
      </c>
      <c r="O339" s="46" t="inlineStr">
        <is>
          <t>N</t>
        </is>
      </c>
      <c r="P339" s="50" t="n">
        <v>1351.5071</v>
      </c>
      <c r="Q339" s="49">
        <f>IF(OR(L339="",M339="",P339=""),"",L339*P339)</f>
        <v/>
      </c>
    </row>
    <row r="340" ht="15" customHeight="1" s="32">
      <c r="A340" s="46" t="inlineStr">
        <is>
          <t>R-HB-0339</t>
        </is>
      </c>
      <c r="B340" s="47" t="n">
        <v>45214</v>
      </c>
      <c r="C340" s="46" t="inlineStr">
        <is>
          <t>2023-10</t>
        </is>
      </c>
      <c r="D340" s="46" t="n">
        <v>2023</v>
      </c>
      <c r="E340" s="46" t="inlineStr">
        <is>
          <t>P-HB-003</t>
        </is>
      </c>
      <c r="F340" s="46" t="inlineStr">
        <is>
          <t>C-HB-01</t>
        </is>
      </c>
      <c r="G340" s="48" t="inlineStr">
        <is>
          <t>미국</t>
        </is>
      </c>
      <c r="H340" s="46" t="inlineStr">
        <is>
          <t>US</t>
        </is>
      </c>
      <c r="I340" s="49" t="n">
        <v>56023</v>
      </c>
      <c r="J340" s="46" t="inlineStr">
        <is>
          <t>EA</t>
        </is>
      </c>
      <c r="K340" s="50" t="n">
        <v>36.41</v>
      </c>
      <c r="L340" s="50" t="n">
        <v>289864.45</v>
      </c>
      <c r="M340" s="46" t="inlineStr">
        <is>
          <t>USD</t>
        </is>
      </c>
      <c r="N340" s="46" t="inlineStr">
        <is>
          <t>FOB</t>
        </is>
      </c>
      <c r="O340" s="46" t="inlineStr">
        <is>
          <t>N</t>
        </is>
      </c>
      <c r="P340" s="50" t="n">
        <v>1351.5071</v>
      </c>
      <c r="Q340" s="49">
        <f>IF(OR(L340="",M340="",P340=""),"",L340*P340)</f>
        <v/>
      </c>
    </row>
    <row r="341" ht="15" customHeight="1" s="32">
      <c r="A341" s="46" t="inlineStr">
        <is>
          <t>R-HB-0340</t>
        </is>
      </c>
      <c r="B341" s="47" t="n">
        <v>45214</v>
      </c>
      <c r="C341" s="46" t="inlineStr">
        <is>
          <t>2023-10</t>
        </is>
      </c>
      <c r="D341" s="46" t="n">
        <v>2023</v>
      </c>
      <c r="E341" s="46" t="inlineStr">
        <is>
          <t>P-HB-004</t>
        </is>
      </c>
      <c r="F341" s="46" t="inlineStr">
        <is>
          <t>C-HB-05</t>
        </is>
      </c>
      <c r="G341" s="48" t="inlineStr">
        <is>
          <t>독일</t>
        </is>
      </c>
      <c r="H341" s="46" t="inlineStr">
        <is>
          <t>DE</t>
        </is>
      </c>
      <c r="I341" s="49" t="n">
        <v>14085</v>
      </c>
      <c r="J341" s="46" t="inlineStr">
        <is>
          <t>EA</t>
        </is>
      </c>
      <c r="K341" s="50" t="n">
        <v>15.49</v>
      </c>
      <c r="L341" s="50" t="n">
        <v>409399.05</v>
      </c>
      <c r="M341" s="46" t="inlineStr">
        <is>
          <t>USD</t>
        </is>
      </c>
      <c r="N341" s="46" t="inlineStr">
        <is>
          <t>FOB</t>
        </is>
      </c>
      <c r="O341" s="46" t="inlineStr">
        <is>
          <t>N</t>
        </is>
      </c>
      <c r="P341" s="50" t="n">
        <v>1351.5071</v>
      </c>
      <c r="Q341" s="49">
        <f>IF(OR(L341="",M341="",P341=""),"",L341*P341)</f>
        <v/>
      </c>
    </row>
    <row r="342" ht="15" customHeight="1" s="32">
      <c r="A342" s="46" t="inlineStr">
        <is>
          <t>R-HB-0341</t>
        </is>
      </c>
      <c r="B342" s="47" t="n">
        <v>45214</v>
      </c>
      <c r="C342" s="46" t="inlineStr">
        <is>
          <t>2023-10</t>
        </is>
      </c>
      <c r="D342" s="46" t="n">
        <v>2023</v>
      </c>
      <c r="E342" s="46" t="inlineStr">
        <is>
          <t>P-HB-003</t>
        </is>
      </c>
      <c r="F342" s="46" t="inlineStr">
        <is>
          <t>C-HB-07</t>
        </is>
      </c>
      <c r="G342" s="48" t="inlineStr">
        <is>
          <t>인도</t>
        </is>
      </c>
      <c r="H342" s="46" t="inlineStr">
        <is>
          <t>IN</t>
        </is>
      </c>
      <c r="I342" s="49" t="n">
        <v>26642</v>
      </c>
      <c r="J342" s="46" t="inlineStr">
        <is>
          <t>EA</t>
        </is>
      </c>
      <c r="K342" s="50" t="n">
        <v>17.32</v>
      </c>
      <c r="L342" s="50" t="n">
        <v>135049.11</v>
      </c>
      <c r="M342" s="46" t="inlineStr">
        <is>
          <t>USD</t>
        </is>
      </c>
      <c r="N342" s="46" t="inlineStr">
        <is>
          <t>FOB</t>
        </is>
      </c>
      <c r="O342" s="46" t="inlineStr">
        <is>
          <t>N</t>
        </is>
      </c>
      <c r="P342" s="50" t="n">
        <v>1351.5071</v>
      </c>
      <c r="Q342" s="49">
        <f>IF(OR(L342="",M342="",P342=""),"",L342*P342)</f>
        <v/>
      </c>
    </row>
    <row r="343" ht="15" customHeight="1" s="32">
      <c r="A343" s="46" t="inlineStr">
        <is>
          <t>R-HB-0342</t>
        </is>
      </c>
      <c r="B343" s="47" t="n">
        <v>45215</v>
      </c>
      <c r="C343" s="46" t="inlineStr">
        <is>
          <t>2023-10</t>
        </is>
      </c>
      <c r="D343" s="46" t="n">
        <v>2023</v>
      </c>
      <c r="E343" s="46" t="inlineStr">
        <is>
          <t>P-HB-003</t>
        </is>
      </c>
      <c r="F343" s="46" t="inlineStr">
        <is>
          <t>C-HB-08</t>
        </is>
      </c>
      <c r="G343" s="48" t="inlineStr">
        <is>
          <t>중국</t>
        </is>
      </c>
      <c r="H343" s="46" t="inlineStr">
        <is>
          <t>CN</t>
        </is>
      </c>
      <c r="I343" s="49" t="n">
        <v>54533</v>
      </c>
      <c r="J343" s="46" t="inlineStr">
        <is>
          <t>EA</t>
        </is>
      </c>
      <c r="K343" s="50" t="n">
        <v>35.45</v>
      </c>
      <c r="L343" s="50" t="n">
        <v>271724.46</v>
      </c>
      <c r="M343" s="46" t="inlineStr">
        <is>
          <t>USD</t>
        </is>
      </c>
      <c r="N343" s="46" t="inlineStr">
        <is>
          <t>FOB</t>
        </is>
      </c>
      <c r="O343" s="46" t="inlineStr">
        <is>
          <t>N</t>
        </is>
      </c>
      <c r="P343" s="50" t="n">
        <v>1351.5071</v>
      </c>
      <c r="Q343" s="49">
        <f>IF(OR(L343="",M343="",P343=""),"",L343*P343)</f>
        <v/>
      </c>
    </row>
    <row r="344" ht="15" customHeight="1" s="32">
      <c r="A344" s="46" t="inlineStr">
        <is>
          <t>R-HB-0343</t>
        </is>
      </c>
      <c r="B344" s="47" t="n">
        <v>45216</v>
      </c>
      <c r="C344" s="46" t="inlineStr">
        <is>
          <t>2023-10</t>
        </is>
      </c>
      <c r="D344" s="46" t="n">
        <v>2023</v>
      </c>
      <c r="E344" s="46" t="inlineStr">
        <is>
          <t>P-HB-004</t>
        </is>
      </c>
      <c r="F344" s="46" t="inlineStr">
        <is>
          <t>C-HB-03</t>
        </is>
      </c>
      <c r="G344" s="48" t="inlineStr">
        <is>
          <t>멕시코</t>
        </is>
      </c>
      <c r="H344" s="46" t="inlineStr">
        <is>
          <t>MX</t>
        </is>
      </c>
      <c r="I344" s="49" t="n">
        <v>3324</v>
      </c>
      <c r="J344" s="46" t="inlineStr">
        <is>
          <t>EA</t>
        </is>
      </c>
      <c r="K344" s="50" t="n">
        <v>3.66</v>
      </c>
      <c r="L344" s="50" t="n">
        <v>91678.98</v>
      </c>
      <c r="M344" s="46" t="inlineStr">
        <is>
          <t>USD</t>
        </is>
      </c>
      <c r="N344" s="46" t="inlineStr">
        <is>
          <t>FOB</t>
        </is>
      </c>
      <c r="O344" s="46" t="inlineStr">
        <is>
          <t>N</t>
        </is>
      </c>
      <c r="P344" s="50" t="n">
        <v>1351.5071</v>
      </c>
      <c r="Q344" s="49">
        <f>IF(OR(L344="",M344="",P344=""),"",L344*P344)</f>
        <v/>
      </c>
    </row>
    <row r="345" ht="15" customHeight="1" s="32">
      <c r="A345" s="46" t="inlineStr">
        <is>
          <t>R-HB-0344</t>
        </is>
      </c>
      <c r="B345" s="47" t="n">
        <v>45216</v>
      </c>
      <c r="C345" s="46" t="inlineStr">
        <is>
          <t>2023-10</t>
        </is>
      </c>
      <c r="D345" s="46" t="n">
        <v>2023</v>
      </c>
      <c r="E345" s="46" t="inlineStr">
        <is>
          <t>P-HB-002</t>
        </is>
      </c>
      <c r="F345" s="46" t="inlineStr">
        <is>
          <t>C-HB-07</t>
        </is>
      </c>
      <c r="G345" s="48" t="inlineStr">
        <is>
          <t>인도</t>
        </is>
      </c>
      <c r="H345" s="46" t="inlineStr">
        <is>
          <t>IN</t>
        </is>
      </c>
      <c r="I345" s="49" t="n">
        <v>121</v>
      </c>
      <c r="J345" s="46" t="inlineStr">
        <is>
          <t>EA</t>
        </is>
      </c>
      <c r="K345" s="50" t="n">
        <v>0.27</v>
      </c>
      <c r="L345" s="50" t="n">
        <v>30889.14</v>
      </c>
      <c r="M345" s="46" t="inlineStr">
        <is>
          <t>USD</t>
        </is>
      </c>
      <c r="N345" s="46" t="inlineStr">
        <is>
          <t>FOB</t>
        </is>
      </c>
      <c r="O345" s="46" t="inlineStr">
        <is>
          <t>N</t>
        </is>
      </c>
      <c r="P345" s="50" t="n">
        <v>1351.5071</v>
      </c>
      <c r="Q345" s="49">
        <f>IF(OR(L345="",M345="",P345=""),"",L345*P345)</f>
        <v/>
      </c>
    </row>
    <row r="346" ht="15" customHeight="1" s="32">
      <c r="A346" s="46" t="inlineStr">
        <is>
          <t>R-HB-0345</t>
        </is>
      </c>
      <c r="B346" s="47" t="n">
        <v>45217</v>
      </c>
      <c r="C346" s="46" t="inlineStr">
        <is>
          <t>2023-10</t>
        </is>
      </c>
      <c r="D346" s="46" t="n">
        <v>2023</v>
      </c>
      <c r="E346" s="46" t="inlineStr">
        <is>
          <t>P-HB-001</t>
        </is>
      </c>
      <c r="F346" s="46" t="inlineStr">
        <is>
          <t>C-HB-01</t>
        </is>
      </c>
      <c r="G346" s="48" t="inlineStr">
        <is>
          <t>미국</t>
        </is>
      </c>
      <c r="H346" s="46" t="inlineStr">
        <is>
          <t>US</t>
        </is>
      </c>
      <c r="I346" s="49" t="n">
        <v>148942</v>
      </c>
      <c r="J346" s="46" t="inlineStr">
        <is>
          <t>EA</t>
        </is>
      </c>
      <c r="K346" s="50" t="n">
        <v>67.02</v>
      </c>
      <c r="L346" s="50" t="n">
        <v>566605.53</v>
      </c>
      <c r="M346" s="46" t="inlineStr">
        <is>
          <t>USD</t>
        </is>
      </c>
      <c r="N346" s="46" t="inlineStr">
        <is>
          <t>FOB</t>
        </is>
      </c>
      <c r="O346" s="46" t="inlineStr">
        <is>
          <t>N</t>
        </is>
      </c>
      <c r="P346" s="50" t="n">
        <v>1351.5071</v>
      </c>
      <c r="Q346" s="49">
        <f>IF(OR(L346="",M346="",P346=""),"",L346*P346)</f>
        <v/>
      </c>
    </row>
    <row r="347" ht="15" customHeight="1" s="32">
      <c r="A347" s="46" t="inlineStr">
        <is>
          <t>R-HB-0346</t>
        </is>
      </c>
      <c r="B347" s="47" t="n">
        <v>45217</v>
      </c>
      <c r="C347" s="46" t="inlineStr">
        <is>
          <t>2023-10</t>
        </is>
      </c>
      <c r="D347" s="46" t="n">
        <v>2023</v>
      </c>
      <c r="E347" s="46" t="inlineStr">
        <is>
          <t>P-HB-001</t>
        </is>
      </c>
      <c r="F347" s="46" t="inlineStr">
        <is>
          <t>C-HB-02</t>
        </is>
      </c>
      <c r="G347" s="48" t="inlineStr">
        <is>
          <t>미국</t>
        </is>
      </c>
      <c r="H347" s="46" t="inlineStr">
        <is>
          <t>US</t>
        </is>
      </c>
      <c r="I347" s="49" t="n">
        <v>92727</v>
      </c>
      <c r="J347" s="46" t="inlineStr">
        <is>
          <t>EA</t>
        </is>
      </c>
      <c r="K347" s="50" t="n">
        <v>41.73</v>
      </c>
      <c r="L347" s="50" t="n">
        <v>342630.63</v>
      </c>
      <c r="M347" s="46" t="inlineStr">
        <is>
          <t>USD</t>
        </is>
      </c>
      <c r="N347" s="46" t="inlineStr">
        <is>
          <t>FOB</t>
        </is>
      </c>
      <c r="O347" s="46" t="inlineStr">
        <is>
          <t>N</t>
        </is>
      </c>
      <c r="P347" s="50" t="n">
        <v>1351.5071</v>
      </c>
      <c r="Q347" s="49">
        <f>IF(OR(L347="",M347="",P347=""),"",L347*P347)</f>
        <v/>
      </c>
    </row>
    <row r="348" ht="15" customHeight="1" s="32">
      <c r="A348" s="46" t="inlineStr">
        <is>
          <t>R-HB-0347</t>
        </is>
      </c>
      <c r="B348" s="47" t="n">
        <v>45217</v>
      </c>
      <c r="C348" s="46" t="inlineStr">
        <is>
          <t>2023-10</t>
        </is>
      </c>
      <c r="D348" s="46" t="n">
        <v>2023</v>
      </c>
      <c r="E348" s="46" t="inlineStr">
        <is>
          <t>P-HB-001</t>
        </is>
      </c>
      <c r="F348" s="46" t="inlineStr">
        <is>
          <t>C-HB-03</t>
        </is>
      </c>
      <c r="G348" s="48" t="inlineStr">
        <is>
          <t>멕시코</t>
        </is>
      </c>
      <c r="H348" s="46" t="inlineStr">
        <is>
          <t>MX</t>
        </is>
      </c>
      <c r="I348" s="49" t="n">
        <v>28798</v>
      </c>
      <c r="J348" s="46" t="inlineStr">
        <is>
          <t>EA</t>
        </is>
      </c>
      <c r="K348" s="50" t="n">
        <v>12.96</v>
      </c>
      <c r="L348" s="50" t="n">
        <v>107554.75</v>
      </c>
      <c r="M348" s="46" t="inlineStr">
        <is>
          <t>USD</t>
        </is>
      </c>
      <c r="N348" s="46" t="inlineStr">
        <is>
          <t>FOB</t>
        </is>
      </c>
      <c r="O348" s="46" t="inlineStr">
        <is>
          <t>N</t>
        </is>
      </c>
      <c r="P348" s="50" t="n">
        <v>1351.5071</v>
      </c>
      <c r="Q348" s="49">
        <f>IF(OR(L348="",M348="",P348=""),"",L348*P348)</f>
        <v/>
      </c>
    </row>
    <row r="349" ht="15" customHeight="1" s="32">
      <c r="A349" s="46" t="inlineStr">
        <is>
          <t>R-HB-0348</t>
        </is>
      </c>
      <c r="B349" s="47" t="n">
        <v>45218</v>
      </c>
      <c r="C349" s="46" t="inlineStr">
        <is>
          <t>2023-10</t>
        </is>
      </c>
      <c r="D349" s="46" t="n">
        <v>2023</v>
      </c>
      <c r="E349" s="46" t="inlineStr">
        <is>
          <t>P-HB-001</t>
        </is>
      </c>
      <c r="F349" s="46" t="inlineStr">
        <is>
          <t>C-HB-04</t>
        </is>
      </c>
      <c r="G349" s="48" t="inlineStr">
        <is>
          <t>캐나다</t>
        </is>
      </c>
      <c r="H349" s="46" t="inlineStr">
        <is>
          <t>CA</t>
        </is>
      </c>
      <c r="I349" s="49" t="n">
        <v>13987</v>
      </c>
      <c r="J349" s="46" t="inlineStr">
        <is>
          <t>EA</t>
        </is>
      </c>
      <c r="K349" s="50" t="n">
        <v>6.29</v>
      </c>
      <c r="L349" s="50" t="n">
        <v>50429.24</v>
      </c>
      <c r="M349" s="46" t="inlineStr">
        <is>
          <t>USD</t>
        </is>
      </c>
      <c r="N349" s="46" t="inlineStr">
        <is>
          <t>FOB</t>
        </is>
      </c>
      <c r="O349" s="46" t="inlineStr">
        <is>
          <t>N</t>
        </is>
      </c>
      <c r="P349" s="50" t="n">
        <v>1351.5071</v>
      </c>
      <c r="Q349" s="49">
        <f>IF(OR(L349="",M349="",P349=""),"",L349*P349)</f>
        <v/>
      </c>
    </row>
    <row r="350" ht="15" customHeight="1" s="32">
      <c r="A350" s="46" t="inlineStr">
        <is>
          <t>R-HB-0349</t>
        </is>
      </c>
      <c r="B350" s="47" t="n">
        <v>45219</v>
      </c>
      <c r="C350" s="46" t="inlineStr">
        <is>
          <t>2023-10</t>
        </is>
      </c>
      <c r="D350" s="46" t="n">
        <v>2023</v>
      </c>
      <c r="E350" s="46" t="inlineStr">
        <is>
          <t>P-HB-003</t>
        </is>
      </c>
      <c r="F350" s="46" t="inlineStr">
        <is>
          <t>C-HB-04</t>
        </is>
      </c>
      <c r="G350" s="48" t="inlineStr">
        <is>
          <t>캐나다</t>
        </is>
      </c>
      <c r="H350" s="46" t="inlineStr">
        <is>
          <t>CA</t>
        </is>
      </c>
      <c r="I350" s="49" t="n">
        <v>5431</v>
      </c>
      <c r="J350" s="46" t="inlineStr">
        <is>
          <t>EA</t>
        </is>
      </c>
      <c r="K350" s="50" t="n">
        <v>3.53</v>
      </c>
      <c r="L350" s="50" t="n">
        <v>27146.93</v>
      </c>
      <c r="M350" s="46" t="inlineStr">
        <is>
          <t>USD</t>
        </is>
      </c>
      <c r="N350" s="46" t="inlineStr">
        <is>
          <t>FOB</t>
        </is>
      </c>
      <c r="O350" s="46" t="inlineStr">
        <is>
          <t>N</t>
        </is>
      </c>
      <c r="P350" s="50" t="n">
        <v>1351.5071</v>
      </c>
      <c r="Q350" s="49">
        <f>IF(OR(L350="",M350="",P350=""),"",L350*P350)</f>
        <v/>
      </c>
    </row>
    <row r="351" ht="15" customHeight="1" s="32">
      <c r="A351" s="46" t="inlineStr">
        <is>
          <t>R-HB-0350</t>
        </is>
      </c>
      <c r="B351" s="47" t="n">
        <v>45220</v>
      </c>
      <c r="C351" s="46" t="inlineStr">
        <is>
          <t>2023-10</t>
        </is>
      </c>
      <c r="D351" s="46" t="n">
        <v>2023</v>
      </c>
      <c r="E351" s="46" t="inlineStr">
        <is>
          <t>P-HB-002</t>
        </is>
      </c>
      <c r="F351" s="46" t="inlineStr">
        <is>
          <t>C-HB-02</t>
        </is>
      </c>
      <c r="G351" s="48" t="inlineStr">
        <is>
          <t>미국</t>
        </is>
      </c>
      <c r="H351" s="46" t="inlineStr">
        <is>
          <t>US</t>
        </is>
      </c>
      <c r="I351" s="49" t="n">
        <v>144</v>
      </c>
      <c r="J351" s="46" t="inlineStr">
        <is>
          <t>EA</t>
        </is>
      </c>
      <c r="K351" s="50" t="n">
        <v>0.32</v>
      </c>
      <c r="L351" s="50" t="n">
        <v>35209.43</v>
      </c>
      <c r="M351" s="46" t="inlineStr">
        <is>
          <t>USD</t>
        </is>
      </c>
      <c r="N351" s="46" t="inlineStr">
        <is>
          <t>FOB</t>
        </is>
      </c>
      <c r="O351" s="46" t="inlineStr">
        <is>
          <t>N</t>
        </is>
      </c>
      <c r="P351" s="50" t="n">
        <v>1351.5071</v>
      </c>
      <c r="Q351" s="49">
        <f>IF(OR(L351="",M351="",P351=""),"",L351*P351)</f>
        <v/>
      </c>
    </row>
    <row r="352" ht="15" customHeight="1" s="32">
      <c r="A352" s="46" t="inlineStr">
        <is>
          <t>R-HB-0351</t>
        </is>
      </c>
      <c r="B352" s="47" t="n">
        <v>45220</v>
      </c>
      <c r="C352" s="46" t="inlineStr">
        <is>
          <t>2023-10</t>
        </is>
      </c>
      <c r="D352" s="46" t="n">
        <v>2023</v>
      </c>
      <c r="E352" s="46" t="inlineStr">
        <is>
          <t>P-HB-004</t>
        </is>
      </c>
      <c r="F352" s="46" t="inlineStr">
        <is>
          <t>C-HB-08</t>
        </is>
      </c>
      <c r="G352" s="48" t="inlineStr">
        <is>
          <t>중국</t>
        </is>
      </c>
      <c r="H352" s="46" t="inlineStr">
        <is>
          <t>CN</t>
        </is>
      </c>
      <c r="I352" s="49" t="n">
        <v>15115</v>
      </c>
      <c r="J352" s="46" t="inlineStr">
        <is>
          <t>EA</t>
        </is>
      </c>
      <c r="K352" s="50" t="n">
        <v>16.63</v>
      </c>
      <c r="L352" s="50" t="n">
        <v>418670.4</v>
      </c>
      <c r="M352" s="46" t="inlineStr">
        <is>
          <t>USD</t>
        </is>
      </c>
      <c r="N352" s="46" t="inlineStr">
        <is>
          <t>FOB</t>
        </is>
      </c>
      <c r="O352" s="46" t="inlineStr">
        <is>
          <t>N</t>
        </is>
      </c>
      <c r="P352" s="50" t="n">
        <v>1351.5071</v>
      </c>
      <c r="Q352" s="49">
        <f>IF(OR(L352="",M352="",P352=""),"",L352*P352)</f>
        <v/>
      </c>
    </row>
    <row r="353" ht="15" customHeight="1" s="32">
      <c r="A353" s="46" t="inlineStr">
        <is>
          <t>R-HB-0352</t>
        </is>
      </c>
      <c r="B353" s="47" t="n">
        <v>45221</v>
      </c>
      <c r="C353" s="46" t="inlineStr">
        <is>
          <t>2023-10</t>
        </is>
      </c>
      <c r="D353" s="46" t="n">
        <v>2023</v>
      </c>
      <c r="E353" s="46" t="inlineStr">
        <is>
          <t>P-HB-003</t>
        </is>
      </c>
      <c r="F353" s="46" t="inlineStr">
        <is>
          <t>C-HB-05</t>
        </is>
      </c>
      <c r="G353" s="48" t="inlineStr">
        <is>
          <t>독일</t>
        </is>
      </c>
      <c r="H353" s="46" t="inlineStr">
        <is>
          <t>DE</t>
        </is>
      </c>
      <c r="I353" s="49" t="n">
        <v>49064</v>
      </c>
      <c r="J353" s="46" t="inlineStr">
        <is>
          <t>EA</t>
        </is>
      </c>
      <c r="K353" s="50" t="n">
        <v>31.89</v>
      </c>
      <c r="L353" s="50" t="n">
        <v>250439.02</v>
      </c>
      <c r="M353" s="46" t="inlineStr">
        <is>
          <t>USD</t>
        </is>
      </c>
      <c r="N353" s="46" t="inlineStr">
        <is>
          <t>FOB</t>
        </is>
      </c>
      <c r="O353" s="46" t="inlineStr">
        <is>
          <t>N</t>
        </is>
      </c>
      <c r="P353" s="50" t="n">
        <v>1351.5071</v>
      </c>
      <c r="Q353" s="49">
        <f>IF(OR(L353="",M353="",P353=""),"",L353*P353)</f>
        <v/>
      </c>
    </row>
    <row r="354" ht="15" customHeight="1" s="32">
      <c r="A354" s="46" t="inlineStr">
        <is>
          <t>R-HB-0353</t>
        </is>
      </c>
      <c r="B354" s="47" t="n">
        <v>45221</v>
      </c>
      <c r="C354" s="46" t="inlineStr">
        <is>
          <t>2023-10</t>
        </is>
      </c>
      <c r="D354" s="46" t="n">
        <v>2023</v>
      </c>
      <c r="E354" s="46" t="inlineStr">
        <is>
          <t>P-HB-003</t>
        </is>
      </c>
      <c r="F354" s="46" t="inlineStr">
        <is>
          <t>C-HB-06</t>
        </is>
      </c>
      <c r="G354" s="48" t="inlineStr">
        <is>
          <t>베트남</t>
        </is>
      </c>
      <c r="H354" s="46" t="inlineStr">
        <is>
          <t>VN</t>
        </is>
      </c>
      <c r="I354" s="49" t="n">
        <v>40879</v>
      </c>
      <c r="J354" s="46" t="inlineStr">
        <is>
          <t>EA</t>
        </is>
      </c>
      <c r="K354" s="50" t="n">
        <v>26.57</v>
      </c>
      <c r="L354" s="50" t="n">
        <v>212826.98</v>
      </c>
      <c r="M354" s="46" t="inlineStr">
        <is>
          <t>USD</t>
        </is>
      </c>
      <c r="N354" s="46" t="inlineStr">
        <is>
          <t>FOB</t>
        </is>
      </c>
      <c r="O354" s="46" t="inlineStr">
        <is>
          <t>N</t>
        </is>
      </c>
      <c r="P354" s="50" t="n">
        <v>1351.5071</v>
      </c>
      <c r="Q354" s="49">
        <f>IF(OR(L354="",M354="",P354=""),"",L354*P354)</f>
        <v/>
      </c>
    </row>
    <row r="355" ht="15" customHeight="1" s="32">
      <c r="A355" s="46" t="inlineStr">
        <is>
          <t>R-HB-0354</t>
        </is>
      </c>
      <c r="B355" s="47" t="n">
        <v>45222</v>
      </c>
      <c r="C355" s="46" t="inlineStr">
        <is>
          <t>2023-10</t>
        </is>
      </c>
      <c r="D355" s="46" t="n">
        <v>2023</v>
      </c>
      <c r="E355" s="46" t="inlineStr">
        <is>
          <t>P-HB-002</t>
        </is>
      </c>
      <c r="F355" s="46" t="inlineStr">
        <is>
          <t>C-HB-06</t>
        </is>
      </c>
      <c r="G355" s="48" t="inlineStr">
        <is>
          <t>베트남</t>
        </is>
      </c>
      <c r="H355" s="46" t="inlineStr">
        <is>
          <t>VN</t>
        </is>
      </c>
      <c r="I355" s="49" t="n">
        <v>166</v>
      </c>
      <c r="J355" s="46" t="inlineStr">
        <is>
          <t>EA</t>
        </is>
      </c>
      <c r="K355" s="50" t="n">
        <v>0.37</v>
      </c>
      <c r="L355" s="50" t="n">
        <v>43060.73</v>
      </c>
      <c r="M355" s="46" t="inlineStr">
        <is>
          <t>USD</t>
        </is>
      </c>
      <c r="N355" s="46" t="inlineStr">
        <is>
          <t>FOB</t>
        </is>
      </c>
      <c r="O355" s="46" t="inlineStr">
        <is>
          <t>N</t>
        </is>
      </c>
      <c r="P355" s="50" t="n">
        <v>1351.5071</v>
      </c>
      <c r="Q355" s="49">
        <f>IF(OR(L355="",M355="",P355=""),"",L355*P355)</f>
        <v/>
      </c>
    </row>
    <row r="356" ht="15" customHeight="1" s="32">
      <c r="A356" s="46" t="inlineStr">
        <is>
          <t>R-HB-0355</t>
        </is>
      </c>
      <c r="B356" s="47" t="n">
        <v>45223</v>
      </c>
      <c r="C356" s="46" t="inlineStr">
        <is>
          <t>2023-10</t>
        </is>
      </c>
      <c r="D356" s="46" t="n">
        <v>2023</v>
      </c>
      <c r="E356" s="46" t="inlineStr">
        <is>
          <t>P-HB-004</t>
        </is>
      </c>
      <c r="F356" s="46" t="inlineStr">
        <is>
          <t>C-HB-01</t>
        </is>
      </c>
      <c r="G356" s="48" t="inlineStr">
        <is>
          <t>미국</t>
        </is>
      </c>
      <c r="H356" s="46" t="inlineStr">
        <is>
          <t>US</t>
        </is>
      </c>
      <c r="I356" s="49" t="n">
        <v>16622</v>
      </c>
      <c r="J356" s="46" t="inlineStr">
        <is>
          <t>EA</t>
        </is>
      </c>
      <c r="K356" s="50" t="n">
        <v>18.28</v>
      </c>
      <c r="L356" s="50" t="n">
        <v>471029</v>
      </c>
      <c r="M356" s="46" t="inlineStr">
        <is>
          <t>USD</t>
        </is>
      </c>
      <c r="N356" s="46" t="inlineStr">
        <is>
          <t>FOB</t>
        </is>
      </c>
      <c r="O356" s="46" t="inlineStr">
        <is>
          <t>N</t>
        </is>
      </c>
      <c r="P356" s="50" t="n">
        <v>1351.5071</v>
      </c>
      <c r="Q356" s="49">
        <f>IF(OR(L356="",M356="",P356=""),"",L356*P356)</f>
        <v/>
      </c>
    </row>
    <row r="357" ht="15" customHeight="1" s="32">
      <c r="A357" s="46" t="inlineStr">
        <is>
          <t>R-HB-0356</t>
        </is>
      </c>
      <c r="B357" s="47" t="n">
        <v>45223</v>
      </c>
      <c r="C357" s="46" t="inlineStr">
        <is>
          <t>2023-10</t>
        </is>
      </c>
      <c r="D357" s="46" t="n">
        <v>2023</v>
      </c>
      <c r="E357" s="46" t="inlineStr">
        <is>
          <t>P-HB-002</t>
        </is>
      </c>
      <c r="F357" s="46" t="inlineStr">
        <is>
          <t>C-HB-03</t>
        </is>
      </c>
      <c r="G357" s="48" t="inlineStr">
        <is>
          <t>멕시코</t>
        </is>
      </c>
      <c r="H357" s="46" t="inlineStr">
        <is>
          <t>MX</t>
        </is>
      </c>
      <c r="I357" s="49" t="n">
        <v>43</v>
      </c>
      <c r="J357" s="46" t="inlineStr">
        <is>
          <t>EA</t>
        </is>
      </c>
      <c r="K357" s="50" t="n">
        <v>0.09</v>
      </c>
      <c r="L357" s="50" t="n">
        <v>10912.05</v>
      </c>
      <c r="M357" s="46" t="inlineStr">
        <is>
          <t>USD</t>
        </is>
      </c>
      <c r="N357" s="46" t="inlineStr">
        <is>
          <t>FOB</t>
        </is>
      </c>
      <c r="O357" s="46" t="inlineStr">
        <is>
          <t>N</t>
        </is>
      </c>
      <c r="P357" s="50" t="n">
        <v>1351.5071</v>
      </c>
      <c r="Q357" s="49">
        <f>IF(OR(L357="",M357="",P357=""),"",L357*P357)</f>
        <v/>
      </c>
    </row>
    <row r="358" ht="15" customHeight="1" s="32">
      <c r="A358" s="46" t="inlineStr">
        <is>
          <t>R-HB-0357</t>
        </is>
      </c>
      <c r="B358" s="47" t="n">
        <v>45223</v>
      </c>
      <c r="C358" s="46" t="inlineStr">
        <is>
          <t>2023-10</t>
        </is>
      </c>
      <c r="D358" s="46" t="n">
        <v>2023</v>
      </c>
      <c r="E358" s="46" t="inlineStr">
        <is>
          <t>P-HB-004</t>
        </is>
      </c>
      <c r="F358" s="46" t="inlineStr">
        <is>
          <t>C-HB-06</t>
        </is>
      </c>
      <c r="G358" s="48" t="inlineStr">
        <is>
          <t>베트남</t>
        </is>
      </c>
      <c r="H358" s="46" t="inlineStr">
        <is>
          <t>VN</t>
        </is>
      </c>
      <c r="I358" s="49" t="n">
        <v>11804</v>
      </c>
      <c r="J358" s="46" t="inlineStr">
        <is>
          <t>EA</t>
        </is>
      </c>
      <c r="K358" s="50" t="n">
        <v>12.98</v>
      </c>
      <c r="L358" s="50" t="n">
        <v>339405.37</v>
      </c>
      <c r="M358" s="46" t="inlineStr">
        <is>
          <t>USD</t>
        </is>
      </c>
      <c r="N358" s="46" t="inlineStr">
        <is>
          <t>FOB</t>
        </is>
      </c>
      <c r="O358" s="46" t="inlineStr">
        <is>
          <t>N</t>
        </is>
      </c>
      <c r="P358" s="50" t="n">
        <v>1351.5071</v>
      </c>
      <c r="Q358" s="49">
        <f>IF(OR(L358="",M358="",P358=""),"",L358*P358)</f>
        <v/>
      </c>
    </row>
    <row r="359" ht="15" customHeight="1" s="32">
      <c r="A359" s="46" t="inlineStr">
        <is>
          <t>R-HB-0358</t>
        </is>
      </c>
      <c r="B359" s="47" t="n">
        <v>45224</v>
      </c>
      <c r="C359" s="46" t="inlineStr">
        <is>
          <t>2023-10</t>
        </is>
      </c>
      <c r="D359" s="46" t="n">
        <v>2023</v>
      </c>
      <c r="E359" s="46" t="inlineStr">
        <is>
          <t>P-HB-002</t>
        </is>
      </c>
      <c r="F359" s="46" t="inlineStr">
        <is>
          <t>C-HB-05</t>
        </is>
      </c>
      <c r="G359" s="48" t="inlineStr">
        <is>
          <t>독일</t>
        </is>
      </c>
      <c r="H359" s="46" t="inlineStr">
        <is>
          <t>DE</t>
        </is>
      </c>
      <c r="I359" s="49" t="n">
        <v>225</v>
      </c>
      <c r="J359" s="46" t="inlineStr">
        <is>
          <t>EA</t>
        </is>
      </c>
      <c r="K359" s="50" t="n">
        <v>0.5</v>
      </c>
      <c r="L359" s="50" t="n">
        <v>58661.54</v>
      </c>
      <c r="M359" s="46" t="inlineStr">
        <is>
          <t>USD</t>
        </is>
      </c>
      <c r="N359" s="46" t="inlineStr">
        <is>
          <t>FOB</t>
        </is>
      </c>
      <c r="O359" s="46" t="inlineStr">
        <is>
          <t>N</t>
        </is>
      </c>
      <c r="P359" s="50" t="n">
        <v>1351.5071</v>
      </c>
      <c r="Q359" s="49">
        <f>IF(OR(L359="",M359="",P359=""),"",L359*P359)</f>
        <v/>
      </c>
    </row>
    <row r="360" ht="15" customHeight="1" s="32">
      <c r="A360" s="46" t="inlineStr">
        <is>
          <t>R-HB-0359</t>
        </is>
      </c>
      <c r="B360" s="47" t="n">
        <v>45224</v>
      </c>
      <c r="C360" s="46" t="inlineStr">
        <is>
          <t>2023-10</t>
        </is>
      </c>
      <c r="D360" s="46" t="n">
        <v>2023</v>
      </c>
      <c r="E360" s="46" t="inlineStr">
        <is>
          <t>P-HB-002</t>
        </is>
      </c>
      <c r="F360" s="46" t="inlineStr">
        <is>
          <t>C-HB-08</t>
        </is>
      </c>
      <c r="G360" s="48" t="inlineStr">
        <is>
          <t>중국</t>
        </is>
      </c>
      <c r="H360" s="46" t="inlineStr">
        <is>
          <t>CN</t>
        </is>
      </c>
      <c r="I360" s="49" t="n">
        <v>230</v>
      </c>
      <c r="J360" s="46" t="inlineStr">
        <is>
          <t>EA</t>
        </is>
      </c>
      <c r="K360" s="50" t="n">
        <v>0.51</v>
      </c>
      <c r="L360" s="50" t="n">
        <v>59749.25</v>
      </c>
      <c r="M360" s="46" t="inlineStr">
        <is>
          <t>USD</t>
        </is>
      </c>
      <c r="N360" s="46" t="inlineStr">
        <is>
          <t>FOB</t>
        </is>
      </c>
      <c r="O360" s="46" t="inlineStr">
        <is>
          <t>N</t>
        </is>
      </c>
      <c r="P360" s="50" t="n">
        <v>1351.5071</v>
      </c>
      <c r="Q360" s="49">
        <f>IF(OR(L360="",M360="",P360=""),"",L360*P360)</f>
        <v/>
      </c>
    </row>
    <row r="361" ht="15" customHeight="1" s="32">
      <c r="A361" s="46" t="inlineStr">
        <is>
          <t>R-HB-0360</t>
        </is>
      </c>
      <c r="B361" s="47" t="n">
        <v>45226</v>
      </c>
      <c r="C361" s="46" t="inlineStr">
        <is>
          <t>2023-10</t>
        </is>
      </c>
      <c r="D361" s="46" t="n">
        <v>2023</v>
      </c>
      <c r="E361" s="46" t="inlineStr">
        <is>
          <t>P-HB-004</t>
        </is>
      </c>
      <c r="F361" s="46" t="inlineStr">
        <is>
          <t>C-HB-04</t>
        </is>
      </c>
      <c r="G361" s="48" t="inlineStr">
        <is>
          <t>캐나다</t>
        </is>
      </c>
      <c r="H361" s="46" t="inlineStr">
        <is>
          <t>CA</t>
        </is>
      </c>
      <c r="I361" s="49" t="n">
        <v>1611</v>
      </c>
      <c r="J361" s="46" t="inlineStr">
        <is>
          <t>EA</t>
        </is>
      </c>
      <c r="K361" s="50" t="n">
        <v>1.77</v>
      </c>
      <c r="L361" s="50" t="n">
        <v>45408.26</v>
      </c>
      <c r="M361" s="46" t="inlineStr">
        <is>
          <t>USD</t>
        </is>
      </c>
      <c r="N361" s="46" t="inlineStr">
        <is>
          <t>FOB</t>
        </is>
      </c>
      <c r="O361" s="46" t="inlineStr">
        <is>
          <t>N</t>
        </is>
      </c>
      <c r="P361" s="50" t="n">
        <v>1351.5071</v>
      </c>
      <c r="Q361" s="49">
        <f>IF(OR(L361="",M361="",P361=""),"",L361*P361)</f>
        <v/>
      </c>
    </row>
    <row r="362" ht="15" customHeight="1" s="32">
      <c r="A362" s="46" t="inlineStr">
        <is>
          <t>R-HB-0361</t>
        </is>
      </c>
      <c r="B362" s="47" t="n">
        <v>45233</v>
      </c>
      <c r="C362" s="46" t="inlineStr">
        <is>
          <t>2023-11</t>
        </is>
      </c>
      <c r="D362" s="46" t="n">
        <v>2023</v>
      </c>
      <c r="E362" s="46" t="inlineStr">
        <is>
          <t>P-HB-003</t>
        </is>
      </c>
      <c r="F362" s="46" t="inlineStr">
        <is>
          <t>C-HB-03</t>
        </is>
      </c>
      <c r="G362" s="48" t="inlineStr">
        <is>
          <t>멕시코</t>
        </is>
      </c>
      <c r="H362" s="46" t="inlineStr">
        <is>
          <t>MX</t>
        </is>
      </c>
      <c r="I362" s="49" t="n">
        <v>11457</v>
      </c>
      <c r="J362" s="46" t="inlineStr">
        <is>
          <t>EA</t>
        </is>
      </c>
      <c r="K362" s="50" t="n">
        <v>7.45</v>
      </c>
      <c r="L362" s="50" t="n">
        <v>62169.16</v>
      </c>
      <c r="M362" s="46" t="inlineStr">
        <is>
          <t>USD</t>
        </is>
      </c>
      <c r="N362" s="46" t="inlineStr">
        <is>
          <t>FOB</t>
        </is>
      </c>
      <c r="O362" s="46" t="inlineStr">
        <is>
          <t>N</t>
        </is>
      </c>
      <c r="P362" s="50" t="n">
        <v>1308.154</v>
      </c>
      <c r="Q362" s="49">
        <f>IF(OR(L362="",M362="",P362=""),"",L362*P362)</f>
        <v/>
      </c>
    </row>
    <row r="363" ht="15" customHeight="1" s="32">
      <c r="A363" s="46" t="inlineStr">
        <is>
          <t>R-HB-0362</t>
        </is>
      </c>
      <c r="B363" s="47" t="n">
        <v>45235</v>
      </c>
      <c r="C363" s="46" t="inlineStr">
        <is>
          <t>2023-11</t>
        </is>
      </c>
      <c r="D363" s="46" t="n">
        <v>2023</v>
      </c>
      <c r="E363" s="46" t="inlineStr">
        <is>
          <t>P-HB-002</t>
        </is>
      </c>
      <c r="F363" s="46" t="inlineStr">
        <is>
          <t>C-HB-07</t>
        </is>
      </c>
      <c r="G363" s="48" t="inlineStr">
        <is>
          <t>인도</t>
        </is>
      </c>
      <c r="H363" s="46" t="inlineStr">
        <is>
          <t>IN</t>
        </is>
      </c>
      <c r="I363" s="49" t="n">
        <v>130</v>
      </c>
      <c r="J363" s="46" t="inlineStr">
        <is>
          <t>EA</t>
        </is>
      </c>
      <c r="K363" s="50" t="n">
        <v>0.29</v>
      </c>
      <c r="L363" s="50" t="n">
        <v>35601.99</v>
      </c>
      <c r="M363" s="46" t="inlineStr">
        <is>
          <t>USD</t>
        </is>
      </c>
      <c r="N363" s="46" t="inlineStr">
        <is>
          <t>FOB</t>
        </is>
      </c>
      <c r="O363" s="46" t="inlineStr">
        <is>
          <t>N</t>
        </is>
      </c>
      <c r="P363" s="50" t="n">
        <v>1308.154</v>
      </c>
      <c r="Q363" s="49">
        <f>IF(OR(L363="",M363="",P363=""),"",L363*P363)</f>
        <v/>
      </c>
    </row>
    <row r="364" ht="15" customHeight="1" s="32">
      <c r="A364" s="46" t="inlineStr">
        <is>
          <t>R-HB-0363</t>
        </is>
      </c>
      <c r="B364" s="47" t="n">
        <v>45238</v>
      </c>
      <c r="C364" s="46" t="inlineStr">
        <is>
          <t>2023-11</t>
        </is>
      </c>
      <c r="D364" s="46" t="n">
        <v>2023</v>
      </c>
      <c r="E364" s="46" t="inlineStr">
        <is>
          <t>P-HB-001</t>
        </is>
      </c>
      <c r="F364" s="46" t="inlineStr">
        <is>
          <t>C-HB-03</t>
        </is>
      </c>
      <c r="G364" s="48" t="inlineStr">
        <is>
          <t>멕시코</t>
        </is>
      </c>
      <c r="H364" s="46" t="inlineStr">
        <is>
          <t>MX</t>
        </is>
      </c>
      <c r="I364" s="49" t="n">
        <v>27127</v>
      </c>
      <c r="J364" s="46" t="inlineStr">
        <is>
          <t>EA</t>
        </is>
      </c>
      <c r="K364" s="50" t="n">
        <v>12.21</v>
      </c>
      <c r="L364" s="50" t="n">
        <v>107026.45</v>
      </c>
      <c r="M364" s="46" t="inlineStr">
        <is>
          <t>USD</t>
        </is>
      </c>
      <c r="N364" s="46" t="inlineStr">
        <is>
          <t>FOB</t>
        </is>
      </c>
      <c r="O364" s="46" t="inlineStr">
        <is>
          <t>N</t>
        </is>
      </c>
      <c r="P364" s="50" t="n">
        <v>1308.154</v>
      </c>
      <c r="Q364" s="49">
        <f>IF(OR(L364="",M364="",P364=""),"",L364*P364)</f>
        <v/>
      </c>
    </row>
    <row r="365" ht="15" customHeight="1" s="32">
      <c r="A365" s="46" t="inlineStr">
        <is>
          <t>R-HB-0364</t>
        </is>
      </c>
      <c r="B365" s="47" t="n">
        <v>45238</v>
      </c>
      <c r="C365" s="46" t="inlineStr">
        <is>
          <t>2023-11</t>
        </is>
      </c>
      <c r="D365" s="46" t="n">
        <v>2023</v>
      </c>
      <c r="E365" s="46" t="inlineStr">
        <is>
          <t>P-HB-002</t>
        </is>
      </c>
      <c r="F365" s="46" t="inlineStr">
        <is>
          <t>C-HB-03</t>
        </is>
      </c>
      <c r="G365" s="48" t="inlineStr">
        <is>
          <t>멕시코</t>
        </is>
      </c>
      <c r="H365" s="46" t="inlineStr">
        <is>
          <t>MX</t>
        </is>
      </c>
      <c r="I365" s="49" t="n">
        <v>48</v>
      </c>
      <c r="J365" s="46" t="inlineStr">
        <is>
          <t>EA</t>
        </is>
      </c>
      <c r="K365" s="50" t="n">
        <v>0.11</v>
      </c>
      <c r="L365" s="50" t="n">
        <v>12490.43</v>
      </c>
      <c r="M365" s="46" t="inlineStr">
        <is>
          <t>USD</t>
        </is>
      </c>
      <c r="N365" s="46" t="inlineStr">
        <is>
          <t>FOB</t>
        </is>
      </c>
      <c r="O365" s="46" t="inlineStr">
        <is>
          <t>N</t>
        </is>
      </c>
      <c r="P365" s="50" t="n">
        <v>1308.154</v>
      </c>
      <c r="Q365" s="49">
        <f>IF(OR(L365="",M365="",P365=""),"",L365*P365)</f>
        <v/>
      </c>
    </row>
    <row r="366" ht="15" customHeight="1" s="32">
      <c r="A366" s="46" t="inlineStr">
        <is>
          <t>R-HB-0365</t>
        </is>
      </c>
      <c r="B366" s="47" t="n">
        <v>45238</v>
      </c>
      <c r="C366" s="46" t="inlineStr">
        <is>
          <t>2023-11</t>
        </is>
      </c>
      <c r="D366" s="46" t="n">
        <v>2023</v>
      </c>
      <c r="E366" s="46" t="inlineStr">
        <is>
          <t>P-HB-002</t>
        </is>
      </c>
      <c r="F366" s="46" t="inlineStr">
        <is>
          <t>C-HB-06</t>
        </is>
      </c>
      <c r="G366" s="48" t="inlineStr">
        <is>
          <t>베트남</t>
        </is>
      </c>
      <c r="H366" s="46" t="inlineStr">
        <is>
          <t>VN</t>
        </is>
      </c>
      <c r="I366" s="49" t="n">
        <v>177</v>
      </c>
      <c r="J366" s="46" t="inlineStr">
        <is>
          <t>EA</t>
        </is>
      </c>
      <c r="K366" s="50" t="n">
        <v>0.39</v>
      </c>
      <c r="L366" s="50" t="n">
        <v>47117.52</v>
      </c>
      <c r="M366" s="46" t="inlineStr">
        <is>
          <t>USD</t>
        </is>
      </c>
      <c r="N366" s="46" t="inlineStr">
        <is>
          <t>FOB</t>
        </is>
      </c>
      <c r="O366" s="46" t="inlineStr">
        <is>
          <t>N</t>
        </is>
      </c>
      <c r="P366" s="50" t="n">
        <v>1308.154</v>
      </c>
      <c r="Q366" s="49">
        <f>IF(OR(L366="",M366="",P366=""),"",L366*P366)</f>
        <v/>
      </c>
    </row>
    <row r="367" ht="15" customHeight="1" s="32">
      <c r="A367" s="46" t="inlineStr">
        <is>
          <t>R-HB-0366</t>
        </is>
      </c>
      <c r="B367" s="47" t="n">
        <v>45239</v>
      </c>
      <c r="C367" s="46" t="inlineStr">
        <is>
          <t>2023-11</t>
        </is>
      </c>
      <c r="D367" s="46" t="n">
        <v>2023</v>
      </c>
      <c r="E367" s="46" t="inlineStr">
        <is>
          <t>P-HB-004</t>
        </is>
      </c>
      <c r="F367" s="46" t="inlineStr">
        <is>
          <t>C-HB-02</t>
        </is>
      </c>
      <c r="G367" s="48" t="inlineStr">
        <is>
          <t>미국</t>
        </is>
      </c>
      <c r="H367" s="46" t="inlineStr">
        <is>
          <t>US</t>
        </is>
      </c>
      <c r="I367" s="49" t="n">
        <v>10470</v>
      </c>
      <c r="J367" s="46" t="inlineStr">
        <is>
          <t>EA</t>
        </is>
      </c>
      <c r="K367" s="50" t="n">
        <v>11.52</v>
      </c>
      <c r="L367" s="50" t="n">
        <v>303056.76</v>
      </c>
      <c r="M367" s="46" t="inlineStr">
        <is>
          <t>USD</t>
        </is>
      </c>
      <c r="N367" s="46" t="inlineStr">
        <is>
          <t>FOB</t>
        </is>
      </c>
      <c r="O367" s="46" t="inlineStr">
        <is>
          <t>N</t>
        </is>
      </c>
      <c r="P367" s="50" t="n">
        <v>1308.154</v>
      </c>
      <c r="Q367" s="49">
        <f>IF(OR(L367="",M367="",P367=""),"",L367*P367)</f>
        <v/>
      </c>
    </row>
    <row r="368" ht="15" customHeight="1" s="32">
      <c r="A368" s="46" t="inlineStr">
        <is>
          <t>R-HB-0367</t>
        </is>
      </c>
      <c r="B368" s="47" t="n">
        <v>45239</v>
      </c>
      <c r="C368" s="46" t="inlineStr">
        <is>
          <t>2023-11</t>
        </is>
      </c>
      <c r="D368" s="46" t="n">
        <v>2023</v>
      </c>
      <c r="E368" s="46" t="inlineStr">
        <is>
          <t>P-HB-001</t>
        </is>
      </c>
      <c r="F368" s="46" t="inlineStr">
        <is>
          <t>C-HB-08</t>
        </is>
      </c>
      <c r="G368" s="48" t="inlineStr">
        <is>
          <t>중국</t>
        </is>
      </c>
      <c r="H368" s="46" t="inlineStr">
        <is>
          <t>CN</t>
        </is>
      </c>
      <c r="I368" s="49" t="n">
        <v>166334</v>
      </c>
      <c r="J368" s="46" t="inlineStr">
        <is>
          <t>EA</t>
        </is>
      </c>
      <c r="K368" s="50" t="n">
        <v>74.84999999999999</v>
      </c>
      <c r="L368" s="50" t="n">
        <v>619164.25</v>
      </c>
      <c r="M368" s="46" t="inlineStr">
        <is>
          <t>USD</t>
        </is>
      </c>
      <c r="N368" s="46" t="inlineStr">
        <is>
          <t>FOB</t>
        </is>
      </c>
      <c r="O368" s="46" t="inlineStr">
        <is>
          <t>N</t>
        </is>
      </c>
      <c r="P368" s="50" t="n">
        <v>1308.154</v>
      </c>
      <c r="Q368" s="49">
        <f>IF(OR(L368="",M368="",P368=""),"",L368*P368)</f>
        <v/>
      </c>
    </row>
    <row r="369" ht="15" customHeight="1" s="32">
      <c r="A369" s="46" t="inlineStr">
        <is>
          <t>R-HB-0368</t>
        </is>
      </c>
      <c r="B369" s="47" t="n">
        <v>45240</v>
      </c>
      <c r="C369" s="46" t="inlineStr">
        <is>
          <t>2023-11</t>
        </is>
      </c>
      <c r="D369" s="46" t="n">
        <v>2023</v>
      </c>
      <c r="E369" s="46" t="inlineStr">
        <is>
          <t>P-HB-004</t>
        </is>
      </c>
      <c r="F369" s="46" t="inlineStr">
        <is>
          <t>C-HB-01</t>
        </is>
      </c>
      <c r="G369" s="48" t="inlineStr">
        <is>
          <t>미국</t>
        </is>
      </c>
      <c r="H369" s="46" t="inlineStr">
        <is>
          <t>US</t>
        </is>
      </c>
      <c r="I369" s="49" t="n">
        <v>17972</v>
      </c>
      <c r="J369" s="46" t="inlineStr">
        <is>
          <t>EA</t>
        </is>
      </c>
      <c r="K369" s="50" t="n">
        <v>19.77</v>
      </c>
      <c r="L369" s="50" t="n">
        <v>492166.77</v>
      </c>
      <c r="M369" s="46" t="inlineStr">
        <is>
          <t>USD</t>
        </is>
      </c>
      <c r="N369" s="46" t="inlineStr">
        <is>
          <t>FOB</t>
        </is>
      </c>
      <c r="O369" s="46" t="inlineStr">
        <is>
          <t>N</t>
        </is>
      </c>
      <c r="P369" s="50" t="n">
        <v>1308.154</v>
      </c>
      <c r="Q369" s="49">
        <f>IF(OR(L369="",M369="",P369=""),"",L369*P369)</f>
        <v/>
      </c>
    </row>
    <row r="370" ht="15" customHeight="1" s="32">
      <c r="A370" s="46" t="inlineStr">
        <is>
          <t>R-HB-0369</t>
        </is>
      </c>
      <c r="B370" s="47" t="n">
        <v>45240</v>
      </c>
      <c r="C370" s="46" t="inlineStr">
        <is>
          <t>2023-11</t>
        </is>
      </c>
      <c r="D370" s="46" t="n">
        <v>2023</v>
      </c>
      <c r="E370" s="46" t="inlineStr">
        <is>
          <t>P-HB-003</t>
        </is>
      </c>
      <c r="F370" s="46" t="inlineStr">
        <is>
          <t>C-HB-06</t>
        </is>
      </c>
      <c r="G370" s="48" t="inlineStr">
        <is>
          <t>베트남</t>
        </is>
      </c>
      <c r="H370" s="46" t="inlineStr">
        <is>
          <t>VN</t>
        </is>
      </c>
      <c r="I370" s="49" t="n">
        <v>40922</v>
      </c>
      <c r="J370" s="46" t="inlineStr">
        <is>
          <t>EA</t>
        </is>
      </c>
      <c r="K370" s="50" t="n">
        <v>26.6</v>
      </c>
      <c r="L370" s="50" t="n">
        <v>229431.49</v>
      </c>
      <c r="M370" s="46" t="inlineStr">
        <is>
          <t>USD</t>
        </is>
      </c>
      <c r="N370" s="46" t="inlineStr">
        <is>
          <t>FOB</t>
        </is>
      </c>
      <c r="O370" s="46" t="inlineStr">
        <is>
          <t>N</t>
        </is>
      </c>
      <c r="P370" s="50" t="n">
        <v>1308.154</v>
      </c>
      <c r="Q370" s="49">
        <f>IF(OR(L370="",M370="",P370=""),"",L370*P370)</f>
        <v/>
      </c>
    </row>
    <row r="371" ht="15" customHeight="1" s="32">
      <c r="A371" s="46" t="inlineStr">
        <is>
          <t>R-HB-0370</t>
        </is>
      </c>
      <c r="B371" s="47" t="n">
        <v>45241</v>
      </c>
      <c r="C371" s="46" t="inlineStr">
        <is>
          <t>2023-11</t>
        </is>
      </c>
      <c r="D371" s="46" t="n">
        <v>2023</v>
      </c>
      <c r="E371" s="46" t="inlineStr">
        <is>
          <t>P-HB-002</t>
        </is>
      </c>
      <c r="F371" s="46" t="inlineStr">
        <is>
          <t>C-HB-09</t>
        </is>
      </c>
      <c r="G371" s="48" t="inlineStr">
        <is>
          <t>중국</t>
        </is>
      </c>
      <c r="H371" s="46" t="inlineStr">
        <is>
          <t>CN</t>
        </is>
      </c>
      <c r="I371" s="49" t="n">
        <v>175</v>
      </c>
      <c r="J371" s="46" t="inlineStr">
        <is>
          <t>EA</t>
        </is>
      </c>
      <c r="K371" s="50" t="n">
        <v>0.39</v>
      </c>
      <c r="L371" s="50" t="n">
        <v>45112.03</v>
      </c>
      <c r="M371" s="46" t="inlineStr">
        <is>
          <t>USD</t>
        </is>
      </c>
      <c r="N371" s="46" t="inlineStr">
        <is>
          <t>FOB</t>
        </is>
      </c>
      <c r="O371" s="46" t="inlineStr">
        <is>
          <t>N</t>
        </is>
      </c>
      <c r="P371" s="50" t="n">
        <v>1308.154</v>
      </c>
      <c r="Q371" s="49">
        <f>IF(OR(L371="",M371="",P371=""),"",L371*P371)</f>
        <v/>
      </c>
    </row>
    <row r="372" ht="15" customHeight="1" s="32">
      <c r="A372" s="46" t="inlineStr">
        <is>
          <t>R-HB-0371</t>
        </is>
      </c>
      <c r="B372" s="47" t="n">
        <v>45242</v>
      </c>
      <c r="C372" s="46" t="inlineStr">
        <is>
          <t>2023-11</t>
        </is>
      </c>
      <c r="D372" s="46" t="n">
        <v>2023</v>
      </c>
      <c r="E372" s="46" t="inlineStr">
        <is>
          <t>P-HB-002</t>
        </is>
      </c>
      <c r="F372" s="46" t="inlineStr">
        <is>
          <t>C-HB-05</t>
        </is>
      </c>
      <c r="G372" s="48" t="inlineStr">
        <is>
          <t>독일</t>
        </is>
      </c>
      <c r="H372" s="46" t="inlineStr">
        <is>
          <t>DE</t>
        </is>
      </c>
      <c r="I372" s="49" t="n">
        <v>236</v>
      </c>
      <c r="J372" s="46" t="inlineStr">
        <is>
          <t>EA</t>
        </is>
      </c>
      <c r="K372" s="50" t="n">
        <v>0.52</v>
      </c>
      <c r="L372" s="50" t="n">
        <v>62688.42</v>
      </c>
      <c r="M372" s="46" t="inlineStr">
        <is>
          <t>USD</t>
        </is>
      </c>
      <c r="N372" s="46" t="inlineStr">
        <is>
          <t>FOB</t>
        </is>
      </c>
      <c r="O372" s="46" t="inlineStr">
        <is>
          <t>N</t>
        </is>
      </c>
      <c r="P372" s="50" t="n">
        <v>1308.154</v>
      </c>
      <c r="Q372" s="49">
        <f>IF(OR(L372="",M372="",P372=""),"",L372*P372)</f>
        <v/>
      </c>
    </row>
    <row r="373" ht="15" customHeight="1" s="32">
      <c r="A373" s="46" t="inlineStr">
        <is>
          <t>R-HB-0372</t>
        </is>
      </c>
      <c r="B373" s="47" t="n">
        <v>45242</v>
      </c>
      <c r="C373" s="46" t="inlineStr">
        <is>
          <t>2023-11</t>
        </is>
      </c>
      <c r="D373" s="46" t="n">
        <v>2023</v>
      </c>
      <c r="E373" s="46" t="inlineStr">
        <is>
          <t>P-HB-001</t>
        </is>
      </c>
      <c r="F373" s="46" t="inlineStr">
        <is>
          <t>C-HB-07</t>
        </is>
      </c>
      <c r="G373" s="48" t="inlineStr">
        <is>
          <t>인도</t>
        </is>
      </c>
      <c r="H373" s="46" t="inlineStr">
        <is>
          <t>IN</t>
        </is>
      </c>
      <c r="I373" s="49" t="n">
        <v>73516</v>
      </c>
      <c r="J373" s="46" t="inlineStr">
        <is>
          <t>EA</t>
        </is>
      </c>
      <c r="K373" s="50" t="n">
        <v>33.08</v>
      </c>
      <c r="L373" s="50" t="n">
        <v>277946.7</v>
      </c>
      <c r="M373" s="46" t="inlineStr">
        <is>
          <t>USD</t>
        </is>
      </c>
      <c r="N373" s="46" t="inlineStr">
        <is>
          <t>FOB</t>
        </is>
      </c>
      <c r="O373" s="46" t="inlineStr">
        <is>
          <t>N</t>
        </is>
      </c>
      <c r="P373" s="50" t="n">
        <v>1308.154</v>
      </c>
      <c r="Q373" s="49">
        <f>IF(OR(L373="",M373="",P373=""),"",L373*P373)</f>
        <v/>
      </c>
    </row>
    <row r="374" ht="15" customHeight="1" s="32">
      <c r="A374" s="46" t="inlineStr">
        <is>
          <t>R-HB-0373</t>
        </is>
      </c>
      <c r="B374" s="47" t="n">
        <v>45243</v>
      </c>
      <c r="C374" s="46" t="inlineStr">
        <is>
          <t>2023-11</t>
        </is>
      </c>
      <c r="D374" s="46" t="n">
        <v>2023</v>
      </c>
      <c r="E374" s="46" t="inlineStr">
        <is>
          <t>P-HB-004</t>
        </is>
      </c>
      <c r="F374" s="46" t="inlineStr">
        <is>
          <t>C-HB-07</t>
        </is>
      </c>
      <c r="G374" s="48" t="inlineStr">
        <is>
          <t>인도</t>
        </is>
      </c>
      <c r="H374" s="46" t="inlineStr">
        <is>
          <t>IN</t>
        </is>
      </c>
      <c r="I374" s="49" t="n">
        <v>8985</v>
      </c>
      <c r="J374" s="46" t="inlineStr">
        <is>
          <t>EA</t>
        </is>
      </c>
      <c r="K374" s="50" t="n">
        <v>9.880000000000001</v>
      </c>
      <c r="L374" s="50" t="n">
        <v>250302.77</v>
      </c>
      <c r="M374" s="46" t="inlineStr">
        <is>
          <t>USD</t>
        </is>
      </c>
      <c r="N374" s="46" t="inlineStr">
        <is>
          <t>FOB</t>
        </is>
      </c>
      <c r="O374" s="46" t="inlineStr">
        <is>
          <t>N</t>
        </is>
      </c>
      <c r="P374" s="50" t="n">
        <v>1308.154</v>
      </c>
      <c r="Q374" s="49">
        <f>IF(OR(L374="",M374="",P374=""),"",L374*P374)</f>
        <v/>
      </c>
    </row>
    <row r="375" ht="15" customHeight="1" s="32">
      <c r="A375" s="46" t="inlineStr">
        <is>
          <t>R-HB-0374</t>
        </is>
      </c>
      <c r="B375" s="47" t="n">
        <v>45244</v>
      </c>
      <c r="C375" s="46" t="inlineStr">
        <is>
          <t>2023-11</t>
        </is>
      </c>
      <c r="D375" s="46" t="n">
        <v>2023</v>
      </c>
      <c r="E375" s="46" t="inlineStr">
        <is>
          <t>P-HB-002</t>
        </is>
      </c>
      <c r="F375" s="46" t="inlineStr">
        <is>
          <t>C-HB-02</t>
        </is>
      </c>
      <c r="G375" s="48" t="inlineStr">
        <is>
          <t>미국</t>
        </is>
      </c>
      <c r="H375" s="46" t="inlineStr">
        <is>
          <t>US</t>
        </is>
      </c>
      <c r="I375" s="49" t="n">
        <v>154</v>
      </c>
      <c r="J375" s="46" t="inlineStr">
        <is>
          <t>EA</t>
        </is>
      </c>
      <c r="K375" s="50" t="n">
        <v>0.34</v>
      </c>
      <c r="L375" s="50" t="n">
        <v>41907.76</v>
      </c>
      <c r="M375" s="46" t="inlineStr">
        <is>
          <t>USD</t>
        </is>
      </c>
      <c r="N375" s="46" t="inlineStr">
        <is>
          <t>FOB</t>
        </is>
      </c>
      <c r="O375" s="46" t="inlineStr">
        <is>
          <t>N</t>
        </is>
      </c>
      <c r="P375" s="50" t="n">
        <v>1308.154</v>
      </c>
      <c r="Q375" s="49">
        <f>IF(OR(L375="",M375="",P375=""),"",L375*P375)</f>
        <v/>
      </c>
    </row>
    <row r="376" ht="15" customHeight="1" s="32">
      <c r="A376" s="46" t="inlineStr">
        <is>
          <t>R-HB-0375</t>
        </is>
      </c>
      <c r="B376" s="47" t="n">
        <v>45244</v>
      </c>
      <c r="C376" s="46" t="inlineStr">
        <is>
          <t>2023-11</t>
        </is>
      </c>
      <c r="D376" s="46" t="n">
        <v>2023</v>
      </c>
      <c r="E376" s="46" t="inlineStr">
        <is>
          <t>P-HB-004</t>
        </is>
      </c>
      <c r="F376" s="46" t="inlineStr">
        <is>
          <t>C-HB-04</t>
        </is>
      </c>
      <c r="G376" s="48" t="inlineStr">
        <is>
          <t>캐나다</t>
        </is>
      </c>
      <c r="H376" s="46" t="inlineStr">
        <is>
          <t>CA</t>
        </is>
      </c>
      <c r="I376" s="49" t="n">
        <v>1907</v>
      </c>
      <c r="J376" s="46" t="inlineStr">
        <is>
          <t>EA</t>
        </is>
      </c>
      <c r="K376" s="50" t="n">
        <v>2.1</v>
      </c>
      <c r="L376" s="50" t="n">
        <v>52201.95</v>
      </c>
      <c r="M376" s="46" t="inlineStr">
        <is>
          <t>USD</t>
        </is>
      </c>
      <c r="N376" s="46" t="inlineStr">
        <is>
          <t>FOB</t>
        </is>
      </c>
      <c r="O376" s="46" t="inlineStr">
        <is>
          <t>N</t>
        </is>
      </c>
      <c r="P376" s="50" t="n">
        <v>1308.154</v>
      </c>
      <c r="Q376" s="49">
        <f>IF(OR(L376="",M376="",P376=""),"",L376*P376)</f>
        <v/>
      </c>
    </row>
    <row r="377" ht="15" customHeight="1" s="32">
      <c r="A377" s="46" t="inlineStr">
        <is>
          <t>R-HB-0376</t>
        </is>
      </c>
      <c r="B377" s="47" t="n">
        <v>45246</v>
      </c>
      <c r="C377" s="46" t="inlineStr">
        <is>
          <t>2023-11</t>
        </is>
      </c>
      <c r="D377" s="46" t="n">
        <v>2023</v>
      </c>
      <c r="E377" s="46" t="inlineStr">
        <is>
          <t>P-HB-004</t>
        </is>
      </c>
      <c r="F377" s="46" t="inlineStr">
        <is>
          <t>C-HB-09</t>
        </is>
      </c>
      <c r="G377" s="48" t="inlineStr">
        <is>
          <t>중국</t>
        </is>
      </c>
      <c r="H377" s="46" t="inlineStr">
        <is>
          <t>CN</t>
        </is>
      </c>
      <c r="I377" s="49" t="n">
        <v>12618</v>
      </c>
      <c r="J377" s="46" t="inlineStr">
        <is>
          <t>EA</t>
        </is>
      </c>
      <c r="K377" s="50" t="n">
        <v>13.88</v>
      </c>
      <c r="L377" s="50" t="n">
        <v>345137.96</v>
      </c>
      <c r="M377" s="46" t="inlineStr">
        <is>
          <t>USD</t>
        </is>
      </c>
      <c r="N377" s="46" t="inlineStr">
        <is>
          <t>FOB</t>
        </is>
      </c>
      <c r="O377" s="46" t="inlineStr">
        <is>
          <t>N</t>
        </is>
      </c>
      <c r="P377" s="50" t="n">
        <v>1308.154</v>
      </c>
      <c r="Q377" s="49">
        <f>IF(OR(L377="",M377="",P377=""),"",L377*P377)</f>
        <v/>
      </c>
    </row>
    <row r="378" ht="15" customHeight="1" s="32">
      <c r="A378" s="46" t="inlineStr">
        <is>
          <t>R-HB-0377</t>
        </is>
      </c>
      <c r="B378" s="47" t="n">
        <v>45247</v>
      </c>
      <c r="C378" s="46" t="inlineStr">
        <is>
          <t>2023-11</t>
        </is>
      </c>
      <c r="D378" s="46" t="n">
        <v>2023</v>
      </c>
      <c r="E378" s="46" t="inlineStr">
        <is>
          <t>P-HB-004</t>
        </is>
      </c>
      <c r="F378" s="46" t="inlineStr">
        <is>
          <t>C-HB-08</t>
        </is>
      </c>
      <c r="G378" s="48" t="inlineStr">
        <is>
          <t>중국</t>
        </is>
      </c>
      <c r="H378" s="46" t="inlineStr">
        <is>
          <t>CN</t>
        </is>
      </c>
      <c r="I378" s="49" t="n">
        <v>17916</v>
      </c>
      <c r="J378" s="46" t="inlineStr">
        <is>
          <t>EA</t>
        </is>
      </c>
      <c r="K378" s="50" t="n">
        <v>19.71</v>
      </c>
      <c r="L378" s="50" t="n">
        <v>509485.02</v>
      </c>
      <c r="M378" s="46" t="inlineStr">
        <is>
          <t>USD</t>
        </is>
      </c>
      <c r="N378" s="46" t="inlineStr">
        <is>
          <t>FOB</t>
        </is>
      </c>
      <c r="O378" s="46" t="inlineStr">
        <is>
          <t>N</t>
        </is>
      </c>
      <c r="P378" s="50" t="n">
        <v>1308.154</v>
      </c>
      <c r="Q378" s="49">
        <f>IF(OR(L378="",M378="",P378=""),"",L378*P378)</f>
        <v/>
      </c>
    </row>
    <row r="379" ht="15" customHeight="1" s="32">
      <c r="A379" s="46" t="inlineStr">
        <is>
          <t>R-HB-0378</t>
        </is>
      </c>
      <c r="B379" s="47" t="n">
        <v>45248</v>
      </c>
      <c r="C379" s="46" t="inlineStr">
        <is>
          <t>2023-11</t>
        </is>
      </c>
      <c r="D379" s="46" t="n">
        <v>2023</v>
      </c>
      <c r="E379" s="46" t="inlineStr">
        <is>
          <t>P-HB-001</t>
        </is>
      </c>
      <c r="F379" s="46" t="inlineStr">
        <is>
          <t>C-HB-06</t>
        </is>
      </c>
      <c r="G379" s="48" t="inlineStr">
        <is>
          <t>베트남</t>
        </is>
      </c>
      <c r="H379" s="46" t="inlineStr">
        <is>
          <t>VN</t>
        </is>
      </c>
      <c r="I379" s="49" t="n">
        <v>118242</v>
      </c>
      <c r="J379" s="46" t="inlineStr">
        <is>
          <t>EA</t>
        </is>
      </c>
      <c r="K379" s="50" t="n">
        <v>53.21</v>
      </c>
      <c r="L379" s="50" t="n">
        <v>470718.8</v>
      </c>
      <c r="M379" s="46" t="inlineStr">
        <is>
          <t>USD</t>
        </is>
      </c>
      <c r="N379" s="46" t="inlineStr">
        <is>
          <t>FOB</t>
        </is>
      </c>
      <c r="O379" s="46" t="inlineStr">
        <is>
          <t>N</t>
        </is>
      </c>
      <c r="P379" s="50" t="n">
        <v>1308.154</v>
      </c>
      <c r="Q379" s="49">
        <f>IF(OR(L379="",M379="",P379=""),"",L379*P379)</f>
        <v/>
      </c>
    </row>
    <row r="380" ht="15" customHeight="1" s="32">
      <c r="A380" s="46" t="inlineStr">
        <is>
          <t>R-HB-0379</t>
        </is>
      </c>
      <c r="B380" s="47" t="n">
        <v>45248</v>
      </c>
      <c r="C380" s="46" t="inlineStr">
        <is>
          <t>2023-11</t>
        </is>
      </c>
      <c r="D380" s="46" t="n">
        <v>2023</v>
      </c>
      <c r="E380" s="46" t="inlineStr">
        <is>
          <t>P-HB-003</t>
        </is>
      </c>
      <c r="F380" s="46" t="inlineStr">
        <is>
          <t>C-HB-08</t>
        </is>
      </c>
      <c r="G380" s="48" t="inlineStr">
        <is>
          <t>중국</t>
        </is>
      </c>
      <c r="H380" s="46" t="inlineStr">
        <is>
          <t>CN</t>
        </is>
      </c>
      <c r="I380" s="49" t="n">
        <v>50163</v>
      </c>
      <c r="J380" s="46" t="inlineStr">
        <is>
          <t>EA</t>
        </is>
      </c>
      <c r="K380" s="50" t="n">
        <v>32.61</v>
      </c>
      <c r="L380" s="50" t="n">
        <v>279446.31</v>
      </c>
      <c r="M380" s="46" t="inlineStr">
        <is>
          <t>USD</t>
        </is>
      </c>
      <c r="N380" s="46" t="inlineStr">
        <is>
          <t>FOB</t>
        </is>
      </c>
      <c r="O380" s="46" t="inlineStr">
        <is>
          <t>N</t>
        </is>
      </c>
      <c r="P380" s="50" t="n">
        <v>1308.154</v>
      </c>
      <c r="Q380" s="49">
        <f>IF(OR(L380="",M380="",P380=""),"",L380*P380)</f>
        <v/>
      </c>
    </row>
    <row r="381" ht="15" customHeight="1" s="32">
      <c r="A381" s="46" t="inlineStr">
        <is>
          <t>R-HB-0380</t>
        </is>
      </c>
      <c r="B381" s="47" t="n">
        <v>45248</v>
      </c>
      <c r="C381" s="46" t="inlineStr">
        <is>
          <t>2023-11</t>
        </is>
      </c>
      <c r="D381" s="46" t="n">
        <v>2023</v>
      </c>
      <c r="E381" s="46" t="inlineStr">
        <is>
          <t>P-HB-001</t>
        </is>
      </c>
      <c r="F381" s="46" t="inlineStr">
        <is>
          <t>C-HB-09</t>
        </is>
      </c>
      <c r="G381" s="48" t="inlineStr">
        <is>
          <t>중국</t>
        </is>
      </c>
      <c r="H381" s="46" t="inlineStr">
        <is>
          <t>CN</t>
        </is>
      </c>
      <c r="I381" s="49" t="n">
        <v>102737</v>
      </c>
      <c r="J381" s="46" t="inlineStr">
        <is>
          <t>EA</t>
        </is>
      </c>
      <c r="K381" s="50" t="n">
        <v>46.23</v>
      </c>
      <c r="L381" s="50" t="n">
        <v>403671.33</v>
      </c>
      <c r="M381" s="46" t="inlineStr">
        <is>
          <t>USD</t>
        </is>
      </c>
      <c r="N381" s="46" t="inlineStr">
        <is>
          <t>FOB</t>
        </is>
      </c>
      <c r="O381" s="46" t="inlineStr">
        <is>
          <t>N</t>
        </is>
      </c>
      <c r="P381" s="50" t="n">
        <v>1308.154</v>
      </c>
      <c r="Q381" s="49">
        <f>IF(OR(L381="",M381="",P381=""),"",L381*P381)</f>
        <v/>
      </c>
    </row>
    <row r="382" ht="15" customHeight="1" s="32">
      <c r="A382" s="46" t="inlineStr">
        <is>
          <t>R-HB-0381</t>
        </is>
      </c>
      <c r="B382" s="47" t="n">
        <v>45248</v>
      </c>
      <c r="C382" s="46" t="inlineStr">
        <is>
          <t>2023-11</t>
        </is>
      </c>
      <c r="D382" s="46" t="n">
        <v>2023</v>
      </c>
      <c r="E382" s="46" t="inlineStr">
        <is>
          <t>P-HB-003</t>
        </is>
      </c>
      <c r="F382" s="46" t="inlineStr">
        <is>
          <t>C-HB-09</t>
        </is>
      </c>
      <c r="G382" s="48" t="inlineStr">
        <is>
          <t>중국</t>
        </is>
      </c>
      <c r="H382" s="46" t="inlineStr">
        <is>
          <t>CN</t>
        </is>
      </c>
      <c r="I382" s="49" t="n">
        <v>36758</v>
      </c>
      <c r="J382" s="46" t="inlineStr">
        <is>
          <t>EA</t>
        </is>
      </c>
      <c r="K382" s="50" t="n">
        <v>23.89</v>
      </c>
      <c r="L382" s="50" t="n">
        <v>199772.66</v>
      </c>
      <c r="M382" s="46" t="inlineStr">
        <is>
          <t>USD</t>
        </is>
      </c>
      <c r="N382" s="46" t="inlineStr">
        <is>
          <t>FOB</t>
        </is>
      </c>
      <c r="O382" s="46" t="inlineStr">
        <is>
          <t>N</t>
        </is>
      </c>
      <c r="P382" s="50" t="n">
        <v>1308.154</v>
      </c>
      <c r="Q382" s="49">
        <f>IF(OR(L382="",M382="",P382=""),"",L382*P382)</f>
        <v/>
      </c>
    </row>
    <row r="383" ht="15" customHeight="1" s="32">
      <c r="A383" s="46" t="inlineStr">
        <is>
          <t>R-HB-0382</t>
        </is>
      </c>
      <c r="B383" s="47" t="n">
        <v>45249</v>
      </c>
      <c r="C383" s="46" t="inlineStr">
        <is>
          <t>2023-11</t>
        </is>
      </c>
      <c r="D383" s="46" t="n">
        <v>2023</v>
      </c>
      <c r="E383" s="46" t="inlineStr">
        <is>
          <t>P-HB-004</t>
        </is>
      </c>
      <c r="F383" s="46" t="inlineStr">
        <is>
          <t>C-HB-03</t>
        </is>
      </c>
      <c r="G383" s="48" t="inlineStr">
        <is>
          <t>멕시코</t>
        </is>
      </c>
      <c r="H383" s="46" t="inlineStr">
        <is>
          <t>MX</t>
        </is>
      </c>
      <c r="I383" s="49" t="n">
        <v>3577</v>
      </c>
      <c r="J383" s="46" t="inlineStr">
        <is>
          <t>EA</t>
        </is>
      </c>
      <c r="K383" s="50" t="n">
        <v>3.93</v>
      </c>
      <c r="L383" s="50" t="n">
        <v>103123.09</v>
      </c>
      <c r="M383" s="46" t="inlineStr">
        <is>
          <t>USD</t>
        </is>
      </c>
      <c r="N383" s="46" t="inlineStr">
        <is>
          <t>FOB</t>
        </is>
      </c>
      <c r="O383" s="46" t="inlineStr">
        <is>
          <t>N</t>
        </is>
      </c>
      <c r="P383" s="50" t="n">
        <v>1308.154</v>
      </c>
      <c r="Q383" s="49">
        <f>IF(OR(L383="",M383="",P383=""),"",L383*P383)</f>
        <v/>
      </c>
    </row>
    <row r="384" ht="15" customHeight="1" s="32">
      <c r="A384" s="46" t="inlineStr">
        <is>
          <t>R-HB-0383</t>
        </is>
      </c>
      <c r="B384" s="47" t="n">
        <v>45249</v>
      </c>
      <c r="C384" s="46" t="inlineStr">
        <is>
          <t>2023-11</t>
        </is>
      </c>
      <c r="D384" s="46" t="n">
        <v>2023</v>
      </c>
      <c r="E384" s="46" t="inlineStr">
        <is>
          <t>P-HB-001</t>
        </is>
      </c>
      <c r="F384" s="46" t="inlineStr">
        <is>
          <t>C-HB-05</t>
        </is>
      </c>
      <c r="G384" s="48" t="inlineStr">
        <is>
          <t>독일</t>
        </is>
      </c>
      <c r="H384" s="46" t="inlineStr">
        <is>
          <t>DE</t>
        </is>
      </c>
      <c r="I384" s="49" t="n">
        <v>156730</v>
      </c>
      <c r="J384" s="46" t="inlineStr">
        <is>
          <t>EA</t>
        </is>
      </c>
      <c r="K384" s="50" t="n">
        <v>70.53</v>
      </c>
      <c r="L384" s="50" t="n">
        <v>586601.8199999999</v>
      </c>
      <c r="M384" s="46" t="inlineStr">
        <is>
          <t>USD</t>
        </is>
      </c>
      <c r="N384" s="46" t="inlineStr">
        <is>
          <t>FOB</t>
        </is>
      </c>
      <c r="O384" s="46" t="inlineStr">
        <is>
          <t>N</t>
        </is>
      </c>
      <c r="P384" s="50" t="n">
        <v>1308.154</v>
      </c>
      <c r="Q384" s="49">
        <f>IF(OR(L384="",M384="",P384=""),"",L384*P384)</f>
        <v/>
      </c>
    </row>
    <row r="385" ht="15" customHeight="1" s="32">
      <c r="A385" s="46" t="inlineStr">
        <is>
          <t>R-HB-0384</t>
        </is>
      </c>
      <c r="B385" s="47" t="n">
        <v>45249</v>
      </c>
      <c r="C385" s="46" t="inlineStr">
        <is>
          <t>2023-11</t>
        </is>
      </c>
      <c r="D385" s="46" t="n">
        <v>2023</v>
      </c>
      <c r="E385" s="46" t="inlineStr">
        <is>
          <t>P-HB-003</t>
        </is>
      </c>
      <c r="F385" s="46" t="inlineStr">
        <is>
          <t>C-HB-05</t>
        </is>
      </c>
      <c r="G385" s="48" t="inlineStr">
        <is>
          <t>독일</t>
        </is>
      </c>
      <c r="H385" s="46" t="inlineStr">
        <is>
          <t>DE</t>
        </is>
      </c>
      <c r="I385" s="49" t="n">
        <v>54607</v>
      </c>
      <c r="J385" s="46" t="inlineStr">
        <is>
          <t>EA</t>
        </is>
      </c>
      <c r="K385" s="50" t="n">
        <v>35.49</v>
      </c>
      <c r="L385" s="50" t="n">
        <v>301865.53</v>
      </c>
      <c r="M385" s="46" t="inlineStr">
        <is>
          <t>USD</t>
        </is>
      </c>
      <c r="N385" s="46" t="inlineStr">
        <is>
          <t>FOB</t>
        </is>
      </c>
      <c r="O385" s="46" t="inlineStr">
        <is>
          <t>N</t>
        </is>
      </c>
      <c r="P385" s="50" t="n">
        <v>1308.154</v>
      </c>
      <c r="Q385" s="49">
        <f>IF(OR(L385="",M385="",P385=""),"",L385*P385)</f>
        <v/>
      </c>
    </row>
    <row r="386" ht="15" customHeight="1" s="32">
      <c r="A386" s="46" t="inlineStr">
        <is>
          <t>R-HB-0385</t>
        </is>
      </c>
      <c r="B386" s="47" t="n">
        <v>45250</v>
      </c>
      <c r="C386" s="46" t="inlineStr">
        <is>
          <t>2023-11</t>
        </is>
      </c>
      <c r="D386" s="46" t="n">
        <v>2023</v>
      </c>
      <c r="E386" s="46" t="inlineStr">
        <is>
          <t>P-HB-002</t>
        </is>
      </c>
      <c r="F386" s="46" t="inlineStr">
        <is>
          <t>C-HB-04</t>
        </is>
      </c>
      <c r="G386" s="48" t="inlineStr">
        <is>
          <t>캐나다</t>
        </is>
      </c>
      <c r="H386" s="46" t="inlineStr">
        <is>
          <t>CA</t>
        </is>
      </c>
      <c r="I386" s="49" t="n">
        <v>24</v>
      </c>
      <c r="J386" s="46" t="inlineStr">
        <is>
          <t>EA</t>
        </is>
      </c>
      <c r="K386" s="50" t="n">
        <v>0.05</v>
      </c>
      <c r="L386" s="50" t="n">
        <v>5965.66</v>
      </c>
      <c r="M386" s="46" t="inlineStr">
        <is>
          <t>USD</t>
        </is>
      </c>
      <c r="N386" s="46" t="inlineStr">
        <is>
          <t>FOB</t>
        </is>
      </c>
      <c r="O386" s="46" t="inlineStr">
        <is>
          <t>N</t>
        </is>
      </c>
      <c r="P386" s="50" t="n">
        <v>1308.154</v>
      </c>
      <c r="Q386" s="49">
        <f>IF(OR(L386="",M386="",P386=""),"",L386*P386)</f>
        <v/>
      </c>
    </row>
    <row r="387" ht="15" customHeight="1" s="32">
      <c r="A387" s="46" t="inlineStr">
        <is>
          <t>R-HB-0386</t>
        </is>
      </c>
      <c r="B387" s="47" t="n">
        <v>45251</v>
      </c>
      <c r="C387" s="46" t="inlineStr">
        <is>
          <t>2023-11</t>
        </is>
      </c>
      <c r="D387" s="46" t="n">
        <v>2023</v>
      </c>
      <c r="E387" s="46" t="inlineStr">
        <is>
          <t>P-HB-004</t>
        </is>
      </c>
      <c r="F387" s="46" t="inlineStr">
        <is>
          <t>C-HB-06</t>
        </is>
      </c>
      <c r="G387" s="48" t="inlineStr">
        <is>
          <t>베트남</t>
        </is>
      </c>
      <c r="H387" s="46" t="inlineStr">
        <is>
          <t>VN</t>
        </is>
      </c>
      <c r="I387" s="49" t="n">
        <v>13973</v>
      </c>
      <c r="J387" s="46" t="inlineStr">
        <is>
          <t>EA</t>
        </is>
      </c>
      <c r="K387" s="50" t="n">
        <v>15.37</v>
      </c>
      <c r="L387" s="50" t="n">
        <v>384991.71</v>
      </c>
      <c r="M387" s="46" t="inlineStr">
        <is>
          <t>USD</t>
        </is>
      </c>
      <c r="N387" s="46" t="inlineStr">
        <is>
          <t>FOB</t>
        </is>
      </c>
      <c r="O387" s="46" t="inlineStr">
        <is>
          <t>N</t>
        </is>
      </c>
      <c r="P387" s="50" t="n">
        <v>1308.154</v>
      </c>
      <c r="Q387" s="49">
        <f>IF(OR(L387="",M387="",P387=""),"",L387*P387)</f>
        <v/>
      </c>
    </row>
    <row r="388" ht="15" customHeight="1" s="32">
      <c r="A388" s="46" t="inlineStr">
        <is>
          <t>R-HB-0387</t>
        </is>
      </c>
      <c r="B388" s="47" t="n">
        <v>45252</v>
      </c>
      <c r="C388" s="46" t="inlineStr">
        <is>
          <t>2023-11</t>
        </is>
      </c>
      <c r="D388" s="46" t="n">
        <v>2023</v>
      </c>
      <c r="E388" s="46" t="inlineStr">
        <is>
          <t>P-HB-001</t>
        </is>
      </c>
      <c r="F388" s="46" t="inlineStr">
        <is>
          <t>C-HB-01</t>
        </is>
      </c>
      <c r="G388" s="48" t="inlineStr">
        <is>
          <t>미국</t>
        </is>
      </c>
      <c r="H388" s="46" t="inlineStr">
        <is>
          <t>US</t>
        </is>
      </c>
      <c r="I388" s="49" t="n">
        <v>173566</v>
      </c>
      <c r="J388" s="46" t="inlineStr">
        <is>
          <t>EA</t>
        </is>
      </c>
      <c r="K388" s="50" t="n">
        <v>78.09999999999999</v>
      </c>
      <c r="L388" s="50" t="n">
        <v>682650.26</v>
      </c>
      <c r="M388" s="46" t="inlineStr">
        <is>
          <t>USD</t>
        </is>
      </c>
      <c r="N388" s="46" t="inlineStr">
        <is>
          <t>FOB</t>
        </is>
      </c>
      <c r="O388" s="46" t="inlineStr">
        <is>
          <t>N</t>
        </is>
      </c>
      <c r="P388" s="50" t="n">
        <v>1308.154</v>
      </c>
      <c r="Q388" s="49">
        <f>IF(OR(L388="",M388="",P388=""),"",L388*P388)</f>
        <v/>
      </c>
    </row>
    <row r="389" ht="15" customHeight="1" s="32">
      <c r="A389" s="46" t="inlineStr">
        <is>
          <t>R-HB-0388</t>
        </is>
      </c>
      <c r="B389" s="47" t="n">
        <v>45252</v>
      </c>
      <c r="C389" s="46" t="inlineStr">
        <is>
          <t>2023-11</t>
        </is>
      </c>
      <c r="D389" s="46" t="n">
        <v>2023</v>
      </c>
      <c r="E389" s="46" t="inlineStr">
        <is>
          <t>P-HB-003</t>
        </is>
      </c>
      <c r="F389" s="46" t="inlineStr">
        <is>
          <t>C-HB-01</t>
        </is>
      </c>
      <c r="G389" s="48" t="inlineStr">
        <is>
          <t>미국</t>
        </is>
      </c>
      <c r="H389" s="46" t="inlineStr">
        <is>
          <t>US</t>
        </is>
      </c>
      <c r="I389" s="49" t="n">
        <v>62206</v>
      </c>
      <c r="J389" s="46" t="inlineStr">
        <is>
          <t>EA</t>
        </is>
      </c>
      <c r="K389" s="50" t="n">
        <v>40.43</v>
      </c>
      <c r="L389" s="50" t="n">
        <v>336539.49</v>
      </c>
      <c r="M389" s="46" t="inlineStr">
        <is>
          <t>USD</t>
        </is>
      </c>
      <c r="N389" s="46" t="inlineStr">
        <is>
          <t>FOB</t>
        </is>
      </c>
      <c r="O389" s="46" t="inlineStr">
        <is>
          <t>N</t>
        </is>
      </c>
      <c r="P389" s="50" t="n">
        <v>1308.154</v>
      </c>
      <c r="Q389" s="49">
        <f>IF(OR(L389="",M389="",P389=""),"",L389*P389)</f>
        <v/>
      </c>
    </row>
    <row r="390" ht="15" customHeight="1" s="32">
      <c r="A390" s="46" t="inlineStr">
        <is>
          <t>R-HB-0389</t>
        </is>
      </c>
      <c r="B390" s="47" t="n">
        <v>45252</v>
      </c>
      <c r="C390" s="46" t="inlineStr">
        <is>
          <t>2023-11</t>
        </is>
      </c>
      <c r="D390" s="46" t="n">
        <v>2023</v>
      </c>
      <c r="E390" s="46" t="inlineStr">
        <is>
          <t>P-HB-003</t>
        </is>
      </c>
      <c r="F390" s="46" t="inlineStr">
        <is>
          <t>C-HB-04</t>
        </is>
      </c>
      <c r="G390" s="48" t="inlineStr">
        <is>
          <t>캐나다</t>
        </is>
      </c>
      <c r="H390" s="46" t="inlineStr">
        <is>
          <t>CA</t>
        </is>
      </c>
      <c r="I390" s="49" t="n">
        <v>5905</v>
      </c>
      <c r="J390" s="46" t="inlineStr">
        <is>
          <t>EA</t>
        </is>
      </c>
      <c r="K390" s="50" t="n">
        <v>3.84</v>
      </c>
      <c r="L390" s="50" t="n">
        <v>31108.5</v>
      </c>
      <c r="M390" s="46" t="inlineStr">
        <is>
          <t>USD</t>
        </is>
      </c>
      <c r="N390" s="46" t="inlineStr">
        <is>
          <t>FOB</t>
        </is>
      </c>
      <c r="O390" s="46" t="inlineStr">
        <is>
          <t>N</t>
        </is>
      </c>
      <c r="P390" s="50" t="n">
        <v>1308.154</v>
      </c>
      <c r="Q390" s="49">
        <f>IF(OR(L390="",M390="",P390=""),"",L390*P390)</f>
        <v/>
      </c>
    </row>
    <row r="391" ht="15" customHeight="1" s="32">
      <c r="A391" s="46" t="inlineStr">
        <is>
          <t>R-HB-0390</t>
        </is>
      </c>
      <c r="B391" s="47" t="n">
        <v>45253</v>
      </c>
      <c r="C391" s="46" t="inlineStr">
        <is>
          <t>2023-11</t>
        </is>
      </c>
      <c r="D391" s="46" t="n">
        <v>2023</v>
      </c>
      <c r="E391" s="46" t="inlineStr">
        <is>
          <t>P-HB-004</t>
        </is>
      </c>
      <c r="F391" s="46" t="inlineStr">
        <is>
          <t>C-HB-05</t>
        </is>
      </c>
      <c r="G391" s="48" t="inlineStr">
        <is>
          <t>독일</t>
        </is>
      </c>
      <c r="H391" s="46" t="inlineStr">
        <is>
          <t>DE</t>
        </is>
      </c>
      <c r="I391" s="49" t="n">
        <v>15848</v>
      </c>
      <c r="J391" s="46" t="inlineStr">
        <is>
          <t>EA</t>
        </is>
      </c>
      <c r="K391" s="50" t="n">
        <v>17.43</v>
      </c>
      <c r="L391" s="50" t="n">
        <v>455989.56</v>
      </c>
      <c r="M391" s="46" t="inlineStr">
        <is>
          <t>USD</t>
        </is>
      </c>
      <c r="N391" s="46" t="inlineStr">
        <is>
          <t>FOB</t>
        </is>
      </c>
      <c r="O391" s="46" t="inlineStr">
        <is>
          <t>N</t>
        </is>
      </c>
      <c r="P391" s="50" t="n">
        <v>1308.154</v>
      </c>
      <c r="Q391" s="49">
        <f>IF(OR(L391="",M391="",P391=""),"",L391*P391)</f>
        <v/>
      </c>
    </row>
    <row r="392" ht="15" customHeight="1" s="32">
      <c r="A392" s="46" t="inlineStr">
        <is>
          <t>R-HB-0391</t>
        </is>
      </c>
      <c r="B392" s="47" t="n">
        <v>45254</v>
      </c>
      <c r="C392" s="46" t="inlineStr">
        <is>
          <t>2023-11</t>
        </is>
      </c>
      <c r="D392" s="46" t="n">
        <v>2023</v>
      </c>
      <c r="E392" s="46" t="inlineStr">
        <is>
          <t>P-HB-002</t>
        </is>
      </c>
      <c r="F392" s="46" t="inlineStr">
        <is>
          <t>C-HB-01</t>
        </is>
      </c>
      <c r="G392" s="48" t="inlineStr">
        <is>
          <t>미국</t>
        </is>
      </c>
      <c r="H392" s="46" t="inlineStr">
        <is>
          <t>US</t>
        </is>
      </c>
      <c r="I392" s="49" t="n">
        <v>284</v>
      </c>
      <c r="J392" s="46" t="inlineStr">
        <is>
          <t>EA</t>
        </is>
      </c>
      <c r="K392" s="50" t="n">
        <v>0.62</v>
      </c>
      <c r="L392" s="50" t="n">
        <v>76021.14</v>
      </c>
      <c r="M392" s="46" t="inlineStr">
        <is>
          <t>USD</t>
        </is>
      </c>
      <c r="N392" s="46" t="inlineStr">
        <is>
          <t>FOB</t>
        </is>
      </c>
      <c r="O392" s="46" t="inlineStr">
        <is>
          <t>N</t>
        </is>
      </c>
      <c r="P392" s="50" t="n">
        <v>1308.154</v>
      </c>
      <c r="Q392" s="49">
        <f>IF(OR(L392="",M392="",P392=""),"",L392*P392)</f>
        <v/>
      </c>
    </row>
    <row r="393" ht="15" customHeight="1" s="32">
      <c r="A393" s="46" t="inlineStr">
        <is>
          <t>R-HB-0392</t>
        </is>
      </c>
      <c r="B393" s="47" t="n">
        <v>45256</v>
      </c>
      <c r="C393" s="46" t="inlineStr">
        <is>
          <t>2023-11</t>
        </is>
      </c>
      <c r="D393" s="46" t="n">
        <v>2023</v>
      </c>
      <c r="E393" s="46" t="inlineStr">
        <is>
          <t>P-HB-001</t>
        </is>
      </c>
      <c r="F393" s="46" t="inlineStr">
        <is>
          <t>C-HB-02</t>
        </is>
      </c>
      <c r="G393" s="48" t="inlineStr">
        <is>
          <t>미국</t>
        </is>
      </c>
      <c r="H393" s="46" t="inlineStr">
        <is>
          <t>US</t>
        </is>
      </c>
      <c r="I393" s="49" t="n">
        <v>97165</v>
      </c>
      <c r="J393" s="46" t="inlineStr">
        <is>
          <t>EA</t>
        </is>
      </c>
      <c r="K393" s="50" t="n">
        <v>43.72</v>
      </c>
      <c r="L393" s="50" t="n">
        <v>371584.08</v>
      </c>
      <c r="M393" s="46" t="inlineStr">
        <is>
          <t>USD</t>
        </is>
      </c>
      <c r="N393" s="46" t="inlineStr">
        <is>
          <t>FOB</t>
        </is>
      </c>
      <c r="O393" s="46" t="inlineStr">
        <is>
          <t>N</t>
        </is>
      </c>
      <c r="P393" s="50" t="n">
        <v>1308.154</v>
      </c>
      <c r="Q393" s="49">
        <f>IF(OR(L393="",M393="",P393=""),"",L393*P393)</f>
        <v/>
      </c>
    </row>
    <row r="394" ht="15" customHeight="1" s="32">
      <c r="A394" s="46" t="inlineStr">
        <is>
          <t>R-HB-0393</t>
        </is>
      </c>
      <c r="B394" s="47" t="n">
        <v>45256</v>
      </c>
      <c r="C394" s="46" t="inlineStr">
        <is>
          <t>2023-11</t>
        </is>
      </c>
      <c r="D394" s="46" t="n">
        <v>2023</v>
      </c>
      <c r="E394" s="46" t="inlineStr">
        <is>
          <t>P-HB-001</t>
        </is>
      </c>
      <c r="F394" s="46" t="inlineStr">
        <is>
          <t>C-HB-04</t>
        </is>
      </c>
      <c r="G394" s="48" t="inlineStr">
        <is>
          <t>캐나다</t>
        </is>
      </c>
      <c r="H394" s="46" t="inlineStr">
        <is>
          <t>CA</t>
        </is>
      </c>
      <c r="I394" s="49" t="n">
        <v>14640</v>
      </c>
      <c r="J394" s="46" t="inlineStr">
        <is>
          <t>EA</t>
        </is>
      </c>
      <c r="K394" s="50" t="n">
        <v>6.59</v>
      </c>
      <c r="L394" s="50" t="n">
        <v>58343.47</v>
      </c>
      <c r="M394" s="46" t="inlineStr">
        <is>
          <t>USD</t>
        </is>
      </c>
      <c r="N394" s="46" t="inlineStr">
        <is>
          <t>FOB</t>
        </is>
      </c>
      <c r="O394" s="46" t="inlineStr">
        <is>
          <t>N</t>
        </is>
      </c>
      <c r="P394" s="50" t="n">
        <v>1308.154</v>
      </c>
      <c r="Q394" s="49">
        <f>IF(OR(L394="",M394="",P394=""),"",L394*P394)</f>
        <v/>
      </c>
    </row>
    <row r="395" ht="15" customHeight="1" s="32">
      <c r="A395" s="46" t="inlineStr">
        <is>
          <t>R-HB-0394</t>
        </is>
      </c>
      <c r="B395" s="47" t="n">
        <v>45256</v>
      </c>
      <c r="C395" s="46" t="inlineStr">
        <is>
          <t>2023-11</t>
        </is>
      </c>
      <c r="D395" s="46" t="n">
        <v>2023</v>
      </c>
      <c r="E395" s="46" t="inlineStr">
        <is>
          <t>P-HB-003</t>
        </is>
      </c>
      <c r="F395" s="46" t="inlineStr">
        <is>
          <t>C-HB-07</t>
        </is>
      </c>
      <c r="G395" s="48" t="inlineStr">
        <is>
          <t>인도</t>
        </is>
      </c>
      <c r="H395" s="46" t="inlineStr">
        <is>
          <t>IN</t>
        </is>
      </c>
      <c r="I395" s="49" t="n">
        <v>28559</v>
      </c>
      <c r="J395" s="46" t="inlineStr">
        <is>
          <t>EA</t>
        </is>
      </c>
      <c r="K395" s="50" t="n">
        <v>18.56</v>
      </c>
      <c r="L395" s="50" t="n">
        <v>151423.4</v>
      </c>
      <c r="M395" s="46" t="inlineStr">
        <is>
          <t>USD</t>
        </is>
      </c>
      <c r="N395" s="46" t="inlineStr">
        <is>
          <t>FOB</t>
        </is>
      </c>
      <c r="O395" s="46" t="inlineStr">
        <is>
          <t>N</t>
        </is>
      </c>
      <c r="P395" s="50" t="n">
        <v>1308.154</v>
      </c>
      <c r="Q395" s="49">
        <f>IF(OR(L395="",M395="",P395=""),"",L395*P395)</f>
        <v/>
      </c>
    </row>
    <row r="396" ht="15" customHeight="1" s="32">
      <c r="A396" s="46" t="inlineStr">
        <is>
          <t>R-HB-0395</t>
        </is>
      </c>
      <c r="B396" s="47" t="n">
        <v>45257</v>
      </c>
      <c r="C396" s="46" t="inlineStr">
        <is>
          <t>2023-11</t>
        </is>
      </c>
      <c r="D396" s="46" t="n">
        <v>2023</v>
      </c>
      <c r="E396" s="46" t="inlineStr">
        <is>
          <t>P-HB-003</t>
        </is>
      </c>
      <c r="F396" s="46" t="inlineStr">
        <is>
          <t>C-HB-02</t>
        </is>
      </c>
      <c r="G396" s="48" t="inlineStr">
        <is>
          <t>미국</t>
        </is>
      </c>
      <c r="H396" s="46" t="inlineStr">
        <is>
          <t>US</t>
        </is>
      </c>
      <c r="I396" s="49" t="n">
        <v>31291</v>
      </c>
      <c r="J396" s="46" t="inlineStr">
        <is>
          <t>EA</t>
        </is>
      </c>
      <c r="K396" s="50" t="n">
        <v>20.34</v>
      </c>
      <c r="L396" s="50" t="n">
        <v>171240.21</v>
      </c>
      <c r="M396" s="46" t="inlineStr">
        <is>
          <t>USD</t>
        </is>
      </c>
      <c r="N396" s="46" t="inlineStr">
        <is>
          <t>FOB</t>
        </is>
      </c>
      <c r="O396" s="46" t="inlineStr">
        <is>
          <t>N</t>
        </is>
      </c>
      <c r="P396" s="50" t="n">
        <v>1308.154</v>
      </c>
      <c r="Q396" s="49">
        <f>IF(OR(L396="",M396="",P396=""),"",L396*P396)</f>
        <v/>
      </c>
    </row>
    <row r="397" ht="15" customHeight="1" s="32">
      <c r="A397" s="46" t="inlineStr">
        <is>
          <t>R-HB-0396</t>
        </is>
      </c>
      <c r="B397" s="47" t="n">
        <v>45257</v>
      </c>
      <c r="C397" s="46" t="inlineStr">
        <is>
          <t>2023-11</t>
        </is>
      </c>
      <c r="D397" s="46" t="n">
        <v>2023</v>
      </c>
      <c r="E397" s="46" t="inlineStr">
        <is>
          <t>P-HB-002</t>
        </is>
      </c>
      <c r="F397" s="46" t="inlineStr">
        <is>
          <t>C-HB-08</t>
        </is>
      </c>
      <c r="G397" s="48" t="inlineStr">
        <is>
          <t>중국</t>
        </is>
      </c>
      <c r="H397" s="46" t="inlineStr">
        <is>
          <t>CN</t>
        </is>
      </c>
      <c r="I397" s="49" t="n">
        <v>254</v>
      </c>
      <c r="J397" s="46" t="inlineStr">
        <is>
          <t>EA</t>
        </is>
      </c>
      <c r="K397" s="50" t="n">
        <v>0.5600000000000001</v>
      </c>
      <c r="L397" s="50" t="n">
        <v>64936.72</v>
      </c>
      <c r="M397" s="46" t="inlineStr">
        <is>
          <t>USD</t>
        </is>
      </c>
      <c r="N397" s="46" t="inlineStr">
        <is>
          <t>FOB</t>
        </is>
      </c>
      <c r="O397" s="46" t="inlineStr">
        <is>
          <t>N</t>
        </is>
      </c>
      <c r="P397" s="50" t="n">
        <v>1308.154</v>
      </c>
      <c r="Q397" s="49">
        <f>IF(OR(L397="",M397="",P397=""),"",L397*P397)</f>
        <v/>
      </c>
    </row>
    <row r="398" ht="15" customHeight="1" s="32">
      <c r="A398" s="46" t="inlineStr">
        <is>
          <t>R-HB-0397</t>
        </is>
      </c>
      <c r="B398" s="47" t="n">
        <v>45263</v>
      </c>
      <c r="C398" s="46" t="inlineStr">
        <is>
          <t>2023-12</t>
        </is>
      </c>
      <c r="D398" s="46" t="n">
        <v>2023</v>
      </c>
      <c r="E398" s="46" t="inlineStr">
        <is>
          <t>P-HB-004</t>
        </is>
      </c>
      <c r="F398" s="46" t="inlineStr">
        <is>
          <t>C-HB-02</t>
        </is>
      </c>
      <c r="G398" s="48" t="inlineStr">
        <is>
          <t>미국</t>
        </is>
      </c>
      <c r="H398" s="46" t="inlineStr">
        <is>
          <t>US</t>
        </is>
      </c>
      <c r="I398" s="49" t="n">
        <v>11369</v>
      </c>
      <c r="J398" s="46" t="inlineStr">
        <is>
          <t>EA</t>
        </is>
      </c>
      <c r="K398" s="50" t="n">
        <v>12.51</v>
      </c>
      <c r="L398" s="50" t="n">
        <v>317013.93</v>
      </c>
      <c r="M398" s="46" t="inlineStr">
        <is>
          <t>USD</t>
        </is>
      </c>
      <c r="N398" s="46" t="inlineStr">
        <is>
          <t>FOB</t>
        </is>
      </c>
      <c r="O398" s="46" t="inlineStr">
        <is>
          <t>N</t>
        </is>
      </c>
      <c r="P398" s="50" t="n">
        <v>1304.3945</v>
      </c>
      <c r="Q398" s="49">
        <f>IF(OR(L398="",M398="",P398=""),"",L398*P398)</f>
        <v/>
      </c>
    </row>
    <row r="399" ht="15" customHeight="1" s="32">
      <c r="A399" s="46" t="inlineStr">
        <is>
          <t>R-HB-0398</t>
        </is>
      </c>
      <c r="B399" s="47" t="n">
        <v>45264</v>
      </c>
      <c r="C399" s="46" t="inlineStr">
        <is>
          <t>2023-12</t>
        </is>
      </c>
      <c r="D399" s="46" t="n">
        <v>2023</v>
      </c>
      <c r="E399" s="46" t="inlineStr">
        <is>
          <t>P-HB-001</t>
        </is>
      </c>
      <c r="F399" s="46" t="inlineStr">
        <is>
          <t>C-HB-04</t>
        </is>
      </c>
      <c r="G399" s="48" t="inlineStr">
        <is>
          <t>캐나다</t>
        </is>
      </c>
      <c r="H399" s="46" t="inlineStr">
        <is>
          <t>CA</t>
        </is>
      </c>
      <c r="I399" s="49" t="n">
        <v>15537</v>
      </c>
      <c r="J399" s="46" t="inlineStr">
        <is>
          <t>EA</t>
        </is>
      </c>
      <c r="K399" s="50" t="n">
        <v>6.99</v>
      </c>
      <c r="L399" s="50" t="n">
        <v>60904.29</v>
      </c>
      <c r="M399" s="46" t="inlineStr">
        <is>
          <t>USD</t>
        </is>
      </c>
      <c r="N399" s="46" t="inlineStr">
        <is>
          <t>FOB</t>
        </is>
      </c>
      <c r="O399" s="46" t="inlineStr">
        <is>
          <t>N</t>
        </is>
      </c>
      <c r="P399" s="50" t="n">
        <v>1304.3945</v>
      </c>
      <c r="Q399" s="49">
        <f>IF(OR(L399="",M399="",P399=""),"",L399*P399)</f>
        <v/>
      </c>
    </row>
    <row r="400" ht="15" customHeight="1" s="32">
      <c r="A400" s="46" t="inlineStr">
        <is>
          <t>R-HB-0399</t>
        </is>
      </c>
      <c r="B400" s="47" t="n">
        <v>45264</v>
      </c>
      <c r="C400" s="46" t="inlineStr">
        <is>
          <t>2023-12</t>
        </is>
      </c>
      <c r="D400" s="46" t="n">
        <v>2023</v>
      </c>
      <c r="E400" s="46" t="inlineStr">
        <is>
          <t>P-HB-001</t>
        </is>
      </c>
      <c r="F400" s="46" t="inlineStr">
        <is>
          <t>C-HB-08</t>
        </is>
      </c>
      <c r="G400" s="48" t="inlineStr">
        <is>
          <t>중국</t>
        </is>
      </c>
      <c r="H400" s="46" t="inlineStr">
        <is>
          <t>CN</t>
        </is>
      </c>
      <c r="I400" s="49" t="n">
        <v>144123</v>
      </c>
      <c r="J400" s="46" t="inlineStr">
        <is>
          <t>EA</t>
        </is>
      </c>
      <c r="K400" s="50" t="n">
        <v>64.86</v>
      </c>
      <c r="L400" s="50" t="n">
        <v>590345.13</v>
      </c>
      <c r="M400" s="46" t="inlineStr">
        <is>
          <t>USD</t>
        </is>
      </c>
      <c r="N400" s="46" t="inlineStr">
        <is>
          <t>FOB</t>
        </is>
      </c>
      <c r="O400" s="46" t="inlineStr">
        <is>
          <t>N</t>
        </is>
      </c>
      <c r="P400" s="50" t="n">
        <v>1304.3945</v>
      </c>
      <c r="Q400" s="49">
        <f>IF(OR(L400="",M400="",P400=""),"",L400*P400)</f>
        <v/>
      </c>
    </row>
    <row r="401" ht="15" customHeight="1" s="32">
      <c r="A401" s="46" t="inlineStr">
        <is>
          <t>R-HB-0400</t>
        </is>
      </c>
      <c r="B401" s="47" t="n">
        <v>45266</v>
      </c>
      <c r="C401" s="46" t="inlineStr">
        <is>
          <t>2023-12</t>
        </is>
      </c>
      <c r="D401" s="46" t="n">
        <v>2023</v>
      </c>
      <c r="E401" s="46" t="inlineStr">
        <is>
          <t>P-HB-003</t>
        </is>
      </c>
      <c r="F401" s="46" t="inlineStr">
        <is>
          <t>C-HB-02</t>
        </is>
      </c>
      <c r="G401" s="48" t="inlineStr">
        <is>
          <t>미국</t>
        </is>
      </c>
      <c r="H401" s="46" t="inlineStr">
        <is>
          <t>US</t>
        </is>
      </c>
      <c r="I401" s="49" t="n">
        <v>31472</v>
      </c>
      <c r="J401" s="46" t="inlineStr">
        <is>
          <t>EA</t>
        </is>
      </c>
      <c r="K401" s="50" t="n">
        <v>20.46</v>
      </c>
      <c r="L401" s="50" t="n">
        <v>176704.2</v>
      </c>
      <c r="M401" s="46" t="inlineStr">
        <is>
          <t>USD</t>
        </is>
      </c>
      <c r="N401" s="46" t="inlineStr">
        <is>
          <t>FOB</t>
        </is>
      </c>
      <c r="O401" s="46" t="inlineStr">
        <is>
          <t>N</t>
        </is>
      </c>
      <c r="P401" s="50" t="n">
        <v>1304.3945</v>
      </c>
      <c r="Q401" s="49">
        <f>IF(OR(L401="",M401="",P401=""),"",L401*P401)</f>
        <v/>
      </c>
    </row>
    <row r="402" ht="15" customHeight="1" s="32">
      <c r="A402" s="46" t="inlineStr">
        <is>
          <t>R-HB-0401</t>
        </is>
      </c>
      <c r="B402" s="47" t="n">
        <v>45266</v>
      </c>
      <c r="C402" s="46" t="inlineStr">
        <is>
          <t>2023-12</t>
        </is>
      </c>
      <c r="D402" s="46" t="n">
        <v>2023</v>
      </c>
      <c r="E402" s="46" t="inlineStr">
        <is>
          <t>P-HB-002</t>
        </is>
      </c>
      <c r="F402" s="46" t="inlineStr">
        <is>
          <t>C-HB-06</t>
        </is>
      </c>
      <c r="G402" s="48" t="inlineStr">
        <is>
          <t>베트남</t>
        </is>
      </c>
      <c r="H402" s="46" t="inlineStr">
        <is>
          <t>VN</t>
        </is>
      </c>
      <c r="I402" s="49" t="n">
        <v>198</v>
      </c>
      <c r="J402" s="46" t="inlineStr">
        <is>
          <t>EA</t>
        </is>
      </c>
      <c r="K402" s="50" t="n">
        <v>0.44</v>
      </c>
      <c r="L402" s="50" t="n">
        <v>52216.2</v>
      </c>
      <c r="M402" s="46" t="inlineStr">
        <is>
          <t>USD</t>
        </is>
      </c>
      <c r="N402" s="46" t="inlineStr">
        <is>
          <t>FOB</t>
        </is>
      </c>
      <c r="O402" s="46" t="inlineStr">
        <is>
          <t>N</t>
        </is>
      </c>
      <c r="P402" s="50" t="n">
        <v>1304.3945</v>
      </c>
      <c r="Q402" s="49">
        <f>IF(OR(L402="",M402="",P402=""),"",L402*P402)</f>
        <v/>
      </c>
    </row>
    <row r="403" ht="15" customHeight="1" s="32">
      <c r="A403" s="46" t="inlineStr">
        <is>
          <t>R-HB-0402</t>
        </is>
      </c>
      <c r="B403" s="47" t="n">
        <v>45266</v>
      </c>
      <c r="C403" s="46" t="inlineStr">
        <is>
          <t>2023-12</t>
        </is>
      </c>
      <c r="D403" s="46" t="n">
        <v>2023</v>
      </c>
      <c r="E403" s="46" t="inlineStr">
        <is>
          <t>P-HB-002</t>
        </is>
      </c>
      <c r="F403" s="46" t="inlineStr">
        <is>
          <t>C-HB-08</t>
        </is>
      </c>
      <c r="G403" s="48" t="inlineStr">
        <is>
          <t>중국</t>
        </is>
      </c>
      <c r="H403" s="46" t="inlineStr">
        <is>
          <t>CN</t>
        </is>
      </c>
      <c r="I403" s="49" t="n">
        <v>259</v>
      </c>
      <c r="J403" s="46" t="inlineStr">
        <is>
          <t>EA</t>
        </is>
      </c>
      <c r="K403" s="50" t="n">
        <v>0.57</v>
      </c>
      <c r="L403" s="50" t="n">
        <v>73598.58</v>
      </c>
      <c r="M403" s="46" t="inlineStr">
        <is>
          <t>USD</t>
        </is>
      </c>
      <c r="N403" s="46" t="inlineStr">
        <is>
          <t>FOB</t>
        </is>
      </c>
      <c r="O403" s="46" t="inlineStr">
        <is>
          <t>N</t>
        </is>
      </c>
      <c r="P403" s="50" t="n">
        <v>1304.3945</v>
      </c>
      <c r="Q403" s="49">
        <f>IF(OR(L403="",M403="",P403=""),"",L403*P403)</f>
        <v/>
      </c>
    </row>
    <row r="404" ht="15" customHeight="1" s="32">
      <c r="A404" s="46" t="inlineStr">
        <is>
          <t>R-HB-0403</t>
        </is>
      </c>
      <c r="B404" s="47" t="n">
        <v>45266</v>
      </c>
      <c r="C404" s="46" t="inlineStr">
        <is>
          <t>2023-12</t>
        </is>
      </c>
      <c r="D404" s="46" t="n">
        <v>2023</v>
      </c>
      <c r="E404" s="46" t="inlineStr">
        <is>
          <t>P-HB-004</t>
        </is>
      </c>
      <c r="F404" s="46" t="inlineStr">
        <is>
          <t>C-HB-09</t>
        </is>
      </c>
      <c r="G404" s="48" t="inlineStr">
        <is>
          <t>중국</t>
        </is>
      </c>
      <c r="H404" s="46" t="inlineStr">
        <is>
          <t>CN</t>
        </is>
      </c>
      <c r="I404" s="49" t="n">
        <v>12428</v>
      </c>
      <c r="J404" s="46" t="inlineStr">
        <is>
          <t>EA</t>
        </is>
      </c>
      <c r="K404" s="50" t="n">
        <v>13.67</v>
      </c>
      <c r="L404" s="50" t="n">
        <v>355583.79</v>
      </c>
      <c r="M404" s="46" t="inlineStr">
        <is>
          <t>USD</t>
        </is>
      </c>
      <c r="N404" s="46" t="inlineStr">
        <is>
          <t>FOB</t>
        </is>
      </c>
      <c r="O404" s="46" t="inlineStr">
        <is>
          <t>N</t>
        </is>
      </c>
      <c r="P404" s="50" t="n">
        <v>1304.3945</v>
      </c>
      <c r="Q404" s="49">
        <f>IF(OR(L404="",M404="",P404=""),"",L404*P404)</f>
        <v/>
      </c>
    </row>
    <row r="405" ht="15" customHeight="1" s="32">
      <c r="A405" s="46" t="inlineStr">
        <is>
          <t>R-HB-0404</t>
        </is>
      </c>
      <c r="B405" s="47" t="n">
        <v>45267</v>
      </c>
      <c r="C405" s="46" t="inlineStr">
        <is>
          <t>2023-12</t>
        </is>
      </c>
      <c r="D405" s="46" t="n">
        <v>2023</v>
      </c>
      <c r="E405" s="46" t="inlineStr">
        <is>
          <t>P-HB-001</t>
        </is>
      </c>
      <c r="F405" s="46" t="inlineStr">
        <is>
          <t>C-HB-01</t>
        </is>
      </c>
      <c r="G405" s="48" t="inlineStr">
        <is>
          <t>미국</t>
        </is>
      </c>
      <c r="H405" s="46" t="inlineStr">
        <is>
          <t>US</t>
        </is>
      </c>
      <c r="I405" s="49" t="n">
        <v>163137</v>
      </c>
      <c r="J405" s="46" t="inlineStr">
        <is>
          <t>EA</t>
        </is>
      </c>
      <c r="K405" s="50" t="n">
        <v>73.41</v>
      </c>
      <c r="L405" s="50" t="n">
        <v>628910.21</v>
      </c>
      <c r="M405" s="46" t="inlineStr">
        <is>
          <t>USD</t>
        </is>
      </c>
      <c r="N405" s="46" t="inlineStr">
        <is>
          <t>FOB</t>
        </is>
      </c>
      <c r="O405" s="46" t="inlineStr">
        <is>
          <t>N</t>
        </is>
      </c>
      <c r="P405" s="50" t="n">
        <v>1304.3945</v>
      </c>
      <c r="Q405" s="49">
        <f>IF(OR(L405="",M405="",P405=""),"",L405*P405)</f>
        <v/>
      </c>
    </row>
    <row r="406" ht="15" customHeight="1" s="32">
      <c r="A406" s="46" t="inlineStr">
        <is>
          <t>R-HB-0405</t>
        </is>
      </c>
      <c r="B406" s="47" t="n">
        <v>45268</v>
      </c>
      <c r="C406" s="46" t="inlineStr">
        <is>
          <t>2023-12</t>
        </is>
      </c>
      <c r="D406" s="46" t="n">
        <v>2023</v>
      </c>
      <c r="E406" s="46" t="inlineStr">
        <is>
          <t>P-HB-002</t>
        </is>
      </c>
      <c r="F406" s="46" t="inlineStr">
        <is>
          <t>C-HB-09</t>
        </is>
      </c>
      <c r="G406" s="48" t="inlineStr">
        <is>
          <t>중국</t>
        </is>
      </c>
      <c r="H406" s="46" t="inlineStr">
        <is>
          <t>CN</t>
        </is>
      </c>
      <c r="I406" s="49" t="n">
        <v>161</v>
      </c>
      <c r="J406" s="46" t="inlineStr">
        <is>
          <t>EA</t>
        </is>
      </c>
      <c r="K406" s="50" t="n">
        <v>0.35</v>
      </c>
      <c r="L406" s="50" t="n">
        <v>45935.67</v>
      </c>
      <c r="M406" s="46" t="inlineStr">
        <is>
          <t>USD</t>
        </is>
      </c>
      <c r="N406" s="46" t="inlineStr">
        <is>
          <t>FOB</t>
        </is>
      </c>
      <c r="O406" s="46" t="inlineStr">
        <is>
          <t>N</t>
        </is>
      </c>
      <c r="P406" s="50" t="n">
        <v>1304.3945</v>
      </c>
      <c r="Q406" s="49">
        <f>IF(OR(L406="",M406="",P406=""),"",L406*P406)</f>
        <v/>
      </c>
    </row>
    <row r="407" ht="15" customHeight="1" s="32">
      <c r="A407" s="46" t="inlineStr">
        <is>
          <t>R-HB-0406</t>
        </is>
      </c>
      <c r="B407" s="47" t="n">
        <v>45269</v>
      </c>
      <c r="C407" s="46" t="inlineStr">
        <is>
          <t>2023-12</t>
        </is>
      </c>
      <c r="D407" s="46" t="n">
        <v>2023</v>
      </c>
      <c r="E407" s="46" t="inlineStr">
        <is>
          <t>P-HB-001</t>
        </is>
      </c>
      <c r="F407" s="46" t="inlineStr">
        <is>
          <t>C-HB-06</t>
        </is>
      </c>
      <c r="G407" s="48" t="inlineStr">
        <is>
          <t>베트남</t>
        </is>
      </c>
      <c r="H407" s="46" t="inlineStr">
        <is>
          <t>VN</t>
        </is>
      </c>
      <c r="I407" s="49" t="n">
        <v>122982</v>
      </c>
      <c r="J407" s="46" t="inlineStr">
        <is>
          <t>EA</t>
        </is>
      </c>
      <c r="K407" s="50" t="n">
        <v>55.34</v>
      </c>
      <c r="L407" s="50" t="n">
        <v>482114.67</v>
      </c>
      <c r="M407" s="46" t="inlineStr">
        <is>
          <t>USD</t>
        </is>
      </c>
      <c r="N407" s="46" t="inlineStr">
        <is>
          <t>FOB</t>
        </is>
      </c>
      <c r="O407" s="46" t="inlineStr">
        <is>
          <t>N</t>
        </is>
      </c>
      <c r="P407" s="50" t="n">
        <v>1304.3945</v>
      </c>
      <c r="Q407" s="49">
        <f>IF(OR(L407="",M407="",P407=""),"",L407*P407)</f>
        <v/>
      </c>
    </row>
    <row r="408" ht="15" customHeight="1" s="32">
      <c r="A408" s="46" t="inlineStr">
        <is>
          <t>R-HB-0407</t>
        </is>
      </c>
      <c r="B408" s="47" t="n">
        <v>45270</v>
      </c>
      <c r="C408" s="46" t="inlineStr">
        <is>
          <t>2023-12</t>
        </is>
      </c>
      <c r="D408" s="46" t="n">
        <v>2023</v>
      </c>
      <c r="E408" s="46" t="inlineStr">
        <is>
          <t>P-HB-002</t>
        </is>
      </c>
      <c r="F408" s="46" t="inlineStr">
        <is>
          <t>C-HB-05</t>
        </is>
      </c>
      <c r="G408" s="48" t="inlineStr">
        <is>
          <t>독일</t>
        </is>
      </c>
      <c r="H408" s="46" t="inlineStr">
        <is>
          <t>DE</t>
        </is>
      </c>
      <c r="I408" s="49" t="n">
        <v>247</v>
      </c>
      <c r="J408" s="46" t="inlineStr">
        <is>
          <t>EA</t>
        </is>
      </c>
      <c r="K408" s="50" t="n">
        <v>0.54</v>
      </c>
      <c r="L408" s="50" t="n">
        <v>70594.63</v>
      </c>
      <c r="M408" s="46" t="inlineStr">
        <is>
          <t>USD</t>
        </is>
      </c>
      <c r="N408" s="46" t="inlineStr">
        <is>
          <t>FOB</t>
        </is>
      </c>
      <c r="O408" s="46" t="inlineStr">
        <is>
          <t>N</t>
        </is>
      </c>
      <c r="P408" s="50" t="n">
        <v>1304.3945</v>
      </c>
      <c r="Q408" s="49">
        <f>IF(OR(L408="",M408="",P408=""),"",L408*P408)</f>
        <v/>
      </c>
    </row>
    <row r="409" ht="15" customHeight="1" s="32">
      <c r="A409" s="46" t="inlineStr">
        <is>
          <t>R-HB-0408</t>
        </is>
      </c>
      <c r="B409" s="47" t="n">
        <v>45270</v>
      </c>
      <c r="C409" s="46" t="inlineStr">
        <is>
          <t>2023-12</t>
        </is>
      </c>
      <c r="D409" s="46" t="n">
        <v>2023</v>
      </c>
      <c r="E409" s="46" t="inlineStr">
        <is>
          <t>P-HB-003</t>
        </is>
      </c>
      <c r="F409" s="46" t="inlineStr">
        <is>
          <t>C-HB-07</t>
        </is>
      </c>
      <c r="G409" s="48" t="inlineStr">
        <is>
          <t>인도</t>
        </is>
      </c>
      <c r="H409" s="46" t="inlineStr">
        <is>
          <t>IN</t>
        </is>
      </c>
      <c r="I409" s="49" t="n">
        <v>28252</v>
      </c>
      <c r="J409" s="46" t="inlineStr">
        <is>
          <t>EA</t>
        </is>
      </c>
      <c r="K409" s="50" t="n">
        <v>18.36</v>
      </c>
      <c r="L409" s="50" t="n">
        <v>154511.15</v>
      </c>
      <c r="M409" s="46" t="inlineStr">
        <is>
          <t>USD</t>
        </is>
      </c>
      <c r="N409" s="46" t="inlineStr">
        <is>
          <t>FOB</t>
        </is>
      </c>
      <c r="O409" s="46" t="inlineStr">
        <is>
          <t>N</t>
        </is>
      </c>
      <c r="P409" s="50" t="n">
        <v>1304.3945</v>
      </c>
      <c r="Q409" s="49">
        <f>IF(OR(L409="",M409="",P409=""),"",L409*P409)</f>
        <v/>
      </c>
    </row>
    <row r="410" ht="15" customHeight="1" s="32">
      <c r="A410" s="46" t="inlineStr">
        <is>
          <t>R-HB-0409</t>
        </is>
      </c>
      <c r="B410" s="47" t="n">
        <v>45271</v>
      </c>
      <c r="C410" s="46" t="inlineStr">
        <is>
          <t>2023-12</t>
        </is>
      </c>
      <c r="D410" s="46" t="n">
        <v>2023</v>
      </c>
      <c r="E410" s="46" t="inlineStr">
        <is>
          <t>P-HB-003</t>
        </is>
      </c>
      <c r="F410" s="46" t="inlineStr">
        <is>
          <t>C-HB-01</t>
        </is>
      </c>
      <c r="G410" s="48" t="inlineStr">
        <is>
          <t>미국</t>
        </is>
      </c>
      <c r="H410" s="46" t="inlineStr">
        <is>
          <t>US</t>
        </is>
      </c>
      <c r="I410" s="49" t="n">
        <v>62740</v>
      </c>
      <c r="J410" s="46" t="inlineStr">
        <is>
          <t>EA</t>
        </is>
      </c>
      <c r="K410" s="50" t="n">
        <v>40.78</v>
      </c>
      <c r="L410" s="50" t="n">
        <v>343131.94</v>
      </c>
      <c r="M410" s="46" t="inlineStr">
        <is>
          <t>USD</t>
        </is>
      </c>
      <c r="N410" s="46" t="inlineStr">
        <is>
          <t>FOB</t>
        </is>
      </c>
      <c r="O410" s="46" t="inlineStr">
        <is>
          <t>N</t>
        </is>
      </c>
      <c r="P410" s="50" t="n">
        <v>1304.3945</v>
      </c>
      <c r="Q410" s="49">
        <f>IF(OR(L410="",M410="",P410=""),"",L410*P410)</f>
        <v/>
      </c>
    </row>
    <row r="411" ht="15" customHeight="1" s="32">
      <c r="A411" s="46" t="inlineStr">
        <is>
          <t>R-HB-0410</t>
        </is>
      </c>
      <c r="B411" s="47" t="n">
        <v>45271</v>
      </c>
      <c r="C411" s="46" t="inlineStr">
        <is>
          <t>2023-12</t>
        </is>
      </c>
      <c r="D411" s="46" t="n">
        <v>2023</v>
      </c>
      <c r="E411" s="46" t="inlineStr">
        <is>
          <t>P-HB-002</t>
        </is>
      </c>
      <c r="F411" s="46" t="inlineStr">
        <is>
          <t>C-HB-03</t>
        </is>
      </c>
      <c r="G411" s="48" t="inlineStr">
        <is>
          <t>멕시코</t>
        </is>
      </c>
      <c r="H411" s="46" t="inlineStr">
        <is>
          <t>MX</t>
        </is>
      </c>
      <c r="I411" s="49" t="n">
        <v>47</v>
      </c>
      <c r="J411" s="46" t="inlineStr">
        <is>
          <t>EA</t>
        </is>
      </c>
      <c r="K411" s="50" t="n">
        <v>0.1</v>
      </c>
      <c r="L411" s="50" t="n">
        <v>13157.87</v>
      </c>
      <c r="M411" s="46" t="inlineStr">
        <is>
          <t>USD</t>
        </is>
      </c>
      <c r="N411" s="46" t="inlineStr">
        <is>
          <t>FOB</t>
        </is>
      </c>
      <c r="O411" s="46" t="inlineStr">
        <is>
          <t>N</t>
        </is>
      </c>
      <c r="P411" s="50" t="n">
        <v>1304.3945</v>
      </c>
      <c r="Q411" s="49">
        <f>IF(OR(L411="",M411="",P411=""),"",L411*P411)</f>
        <v/>
      </c>
    </row>
    <row r="412" ht="15" customHeight="1" s="32">
      <c r="A412" s="46" t="inlineStr">
        <is>
          <t>R-HB-0411</t>
        </is>
      </c>
      <c r="B412" s="47" t="n">
        <v>45271</v>
      </c>
      <c r="C412" s="46" t="inlineStr">
        <is>
          <t>2023-12</t>
        </is>
      </c>
      <c r="D412" s="46" t="n">
        <v>2023</v>
      </c>
      <c r="E412" s="46" t="inlineStr">
        <is>
          <t>P-HB-004</t>
        </is>
      </c>
      <c r="F412" s="46" t="inlineStr">
        <is>
          <t>C-HB-03</t>
        </is>
      </c>
      <c r="G412" s="48" t="inlineStr">
        <is>
          <t>멕시코</t>
        </is>
      </c>
      <c r="H412" s="46" t="inlineStr">
        <is>
          <t>MX</t>
        </is>
      </c>
      <c r="I412" s="49" t="n">
        <v>3368</v>
      </c>
      <c r="J412" s="46" t="inlineStr">
        <is>
          <t>EA</t>
        </is>
      </c>
      <c r="K412" s="50" t="n">
        <v>3.7</v>
      </c>
      <c r="L412" s="50" t="n">
        <v>97976.64</v>
      </c>
      <c r="M412" s="46" t="inlineStr">
        <is>
          <t>USD</t>
        </is>
      </c>
      <c r="N412" s="46" t="inlineStr">
        <is>
          <t>FOB</t>
        </is>
      </c>
      <c r="O412" s="46" t="inlineStr">
        <is>
          <t>N</t>
        </is>
      </c>
      <c r="P412" s="50" t="n">
        <v>1304.3945</v>
      </c>
      <c r="Q412" s="49">
        <f>IF(OR(L412="",M412="",P412=""),"",L412*P412)</f>
        <v/>
      </c>
    </row>
    <row r="413" ht="15" customHeight="1" s="32">
      <c r="A413" s="46" t="inlineStr">
        <is>
          <t>R-HB-0412</t>
        </is>
      </c>
      <c r="B413" s="47" t="n">
        <v>45272</v>
      </c>
      <c r="C413" s="46" t="inlineStr">
        <is>
          <t>2023-12</t>
        </is>
      </c>
      <c r="D413" s="46" t="n">
        <v>2023</v>
      </c>
      <c r="E413" s="46" t="inlineStr">
        <is>
          <t>P-HB-004</t>
        </is>
      </c>
      <c r="F413" s="46" t="inlineStr">
        <is>
          <t>C-HB-07</t>
        </is>
      </c>
      <c r="G413" s="48" t="inlineStr">
        <is>
          <t>인도</t>
        </is>
      </c>
      <c r="H413" s="46" t="inlineStr">
        <is>
          <t>IN</t>
        </is>
      </c>
      <c r="I413" s="49" t="n">
        <v>9252</v>
      </c>
      <c r="J413" s="46" t="inlineStr">
        <is>
          <t>EA</t>
        </is>
      </c>
      <c r="K413" s="50" t="n">
        <v>10.18</v>
      </c>
      <c r="L413" s="50" t="n">
        <v>253839.95</v>
      </c>
      <c r="M413" s="46" t="inlineStr">
        <is>
          <t>USD</t>
        </is>
      </c>
      <c r="N413" s="46" t="inlineStr">
        <is>
          <t>FOB</t>
        </is>
      </c>
      <c r="O413" s="46" t="inlineStr">
        <is>
          <t>N</t>
        </is>
      </c>
      <c r="P413" s="50" t="n">
        <v>1304.3945</v>
      </c>
      <c r="Q413" s="49">
        <f>IF(OR(L413="",M413="",P413=""),"",L413*P413)</f>
        <v/>
      </c>
    </row>
    <row r="414" ht="15" customHeight="1" s="32">
      <c r="A414" s="46" t="inlineStr">
        <is>
          <t>R-HB-0413</t>
        </is>
      </c>
      <c r="B414" s="47" t="n">
        <v>45273</v>
      </c>
      <c r="C414" s="46" t="inlineStr">
        <is>
          <t>2023-12</t>
        </is>
      </c>
      <c r="D414" s="46" t="n">
        <v>2023</v>
      </c>
      <c r="E414" s="46" t="inlineStr">
        <is>
          <t>P-HB-003</t>
        </is>
      </c>
      <c r="F414" s="46" t="inlineStr">
        <is>
          <t>C-HB-03</t>
        </is>
      </c>
      <c r="G414" s="48" t="inlineStr">
        <is>
          <t>멕시코</t>
        </is>
      </c>
      <c r="H414" s="46" t="inlineStr">
        <is>
          <t>MX</t>
        </is>
      </c>
      <c r="I414" s="49" t="n">
        <v>11509</v>
      </c>
      <c r="J414" s="46" t="inlineStr">
        <is>
          <t>EA</t>
        </is>
      </c>
      <c r="K414" s="50" t="n">
        <v>7.48</v>
      </c>
      <c r="L414" s="50" t="n">
        <v>66090.34</v>
      </c>
      <c r="M414" s="46" t="inlineStr">
        <is>
          <t>USD</t>
        </is>
      </c>
      <c r="N414" s="46" t="inlineStr">
        <is>
          <t>FOB</t>
        </is>
      </c>
      <c r="O414" s="46" t="inlineStr">
        <is>
          <t>N</t>
        </is>
      </c>
      <c r="P414" s="50" t="n">
        <v>1304.3945</v>
      </c>
      <c r="Q414" s="49">
        <f>IF(OR(L414="",M414="",P414=""),"",L414*P414)</f>
        <v/>
      </c>
    </row>
    <row r="415" ht="15" customHeight="1" s="32">
      <c r="A415" s="46" t="inlineStr">
        <is>
          <t>R-HB-0414</t>
        </is>
      </c>
      <c r="B415" s="47" t="n">
        <v>45273</v>
      </c>
      <c r="C415" s="46" t="inlineStr">
        <is>
          <t>2023-12</t>
        </is>
      </c>
      <c r="D415" s="46" t="n">
        <v>2023</v>
      </c>
      <c r="E415" s="46" t="inlineStr">
        <is>
          <t>P-HB-003</t>
        </is>
      </c>
      <c r="F415" s="46" t="inlineStr">
        <is>
          <t>C-HB-05</t>
        </is>
      </c>
      <c r="G415" s="48" t="inlineStr">
        <is>
          <t>독일</t>
        </is>
      </c>
      <c r="H415" s="46" t="inlineStr">
        <is>
          <t>DE</t>
        </is>
      </c>
      <c r="I415" s="49" t="n">
        <v>52352</v>
      </c>
      <c r="J415" s="46" t="inlineStr">
        <is>
          <t>EA</t>
        </is>
      </c>
      <c r="K415" s="50" t="n">
        <v>34.03</v>
      </c>
      <c r="L415" s="50" t="n">
        <v>300655.04</v>
      </c>
      <c r="M415" s="46" t="inlineStr">
        <is>
          <t>USD</t>
        </is>
      </c>
      <c r="N415" s="46" t="inlineStr">
        <is>
          <t>FOB</t>
        </is>
      </c>
      <c r="O415" s="46" t="inlineStr">
        <is>
          <t>N</t>
        </is>
      </c>
      <c r="P415" s="50" t="n">
        <v>1304.3945</v>
      </c>
      <c r="Q415" s="49">
        <f>IF(OR(L415="",M415="",P415=""),"",L415*P415)</f>
        <v/>
      </c>
    </row>
    <row r="416" ht="15" customHeight="1" s="32">
      <c r="A416" s="46" t="inlineStr">
        <is>
          <t>R-HB-0415</t>
        </is>
      </c>
      <c r="B416" s="47" t="n">
        <v>45275</v>
      </c>
      <c r="C416" s="46" t="inlineStr">
        <is>
          <t>2023-12</t>
        </is>
      </c>
      <c r="D416" s="46" t="n">
        <v>2023</v>
      </c>
      <c r="E416" s="46" t="inlineStr">
        <is>
          <t>P-HB-003</t>
        </is>
      </c>
      <c r="F416" s="46" t="inlineStr">
        <is>
          <t>C-HB-06</t>
        </is>
      </c>
      <c r="G416" s="48" t="inlineStr">
        <is>
          <t>베트남</t>
        </is>
      </c>
      <c r="H416" s="46" t="inlineStr">
        <is>
          <t>VN</t>
        </is>
      </c>
      <c r="I416" s="49" t="n">
        <v>46885</v>
      </c>
      <c r="J416" s="46" t="inlineStr">
        <is>
          <t>EA</t>
        </is>
      </c>
      <c r="K416" s="50" t="n">
        <v>30.48</v>
      </c>
      <c r="L416" s="50" t="n">
        <v>257750.85</v>
      </c>
      <c r="M416" s="46" t="inlineStr">
        <is>
          <t>USD</t>
        </is>
      </c>
      <c r="N416" s="46" t="inlineStr">
        <is>
          <t>FOB</t>
        </is>
      </c>
      <c r="O416" s="46" t="inlineStr">
        <is>
          <t>N</t>
        </is>
      </c>
      <c r="P416" s="50" t="n">
        <v>1304.3945</v>
      </c>
      <c r="Q416" s="49">
        <f>IF(OR(L416="",M416="",P416=""),"",L416*P416)</f>
        <v/>
      </c>
    </row>
    <row r="417" ht="15" customHeight="1" s="32">
      <c r="A417" s="46" t="inlineStr">
        <is>
          <t>R-HB-0416</t>
        </is>
      </c>
      <c r="B417" s="47" t="n">
        <v>45275</v>
      </c>
      <c r="C417" s="46" t="inlineStr">
        <is>
          <t>2023-12</t>
        </is>
      </c>
      <c r="D417" s="46" t="n">
        <v>2023</v>
      </c>
      <c r="E417" s="46" t="inlineStr">
        <is>
          <t>P-HB-002</t>
        </is>
      </c>
      <c r="F417" s="46" t="inlineStr">
        <is>
          <t>C-HB-07</t>
        </is>
      </c>
      <c r="G417" s="48" t="inlineStr">
        <is>
          <t>인도</t>
        </is>
      </c>
      <c r="H417" s="46" t="inlineStr">
        <is>
          <t>IN</t>
        </is>
      </c>
      <c r="I417" s="49" t="n">
        <v>119</v>
      </c>
      <c r="J417" s="46" t="inlineStr">
        <is>
          <t>EA</t>
        </is>
      </c>
      <c r="K417" s="50" t="n">
        <v>0.26</v>
      </c>
      <c r="L417" s="50" t="n">
        <v>33231.33</v>
      </c>
      <c r="M417" s="46" t="inlineStr">
        <is>
          <t>USD</t>
        </is>
      </c>
      <c r="N417" s="46" t="inlineStr">
        <is>
          <t>FOB</t>
        </is>
      </c>
      <c r="O417" s="46" t="inlineStr">
        <is>
          <t>N</t>
        </is>
      </c>
      <c r="P417" s="50" t="n">
        <v>1304.3945</v>
      </c>
      <c r="Q417" s="49">
        <f>IF(OR(L417="",M417="",P417=""),"",L417*P417)</f>
        <v/>
      </c>
    </row>
    <row r="418" ht="15" customHeight="1" s="32">
      <c r="A418" s="46" t="inlineStr">
        <is>
          <t>R-HB-0417</t>
        </is>
      </c>
      <c r="B418" s="47" t="n">
        <v>45276</v>
      </c>
      <c r="C418" s="46" t="inlineStr">
        <is>
          <t>2023-12</t>
        </is>
      </c>
      <c r="D418" s="46" t="n">
        <v>2023</v>
      </c>
      <c r="E418" s="46" t="inlineStr">
        <is>
          <t>P-HB-002</t>
        </is>
      </c>
      <c r="F418" s="46" t="inlineStr">
        <is>
          <t>C-HB-02</t>
        </is>
      </c>
      <c r="G418" s="48" t="inlineStr">
        <is>
          <t>미국</t>
        </is>
      </c>
      <c r="H418" s="46" t="inlineStr">
        <is>
          <t>US</t>
        </is>
      </c>
      <c r="I418" s="49" t="n">
        <v>147</v>
      </c>
      <c r="J418" s="46" t="inlineStr">
        <is>
          <t>EA</t>
        </is>
      </c>
      <c r="K418" s="50" t="n">
        <v>0.32</v>
      </c>
      <c r="L418" s="50" t="n">
        <v>41601.4</v>
      </c>
      <c r="M418" s="46" t="inlineStr">
        <is>
          <t>USD</t>
        </is>
      </c>
      <c r="N418" s="46" t="inlineStr">
        <is>
          <t>FOB</t>
        </is>
      </c>
      <c r="O418" s="46" t="inlineStr">
        <is>
          <t>N</t>
        </is>
      </c>
      <c r="P418" s="50" t="n">
        <v>1304.3945</v>
      </c>
      <c r="Q418" s="49">
        <f>IF(OR(L418="",M418="",P418=""),"",L418*P418)</f>
        <v/>
      </c>
    </row>
    <row r="419" ht="15" customHeight="1" s="32">
      <c r="A419" s="46" t="inlineStr">
        <is>
          <t>R-HB-0418</t>
        </is>
      </c>
      <c r="B419" s="47" t="n">
        <v>45277</v>
      </c>
      <c r="C419" s="46" t="inlineStr">
        <is>
          <t>2023-12</t>
        </is>
      </c>
      <c r="D419" s="46" t="n">
        <v>2023</v>
      </c>
      <c r="E419" s="46" t="inlineStr">
        <is>
          <t>P-HB-004</t>
        </is>
      </c>
      <c r="F419" s="46" t="inlineStr">
        <is>
          <t>C-HB-01</t>
        </is>
      </c>
      <c r="G419" s="48" t="inlineStr">
        <is>
          <t>미국</t>
        </is>
      </c>
      <c r="H419" s="46" t="inlineStr">
        <is>
          <t>US</t>
        </is>
      </c>
      <c r="I419" s="49" t="n">
        <v>20064</v>
      </c>
      <c r="J419" s="46" t="inlineStr">
        <is>
          <t>EA</t>
        </is>
      </c>
      <c r="K419" s="50" t="n">
        <v>22.07</v>
      </c>
      <c r="L419" s="50" t="n">
        <v>546761.62</v>
      </c>
      <c r="M419" s="46" t="inlineStr">
        <is>
          <t>USD</t>
        </is>
      </c>
      <c r="N419" s="46" t="inlineStr">
        <is>
          <t>FOB</t>
        </is>
      </c>
      <c r="O419" s="46" t="inlineStr">
        <is>
          <t>N</t>
        </is>
      </c>
      <c r="P419" s="50" t="n">
        <v>1304.3945</v>
      </c>
      <c r="Q419" s="49">
        <f>IF(OR(L419="",M419="",P419=""),"",L419*P419)</f>
        <v/>
      </c>
    </row>
    <row r="420" ht="15" customHeight="1" s="32">
      <c r="A420" s="46" t="inlineStr">
        <is>
          <t>R-HB-0419</t>
        </is>
      </c>
      <c r="B420" s="47" t="n">
        <v>45279</v>
      </c>
      <c r="C420" s="46" t="inlineStr">
        <is>
          <t>2023-12</t>
        </is>
      </c>
      <c r="D420" s="46" t="n">
        <v>2023</v>
      </c>
      <c r="E420" s="46" t="inlineStr">
        <is>
          <t>P-HB-004</t>
        </is>
      </c>
      <c r="F420" s="46" t="inlineStr">
        <is>
          <t>C-HB-05</t>
        </is>
      </c>
      <c r="G420" s="48" t="inlineStr">
        <is>
          <t>독일</t>
        </is>
      </c>
      <c r="H420" s="46" t="inlineStr">
        <is>
          <t>DE</t>
        </is>
      </c>
      <c r="I420" s="49" t="n">
        <v>16094</v>
      </c>
      <c r="J420" s="46" t="inlineStr">
        <is>
          <t>EA</t>
        </is>
      </c>
      <c r="K420" s="50" t="n">
        <v>17.7</v>
      </c>
      <c r="L420" s="50" t="n">
        <v>436442.37</v>
      </c>
      <c r="M420" s="46" t="inlineStr">
        <is>
          <t>USD</t>
        </is>
      </c>
      <c r="N420" s="46" t="inlineStr">
        <is>
          <t>FOB</t>
        </is>
      </c>
      <c r="O420" s="46" t="inlineStr">
        <is>
          <t>N</t>
        </is>
      </c>
      <c r="P420" s="50" t="n">
        <v>1304.3945</v>
      </c>
      <c r="Q420" s="49">
        <f>IF(OR(L420="",M420="",P420=""),"",L420*P420)</f>
        <v/>
      </c>
    </row>
    <row r="421" ht="15" customHeight="1" s="32">
      <c r="A421" s="46" t="inlineStr">
        <is>
          <t>R-HB-0420</t>
        </is>
      </c>
      <c r="B421" s="47" t="n">
        <v>45279</v>
      </c>
      <c r="C421" s="46" t="inlineStr">
        <is>
          <t>2023-12</t>
        </is>
      </c>
      <c r="D421" s="46" t="n">
        <v>2023</v>
      </c>
      <c r="E421" s="46" t="inlineStr">
        <is>
          <t>P-HB-004</t>
        </is>
      </c>
      <c r="F421" s="46" t="inlineStr">
        <is>
          <t>C-HB-08</t>
        </is>
      </c>
      <c r="G421" s="48" t="inlineStr">
        <is>
          <t>중국</t>
        </is>
      </c>
      <c r="H421" s="46" t="inlineStr">
        <is>
          <t>CN</t>
        </is>
      </c>
      <c r="I421" s="49" t="n">
        <v>16767</v>
      </c>
      <c r="J421" s="46" t="inlineStr">
        <is>
          <t>EA</t>
        </is>
      </c>
      <c r="K421" s="50" t="n">
        <v>18.44</v>
      </c>
      <c r="L421" s="50" t="n">
        <v>474688.59</v>
      </c>
      <c r="M421" s="46" t="inlineStr">
        <is>
          <t>USD</t>
        </is>
      </c>
      <c r="N421" s="46" t="inlineStr">
        <is>
          <t>FOB</t>
        </is>
      </c>
      <c r="O421" s="46" t="inlineStr">
        <is>
          <t>N</t>
        </is>
      </c>
      <c r="P421" s="50" t="n">
        <v>1304.3945</v>
      </c>
      <c r="Q421" s="49">
        <f>IF(OR(L421="",M421="",P421=""),"",L421*P421)</f>
        <v/>
      </c>
    </row>
    <row r="422" ht="15" customHeight="1" s="32">
      <c r="A422" s="46" t="inlineStr">
        <is>
          <t>R-HB-0421</t>
        </is>
      </c>
      <c r="B422" s="47" t="n">
        <v>45280</v>
      </c>
      <c r="C422" s="46" t="inlineStr">
        <is>
          <t>2023-12</t>
        </is>
      </c>
      <c r="D422" s="46" t="n">
        <v>2023</v>
      </c>
      <c r="E422" s="46" t="inlineStr">
        <is>
          <t>P-HB-003</t>
        </is>
      </c>
      <c r="F422" s="46" t="inlineStr">
        <is>
          <t>C-HB-04</t>
        </is>
      </c>
      <c r="G422" s="48" t="inlineStr">
        <is>
          <t>캐나다</t>
        </is>
      </c>
      <c r="H422" s="46" t="inlineStr">
        <is>
          <t>CA</t>
        </is>
      </c>
      <c r="I422" s="49" t="n">
        <v>6160</v>
      </c>
      <c r="J422" s="46" t="inlineStr">
        <is>
          <t>EA</t>
        </is>
      </c>
      <c r="K422" s="50" t="n">
        <v>4</v>
      </c>
      <c r="L422" s="50" t="n">
        <v>34088.15</v>
      </c>
      <c r="M422" s="46" t="inlineStr">
        <is>
          <t>USD</t>
        </is>
      </c>
      <c r="N422" s="46" t="inlineStr">
        <is>
          <t>FOB</t>
        </is>
      </c>
      <c r="O422" s="46" t="inlineStr">
        <is>
          <t>N</t>
        </is>
      </c>
      <c r="P422" s="50" t="n">
        <v>1304.3945</v>
      </c>
      <c r="Q422" s="49">
        <f>IF(OR(L422="",M422="",P422=""),"",L422*P422)</f>
        <v/>
      </c>
    </row>
    <row r="423" ht="15" customHeight="1" s="32">
      <c r="A423" s="46" t="inlineStr">
        <is>
          <t>R-HB-0422</t>
        </is>
      </c>
      <c r="B423" s="47" t="n">
        <v>45280</v>
      </c>
      <c r="C423" s="46" t="inlineStr">
        <is>
          <t>2023-12</t>
        </is>
      </c>
      <c r="D423" s="46" t="n">
        <v>2023</v>
      </c>
      <c r="E423" s="46" t="inlineStr">
        <is>
          <t>P-HB-003</t>
        </is>
      </c>
      <c r="F423" s="46" t="inlineStr">
        <is>
          <t>C-HB-08</t>
        </is>
      </c>
      <c r="G423" s="48" t="inlineStr">
        <is>
          <t>중국</t>
        </is>
      </c>
      <c r="H423" s="46" t="inlineStr">
        <is>
          <t>CN</t>
        </is>
      </c>
      <c r="I423" s="49" t="n">
        <v>55731</v>
      </c>
      <c r="J423" s="46" t="inlineStr">
        <is>
          <t>EA</t>
        </is>
      </c>
      <c r="K423" s="50" t="n">
        <v>36.23</v>
      </c>
      <c r="L423" s="50" t="n">
        <v>316736.9</v>
      </c>
      <c r="M423" s="46" t="inlineStr">
        <is>
          <t>USD</t>
        </is>
      </c>
      <c r="N423" s="46" t="inlineStr">
        <is>
          <t>FOB</t>
        </is>
      </c>
      <c r="O423" s="46" t="inlineStr">
        <is>
          <t>N</t>
        </is>
      </c>
      <c r="P423" s="50" t="n">
        <v>1304.3945</v>
      </c>
      <c r="Q423" s="49">
        <f>IF(OR(L423="",M423="",P423=""),"",L423*P423)</f>
        <v/>
      </c>
    </row>
    <row r="424" ht="15" customHeight="1" s="32">
      <c r="A424" s="46" t="inlineStr">
        <is>
          <t>R-HB-0423</t>
        </is>
      </c>
      <c r="B424" s="47" t="n">
        <v>45281</v>
      </c>
      <c r="C424" s="46" t="inlineStr">
        <is>
          <t>2023-12</t>
        </is>
      </c>
      <c r="D424" s="46" t="n">
        <v>2023</v>
      </c>
      <c r="E424" s="46" t="inlineStr">
        <is>
          <t>P-HB-001</t>
        </is>
      </c>
      <c r="F424" s="46" t="inlineStr">
        <is>
          <t>C-HB-02</t>
        </is>
      </c>
      <c r="G424" s="48" t="inlineStr">
        <is>
          <t>미국</t>
        </is>
      </c>
      <c r="H424" s="46" t="inlineStr">
        <is>
          <t>US</t>
        </is>
      </c>
      <c r="I424" s="49" t="n">
        <v>84959</v>
      </c>
      <c r="J424" s="46" t="inlineStr">
        <is>
          <t>EA</t>
        </is>
      </c>
      <c r="K424" s="50" t="n">
        <v>38.23</v>
      </c>
      <c r="L424" s="50" t="n">
        <v>342671.06</v>
      </c>
      <c r="M424" s="46" t="inlineStr">
        <is>
          <t>USD</t>
        </is>
      </c>
      <c r="N424" s="46" t="inlineStr">
        <is>
          <t>FOB</t>
        </is>
      </c>
      <c r="O424" s="46" t="inlineStr">
        <is>
          <t>N</t>
        </is>
      </c>
      <c r="P424" s="50" t="n">
        <v>1304.3945</v>
      </c>
      <c r="Q424" s="49">
        <f>IF(OR(L424="",M424="",P424=""),"",L424*P424)</f>
        <v/>
      </c>
    </row>
    <row r="425" ht="15" customHeight="1" s="32">
      <c r="A425" s="46" t="inlineStr">
        <is>
          <t>R-HB-0424</t>
        </is>
      </c>
      <c r="B425" s="47" t="n">
        <v>45281</v>
      </c>
      <c r="C425" s="46" t="inlineStr">
        <is>
          <t>2023-12</t>
        </is>
      </c>
      <c r="D425" s="46" t="n">
        <v>2023</v>
      </c>
      <c r="E425" s="46" t="inlineStr">
        <is>
          <t>P-HB-002</t>
        </is>
      </c>
      <c r="F425" s="46" t="inlineStr">
        <is>
          <t>C-HB-04</t>
        </is>
      </c>
      <c r="G425" s="48" t="inlineStr">
        <is>
          <t>캐나다</t>
        </is>
      </c>
      <c r="H425" s="46" t="inlineStr">
        <is>
          <t>CA</t>
        </is>
      </c>
      <c r="I425" s="49" t="n">
        <v>27</v>
      </c>
      <c r="J425" s="46" t="inlineStr">
        <is>
          <t>EA</t>
        </is>
      </c>
      <c r="K425" s="50" t="n">
        <v>0.06</v>
      </c>
      <c r="L425" s="50" t="n">
        <v>7321.96</v>
      </c>
      <c r="M425" s="46" t="inlineStr">
        <is>
          <t>USD</t>
        </is>
      </c>
      <c r="N425" s="46" t="inlineStr">
        <is>
          <t>FOB</t>
        </is>
      </c>
      <c r="O425" s="46" t="inlineStr">
        <is>
          <t>N</t>
        </is>
      </c>
      <c r="P425" s="50" t="n">
        <v>1304.3945</v>
      </c>
      <c r="Q425" s="49">
        <f>IF(OR(L425="",M425="",P425=""),"",L425*P425)</f>
        <v/>
      </c>
    </row>
    <row r="426" ht="15" customHeight="1" s="32">
      <c r="A426" s="46" t="inlineStr">
        <is>
          <t>R-HB-0425</t>
        </is>
      </c>
      <c r="B426" s="47" t="n">
        <v>45282</v>
      </c>
      <c r="C426" s="46" t="inlineStr">
        <is>
          <t>2023-12</t>
        </is>
      </c>
      <c r="D426" s="46" t="n">
        <v>2023</v>
      </c>
      <c r="E426" s="46" t="inlineStr">
        <is>
          <t>P-HB-001</t>
        </is>
      </c>
      <c r="F426" s="46" t="inlineStr">
        <is>
          <t>C-HB-05</t>
        </is>
      </c>
      <c r="G426" s="48" t="inlineStr">
        <is>
          <t>독일</t>
        </is>
      </c>
      <c r="H426" s="46" t="inlineStr">
        <is>
          <t>DE</t>
        </is>
      </c>
      <c r="I426" s="49" t="n">
        <v>157308</v>
      </c>
      <c r="J426" s="46" t="inlineStr">
        <is>
          <t>EA</t>
        </is>
      </c>
      <c r="K426" s="50" t="n">
        <v>70.79000000000001</v>
      </c>
      <c r="L426" s="50" t="n">
        <v>627525.78</v>
      </c>
      <c r="M426" s="46" t="inlineStr">
        <is>
          <t>USD</t>
        </is>
      </c>
      <c r="N426" s="46" t="inlineStr">
        <is>
          <t>FOB</t>
        </is>
      </c>
      <c r="O426" s="46" t="inlineStr">
        <is>
          <t>N</t>
        </is>
      </c>
      <c r="P426" s="50" t="n">
        <v>1304.3945</v>
      </c>
      <c r="Q426" s="49">
        <f>IF(OR(L426="",M426="",P426=""),"",L426*P426)</f>
        <v/>
      </c>
    </row>
    <row r="427" ht="15" customHeight="1" s="32">
      <c r="A427" s="46" t="inlineStr">
        <is>
          <t>R-HB-0426</t>
        </is>
      </c>
      <c r="B427" s="47" t="n">
        <v>45283</v>
      </c>
      <c r="C427" s="46" t="inlineStr">
        <is>
          <t>2023-12</t>
        </is>
      </c>
      <c r="D427" s="46" t="n">
        <v>2023</v>
      </c>
      <c r="E427" s="46" t="inlineStr">
        <is>
          <t>P-HB-004</t>
        </is>
      </c>
      <c r="F427" s="46" t="inlineStr">
        <is>
          <t>C-HB-04</t>
        </is>
      </c>
      <c r="G427" s="48" t="inlineStr">
        <is>
          <t>캐나다</t>
        </is>
      </c>
      <c r="H427" s="46" t="inlineStr">
        <is>
          <t>CA</t>
        </is>
      </c>
      <c r="I427" s="49" t="n">
        <v>1967</v>
      </c>
      <c r="J427" s="46" t="inlineStr">
        <is>
          <t>EA</t>
        </is>
      </c>
      <c r="K427" s="50" t="n">
        <v>2.16</v>
      </c>
      <c r="L427" s="50" t="n">
        <v>53319.68</v>
      </c>
      <c r="M427" s="46" t="inlineStr">
        <is>
          <t>USD</t>
        </is>
      </c>
      <c r="N427" s="46" t="inlineStr">
        <is>
          <t>FOB</t>
        </is>
      </c>
      <c r="O427" s="46" t="inlineStr">
        <is>
          <t>N</t>
        </is>
      </c>
      <c r="P427" s="50" t="n">
        <v>1304.3945</v>
      </c>
      <c r="Q427" s="49">
        <f>IF(OR(L427="",M427="",P427=""),"",L427*P427)</f>
        <v/>
      </c>
    </row>
    <row r="428" ht="15" customHeight="1" s="32">
      <c r="A428" s="46" t="inlineStr">
        <is>
          <t>R-HB-0427</t>
        </is>
      </c>
      <c r="B428" s="47" t="n">
        <v>45285</v>
      </c>
      <c r="C428" s="46" t="inlineStr">
        <is>
          <t>2023-12</t>
        </is>
      </c>
      <c r="D428" s="46" t="n">
        <v>2023</v>
      </c>
      <c r="E428" s="46" t="inlineStr">
        <is>
          <t>P-HB-002</t>
        </is>
      </c>
      <c r="F428" s="46" t="inlineStr">
        <is>
          <t>C-HB-01</t>
        </is>
      </c>
      <c r="G428" s="48" t="inlineStr">
        <is>
          <t>미국</t>
        </is>
      </c>
      <c r="H428" s="46" t="inlineStr">
        <is>
          <t>US</t>
        </is>
      </c>
      <c r="I428" s="49" t="n">
        <v>256</v>
      </c>
      <c r="J428" s="46" t="inlineStr">
        <is>
          <t>EA</t>
        </is>
      </c>
      <c r="K428" s="50" t="n">
        <v>0.5600000000000001</v>
      </c>
      <c r="L428" s="50" t="n">
        <v>72280.17999999999</v>
      </c>
      <c r="M428" s="46" t="inlineStr">
        <is>
          <t>USD</t>
        </is>
      </c>
      <c r="N428" s="46" t="inlineStr">
        <is>
          <t>FOB</t>
        </is>
      </c>
      <c r="O428" s="46" t="inlineStr">
        <is>
          <t>N</t>
        </is>
      </c>
      <c r="P428" s="50" t="n">
        <v>1304.3945</v>
      </c>
      <c r="Q428" s="49">
        <f>IF(OR(L428="",M428="",P428=""),"",L428*P428)</f>
        <v/>
      </c>
    </row>
    <row r="429" ht="15" customHeight="1" s="32">
      <c r="A429" s="46" t="inlineStr">
        <is>
          <t>R-HB-0428</t>
        </is>
      </c>
      <c r="B429" s="47" t="n">
        <v>45285</v>
      </c>
      <c r="C429" s="46" t="inlineStr">
        <is>
          <t>2023-12</t>
        </is>
      </c>
      <c r="D429" s="46" t="n">
        <v>2023</v>
      </c>
      <c r="E429" s="46" t="inlineStr">
        <is>
          <t>P-HB-004</t>
        </is>
      </c>
      <c r="F429" s="46" t="inlineStr">
        <is>
          <t>C-HB-06</t>
        </is>
      </c>
      <c r="G429" s="48" t="inlineStr">
        <is>
          <t>베트남</t>
        </is>
      </c>
      <c r="H429" s="46" t="inlineStr">
        <is>
          <t>VN</t>
        </is>
      </c>
      <c r="I429" s="49" t="n">
        <v>13910</v>
      </c>
      <c r="J429" s="46" t="inlineStr">
        <is>
          <t>EA</t>
        </is>
      </c>
      <c r="K429" s="50" t="n">
        <v>15.3</v>
      </c>
      <c r="L429" s="50" t="n">
        <v>389989.73</v>
      </c>
      <c r="M429" s="46" t="inlineStr">
        <is>
          <t>USD</t>
        </is>
      </c>
      <c r="N429" s="46" t="inlineStr">
        <is>
          <t>FOB</t>
        </is>
      </c>
      <c r="O429" s="46" t="inlineStr">
        <is>
          <t>N</t>
        </is>
      </c>
      <c r="P429" s="50" t="n">
        <v>1304.3945</v>
      </c>
      <c r="Q429" s="49">
        <f>IF(OR(L429="",M429="",P429=""),"",L429*P429)</f>
        <v/>
      </c>
    </row>
    <row r="430" ht="15" customHeight="1" s="32">
      <c r="A430" s="46" t="inlineStr">
        <is>
          <t>R-HB-0429</t>
        </is>
      </c>
      <c r="B430" s="47" t="n">
        <v>45285</v>
      </c>
      <c r="C430" s="46" t="inlineStr">
        <is>
          <t>2023-12</t>
        </is>
      </c>
      <c r="D430" s="46" t="n">
        <v>2023</v>
      </c>
      <c r="E430" s="46" t="inlineStr">
        <is>
          <t>P-HB-001</t>
        </is>
      </c>
      <c r="F430" s="46" t="inlineStr">
        <is>
          <t>C-HB-07</t>
        </is>
      </c>
      <c r="G430" s="48" t="inlineStr">
        <is>
          <t>인도</t>
        </is>
      </c>
      <c r="H430" s="46" t="inlineStr">
        <is>
          <t>IN</t>
        </is>
      </c>
      <c r="I430" s="49" t="n">
        <v>88537</v>
      </c>
      <c r="J430" s="46" t="inlineStr">
        <is>
          <t>EA</t>
        </is>
      </c>
      <c r="K430" s="50" t="n">
        <v>39.84</v>
      </c>
      <c r="L430" s="50" t="n">
        <v>344134.19</v>
      </c>
      <c r="M430" s="46" t="inlineStr">
        <is>
          <t>USD</t>
        </is>
      </c>
      <c r="N430" s="46" t="inlineStr">
        <is>
          <t>FOB</t>
        </is>
      </c>
      <c r="O430" s="46" t="inlineStr">
        <is>
          <t>N</t>
        </is>
      </c>
      <c r="P430" s="50" t="n">
        <v>1304.3945</v>
      </c>
      <c r="Q430" s="49">
        <f>IF(OR(L430="",M430="",P430=""),"",L430*P430)</f>
        <v/>
      </c>
    </row>
    <row r="431" ht="15" customHeight="1" s="32">
      <c r="A431" s="46" t="inlineStr">
        <is>
          <t>R-HB-0430</t>
        </is>
      </c>
      <c r="B431" s="47" t="n">
        <v>45286</v>
      </c>
      <c r="C431" s="46" t="inlineStr">
        <is>
          <t>2023-12</t>
        </is>
      </c>
      <c r="D431" s="46" t="n">
        <v>2023</v>
      </c>
      <c r="E431" s="46" t="inlineStr">
        <is>
          <t>P-HB-001</t>
        </is>
      </c>
      <c r="F431" s="46" t="inlineStr">
        <is>
          <t>C-HB-03</t>
        </is>
      </c>
      <c r="G431" s="48" t="inlineStr">
        <is>
          <t>멕시코</t>
        </is>
      </c>
      <c r="H431" s="46" t="inlineStr">
        <is>
          <t>MX</t>
        </is>
      </c>
      <c r="I431" s="49" t="n">
        <v>33771</v>
      </c>
      <c r="J431" s="46" t="inlineStr">
        <is>
          <t>EA</t>
        </is>
      </c>
      <c r="K431" s="50" t="n">
        <v>15.2</v>
      </c>
      <c r="L431" s="50" t="n">
        <v>132809.86</v>
      </c>
      <c r="M431" s="46" t="inlineStr">
        <is>
          <t>USD</t>
        </is>
      </c>
      <c r="N431" s="46" t="inlineStr">
        <is>
          <t>FOB</t>
        </is>
      </c>
      <c r="O431" s="46" t="inlineStr">
        <is>
          <t>N</t>
        </is>
      </c>
      <c r="P431" s="50" t="n">
        <v>1304.3945</v>
      </c>
      <c r="Q431" s="49">
        <f>IF(OR(L431="",M431="",P431=""),"",L431*P431)</f>
        <v/>
      </c>
    </row>
    <row r="432" ht="15" customHeight="1" s="32">
      <c r="A432" s="46" t="inlineStr">
        <is>
          <t>R-HB-0431</t>
        </is>
      </c>
      <c r="B432" s="47" t="n">
        <v>45287</v>
      </c>
      <c r="C432" s="46" t="inlineStr">
        <is>
          <t>2023-12</t>
        </is>
      </c>
      <c r="D432" s="46" t="n">
        <v>2023</v>
      </c>
      <c r="E432" s="46" t="inlineStr">
        <is>
          <t>P-HB-001</t>
        </is>
      </c>
      <c r="F432" s="46" t="inlineStr">
        <is>
          <t>C-HB-09</t>
        </is>
      </c>
      <c r="G432" s="48" t="inlineStr">
        <is>
          <t>중국</t>
        </is>
      </c>
      <c r="H432" s="46" t="inlineStr">
        <is>
          <t>CN</t>
        </is>
      </c>
      <c r="I432" s="49" t="n">
        <v>101481</v>
      </c>
      <c r="J432" s="46" t="inlineStr">
        <is>
          <t>EA</t>
        </is>
      </c>
      <c r="K432" s="50" t="n">
        <v>45.67</v>
      </c>
      <c r="L432" s="50" t="n">
        <v>408435.84</v>
      </c>
      <c r="M432" s="46" t="inlineStr">
        <is>
          <t>USD</t>
        </is>
      </c>
      <c r="N432" s="46" t="inlineStr">
        <is>
          <t>FOB</t>
        </is>
      </c>
      <c r="O432" s="46" t="inlineStr">
        <is>
          <t>N</t>
        </is>
      </c>
      <c r="P432" s="50" t="n">
        <v>1304.3945</v>
      </c>
      <c r="Q432" s="49">
        <f>IF(OR(L432="",M432="",P432=""),"",L432*P432)</f>
        <v/>
      </c>
    </row>
    <row r="433" ht="15" customHeight="1" s="32">
      <c r="A433" s="46" t="inlineStr">
        <is>
          <t>R-HB-0432</t>
        </is>
      </c>
      <c r="B433" s="47" t="n">
        <v>45287</v>
      </c>
      <c r="C433" s="46" t="inlineStr">
        <is>
          <t>2023-12</t>
        </is>
      </c>
      <c r="D433" s="46" t="n">
        <v>2023</v>
      </c>
      <c r="E433" s="46" t="inlineStr">
        <is>
          <t>P-HB-003</t>
        </is>
      </c>
      <c r="F433" s="46" t="inlineStr">
        <is>
          <t>C-HB-09</t>
        </is>
      </c>
      <c r="G433" s="48" t="inlineStr">
        <is>
          <t>중국</t>
        </is>
      </c>
      <c r="H433" s="46" t="inlineStr">
        <is>
          <t>CN</t>
        </is>
      </c>
      <c r="I433" s="49" t="n">
        <v>39503</v>
      </c>
      <c r="J433" s="46" t="inlineStr">
        <is>
          <t>EA</t>
        </is>
      </c>
      <c r="K433" s="50" t="n">
        <v>25.68</v>
      </c>
      <c r="L433" s="50" t="n">
        <v>224602.68</v>
      </c>
      <c r="M433" s="46" t="inlineStr">
        <is>
          <t>USD</t>
        </is>
      </c>
      <c r="N433" s="46" t="inlineStr">
        <is>
          <t>FOB</t>
        </is>
      </c>
      <c r="O433" s="46" t="inlineStr">
        <is>
          <t>N</t>
        </is>
      </c>
      <c r="P433" s="50" t="n">
        <v>1304.3945</v>
      </c>
      <c r="Q433" s="49">
        <f>IF(OR(L433="",M433="",P433=""),"",L433*P433)</f>
        <v/>
      </c>
    </row>
    <row r="434" ht="15" customHeight="1" s="32">
      <c r="A434" s="46" t="inlineStr">
        <is>
          <t>R-HB-0433</t>
        </is>
      </c>
      <c r="B434" s="47" t="n">
        <v>45294</v>
      </c>
      <c r="C434" s="46" t="inlineStr">
        <is>
          <t>2024-01</t>
        </is>
      </c>
      <c r="D434" s="46" t="n">
        <v>2024</v>
      </c>
      <c r="E434" s="46" t="inlineStr">
        <is>
          <t>P-HB-003</t>
        </is>
      </c>
      <c r="F434" s="46" t="inlineStr">
        <is>
          <t>C-HB-02</t>
        </is>
      </c>
      <c r="G434" s="48" t="inlineStr">
        <is>
          <t>미국</t>
        </is>
      </c>
      <c r="H434" s="46" t="inlineStr">
        <is>
          <t>US</t>
        </is>
      </c>
      <c r="I434" s="49" t="n">
        <v>38686</v>
      </c>
      <c r="J434" s="46" t="inlineStr">
        <is>
          <t>EA</t>
        </is>
      </c>
      <c r="K434" s="50" t="n">
        <v>25.15</v>
      </c>
      <c r="L434" s="50" t="n">
        <v>230240.18</v>
      </c>
      <c r="M434" s="46" t="inlineStr">
        <is>
          <t>USD</t>
        </is>
      </c>
      <c r="N434" s="46" t="inlineStr">
        <is>
          <t>FOB</t>
        </is>
      </c>
      <c r="O434" s="46" t="inlineStr">
        <is>
          <t>N</t>
        </is>
      </c>
      <c r="P434" s="50" t="n">
        <v>1325.9119</v>
      </c>
      <c r="Q434" s="49">
        <f>IF(OR(L434="",M434="",P434=""),"",L434*P434)</f>
        <v/>
      </c>
    </row>
    <row r="435" ht="15" customHeight="1" s="32">
      <c r="A435" s="46" t="inlineStr">
        <is>
          <t>R-HB-0434</t>
        </is>
      </c>
      <c r="B435" s="47" t="n">
        <v>45294</v>
      </c>
      <c r="C435" s="46" t="inlineStr">
        <is>
          <t>2024-01</t>
        </is>
      </c>
      <c r="D435" s="46" t="n">
        <v>2024</v>
      </c>
      <c r="E435" s="46" t="inlineStr">
        <is>
          <t>P-HB-004</t>
        </is>
      </c>
      <c r="F435" s="46" t="inlineStr">
        <is>
          <t>C-HB-09</t>
        </is>
      </c>
      <c r="G435" s="48" t="inlineStr">
        <is>
          <t>중국</t>
        </is>
      </c>
      <c r="H435" s="46" t="inlineStr">
        <is>
          <t>CN</t>
        </is>
      </c>
      <c r="I435" s="49" t="n">
        <v>11963</v>
      </c>
      <c r="J435" s="46" t="inlineStr">
        <is>
          <t>EA</t>
        </is>
      </c>
      <c r="K435" s="50" t="n">
        <v>13.16</v>
      </c>
      <c r="L435" s="50" t="n">
        <v>343690.06</v>
      </c>
      <c r="M435" s="46" t="inlineStr">
        <is>
          <t>USD</t>
        </is>
      </c>
      <c r="N435" s="46" t="inlineStr">
        <is>
          <t>FOB</t>
        </is>
      </c>
      <c r="O435" s="46" t="inlineStr">
        <is>
          <t>N</t>
        </is>
      </c>
      <c r="P435" s="50" t="n">
        <v>1325.9119</v>
      </c>
      <c r="Q435" s="49">
        <f>IF(OR(L435="",M435="",P435=""),"",L435*P435)</f>
        <v/>
      </c>
    </row>
    <row r="436" ht="15" customHeight="1" s="32">
      <c r="A436" s="46" t="inlineStr">
        <is>
          <t>R-HB-0435</t>
        </is>
      </c>
      <c r="B436" s="47" t="n">
        <v>45295</v>
      </c>
      <c r="C436" s="46" t="inlineStr">
        <is>
          <t>2024-01</t>
        </is>
      </c>
      <c r="D436" s="46" t="n">
        <v>2024</v>
      </c>
      <c r="E436" s="46" t="inlineStr">
        <is>
          <t>P-HB-004</t>
        </is>
      </c>
      <c r="F436" s="46" t="inlineStr">
        <is>
          <t>C-HB-03</t>
        </is>
      </c>
      <c r="G436" s="48" t="inlineStr">
        <is>
          <t>멕시코</t>
        </is>
      </c>
      <c r="H436" s="46" t="inlineStr">
        <is>
          <t>MX</t>
        </is>
      </c>
      <c r="I436" s="49" t="n">
        <v>2505</v>
      </c>
      <c r="J436" s="46" t="inlineStr">
        <is>
          <t>EA</t>
        </is>
      </c>
      <c r="K436" s="50" t="n">
        <v>2.76</v>
      </c>
      <c r="L436" s="50" t="n">
        <v>71213.91</v>
      </c>
      <c r="M436" s="46" t="inlineStr">
        <is>
          <t>USD</t>
        </is>
      </c>
      <c r="N436" s="46" t="inlineStr">
        <is>
          <t>FOB</t>
        </is>
      </c>
      <c r="O436" s="46" t="inlineStr">
        <is>
          <t>N</t>
        </is>
      </c>
      <c r="P436" s="50" t="n">
        <v>1325.9119</v>
      </c>
      <c r="Q436" s="49">
        <f>IF(OR(L436="",M436="",P436=""),"",L436*P436)</f>
        <v/>
      </c>
    </row>
    <row r="437" ht="15" customHeight="1" s="32">
      <c r="A437" s="46" t="inlineStr">
        <is>
          <t>R-HB-0436</t>
        </is>
      </c>
      <c r="B437" s="47" t="n">
        <v>45295</v>
      </c>
      <c r="C437" s="46" t="inlineStr">
        <is>
          <t>2024-01</t>
        </is>
      </c>
      <c r="D437" s="46" t="n">
        <v>2024</v>
      </c>
      <c r="E437" s="46" t="inlineStr">
        <is>
          <t>P-HB-002</t>
        </is>
      </c>
      <c r="F437" s="46" t="inlineStr">
        <is>
          <t>C-HB-04</t>
        </is>
      </c>
      <c r="G437" s="48" t="inlineStr">
        <is>
          <t>캐나다</t>
        </is>
      </c>
      <c r="H437" s="46" t="inlineStr">
        <is>
          <t>CA</t>
        </is>
      </c>
      <c r="I437" s="49" t="n">
        <v>61</v>
      </c>
      <c r="J437" s="46" t="inlineStr">
        <is>
          <t>EA</t>
        </is>
      </c>
      <c r="K437" s="50" t="n">
        <v>0.13</v>
      </c>
      <c r="L437" s="50" t="n">
        <v>17543.73</v>
      </c>
      <c r="M437" s="46" t="inlineStr">
        <is>
          <t>USD</t>
        </is>
      </c>
      <c r="N437" s="46" t="inlineStr">
        <is>
          <t>FOB</t>
        </is>
      </c>
      <c r="O437" s="46" t="inlineStr">
        <is>
          <t>N</t>
        </is>
      </c>
      <c r="P437" s="50" t="n">
        <v>1325.9119</v>
      </c>
      <c r="Q437" s="49">
        <f>IF(OR(L437="",M437="",P437=""),"",L437*P437)</f>
        <v/>
      </c>
    </row>
    <row r="438" ht="15" customHeight="1" s="32">
      <c r="A438" s="46" t="inlineStr">
        <is>
          <t>R-HB-0437</t>
        </is>
      </c>
      <c r="B438" s="47" t="n">
        <v>45295</v>
      </c>
      <c r="C438" s="46" t="inlineStr">
        <is>
          <t>2024-01</t>
        </is>
      </c>
      <c r="D438" s="46" t="n">
        <v>2024</v>
      </c>
      <c r="E438" s="46" t="inlineStr">
        <is>
          <t>P-HB-002</t>
        </is>
      </c>
      <c r="F438" s="46" t="inlineStr">
        <is>
          <t>C-HB-06</t>
        </is>
      </c>
      <c r="G438" s="48" t="inlineStr">
        <is>
          <t>베트남</t>
        </is>
      </c>
      <c r="H438" s="46" t="inlineStr">
        <is>
          <t>VN</t>
        </is>
      </c>
      <c r="I438" s="49" t="n">
        <v>390</v>
      </c>
      <c r="J438" s="46" t="inlineStr">
        <is>
          <t>EA</t>
        </is>
      </c>
      <c r="K438" s="50" t="n">
        <v>0.86</v>
      </c>
      <c r="L438" s="50" t="n">
        <v>110998.22</v>
      </c>
      <c r="M438" s="46" t="inlineStr">
        <is>
          <t>USD</t>
        </is>
      </c>
      <c r="N438" s="46" t="inlineStr">
        <is>
          <t>FOB</t>
        </is>
      </c>
      <c r="O438" s="46" t="inlineStr">
        <is>
          <t>N</t>
        </is>
      </c>
      <c r="P438" s="50" t="n">
        <v>1325.9119</v>
      </c>
      <c r="Q438" s="49">
        <f>IF(OR(L438="",M438="",P438=""),"",L438*P438)</f>
        <v/>
      </c>
    </row>
    <row r="439" ht="15" customHeight="1" s="32">
      <c r="A439" s="46" t="inlineStr">
        <is>
          <t>R-HB-0438</t>
        </is>
      </c>
      <c r="B439" s="47" t="n">
        <v>45296</v>
      </c>
      <c r="C439" s="46" t="inlineStr">
        <is>
          <t>2024-01</t>
        </is>
      </c>
      <c r="D439" s="46" t="n">
        <v>2024</v>
      </c>
      <c r="E439" s="46" t="inlineStr">
        <is>
          <t>P-HB-002</t>
        </is>
      </c>
      <c r="F439" s="46" t="inlineStr">
        <is>
          <t>C-HB-09</t>
        </is>
      </c>
      <c r="G439" s="48" t="inlineStr">
        <is>
          <t>중국</t>
        </is>
      </c>
      <c r="H439" s="46" t="inlineStr">
        <is>
          <t>CN</t>
        </is>
      </c>
      <c r="I439" s="49" t="n">
        <v>465</v>
      </c>
      <c r="J439" s="46" t="inlineStr">
        <is>
          <t>EA</t>
        </is>
      </c>
      <c r="K439" s="50" t="n">
        <v>1.02</v>
      </c>
      <c r="L439" s="50" t="n">
        <v>133246.31</v>
      </c>
      <c r="M439" s="46" t="inlineStr">
        <is>
          <t>USD</t>
        </is>
      </c>
      <c r="N439" s="46" t="inlineStr">
        <is>
          <t>FOB</t>
        </is>
      </c>
      <c r="O439" s="46" t="inlineStr">
        <is>
          <t>N</t>
        </is>
      </c>
      <c r="P439" s="50" t="n">
        <v>1325.9119</v>
      </c>
      <c r="Q439" s="49">
        <f>IF(OR(L439="",M439="",P439=""),"",L439*P439)</f>
        <v/>
      </c>
    </row>
    <row r="440" ht="15" customHeight="1" s="32">
      <c r="A440" s="46" t="inlineStr">
        <is>
          <t>R-HB-0439</t>
        </is>
      </c>
      <c r="B440" s="47" t="n">
        <v>45298</v>
      </c>
      <c r="C440" s="46" t="inlineStr">
        <is>
          <t>2024-01</t>
        </is>
      </c>
      <c r="D440" s="46" t="n">
        <v>2024</v>
      </c>
      <c r="E440" s="46" t="inlineStr">
        <is>
          <t>P-HB-002</t>
        </is>
      </c>
      <c r="F440" s="46" t="inlineStr">
        <is>
          <t>C-HB-02</t>
        </is>
      </c>
      <c r="G440" s="48" t="inlineStr">
        <is>
          <t>미국</t>
        </is>
      </c>
      <c r="H440" s="46" t="inlineStr">
        <is>
          <t>US</t>
        </is>
      </c>
      <c r="I440" s="49" t="n">
        <v>349</v>
      </c>
      <c r="J440" s="46" t="inlineStr">
        <is>
          <t>EA</t>
        </is>
      </c>
      <c r="K440" s="50" t="n">
        <v>0.77</v>
      </c>
      <c r="L440" s="50" t="n">
        <v>99474.25</v>
      </c>
      <c r="M440" s="46" t="inlineStr">
        <is>
          <t>USD</t>
        </is>
      </c>
      <c r="N440" s="46" t="inlineStr">
        <is>
          <t>FOB</t>
        </is>
      </c>
      <c r="O440" s="46" t="inlineStr">
        <is>
          <t>N</t>
        </is>
      </c>
      <c r="P440" s="50" t="n">
        <v>1325.9119</v>
      </c>
      <c r="Q440" s="49">
        <f>IF(OR(L440="",M440="",P440=""),"",L440*P440)</f>
        <v/>
      </c>
    </row>
    <row r="441" ht="15" customHeight="1" s="32">
      <c r="A441" s="46" t="inlineStr">
        <is>
          <t>R-HB-0440</t>
        </is>
      </c>
      <c r="B441" s="47" t="n">
        <v>45298</v>
      </c>
      <c r="C441" s="46" t="inlineStr">
        <is>
          <t>2024-01</t>
        </is>
      </c>
      <c r="D441" s="46" t="n">
        <v>2024</v>
      </c>
      <c r="E441" s="46" t="inlineStr">
        <is>
          <t>P-HB-004</t>
        </is>
      </c>
      <c r="F441" s="46" t="inlineStr">
        <is>
          <t>C-HB-05</t>
        </is>
      </c>
      <c r="G441" s="48" t="inlineStr">
        <is>
          <t>독일</t>
        </is>
      </c>
      <c r="H441" s="46" t="inlineStr">
        <is>
          <t>DE</t>
        </is>
      </c>
      <c r="I441" s="49" t="n">
        <v>12207</v>
      </c>
      <c r="J441" s="46" t="inlineStr">
        <is>
          <t>EA</t>
        </is>
      </c>
      <c r="K441" s="50" t="n">
        <v>13.43</v>
      </c>
      <c r="L441" s="50" t="n">
        <v>344722.56</v>
      </c>
      <c r="M441" s="46" t="inlineStr">
        <is>
          <t>USD</t>
        </is>
      </c>
      <c r="N441" s="46" t="inlineStr">
        <is>
          <t>FOB</t>
        </is>
      </c>
      <c r="O441" s="46" t="inlineStr">
        <is>
          <t>N</t>
        </is>
      </c>
      <c r="P441" s="50" t="n">
        <v>1325.9119</v>
      </c>
      <c r="Q441" s="49">
        <f>IF(OR(L441="",M441="",P441=""),"",L441*P441)</f>
        <v/>
      </c>
    </row>
    <row r="442" ht="15" customHeight="1" s="32">
      <c r="A442" s="46" t="inlineStr">
        <is>
          <t>R-HB-0441</t>
        </is>
      </c>
      <c r="B442" s="47" t="n">
        <v>45298</v>
      </c>
      <c r="C442" s="46" t="inlineStr">
        <is>
          <t>2024-01</t>
        </is>
      </c>
      <c r="D442" s="46" t="n">
        <v>2024</v>
      </c>
      <c r="E442" s="46" t="inlineStr">
        <is>
          <t>P-HB-003</t>
        </is>
      </c>
      <c r="F442" s="46" t="inlineStr">
        <is>
          <t>C-HB-07</t>
        </is>
      </c>
      <c r="G442" s="48" t="inlineStr">
        <is>
          <t>인도</t>
        </is>
      </c>
      <c r="H442" s="46" t="inlineStr">
        <is>
          <t>IN</t>
        </is>
      </c>
      <c r="I442" s="49" t="n">
        <v>26491</v>
      </c>
      <c r="J442" s="46" t="inlineStr">
        <is>
          <t>EA</t>
        </is>
      </c>
      <c r="K442" s="50" t="n">
        <v>17.22</v>
      </c>
      <c r="L442" s="50" t="n">
        <v>159793.25</v>
      </c>
      <c r="M442" s="46" t="inlineStr">
        <is>
          <t>USD</t>
        </is>
      </c>
      <c r="N442" s="46" t="inlineStr">
        <is>
          <t>FOB</t>
        </is>
      </c>
      <c r="O442" s="46" t="inlineStr">
        <is>
          <t>N</t>
        </is>
      </c>
      <c r="P442" s="50" t="n">
        <v>1325.9119</v>
      </c>
      <c r="Q442" s="49">
        <f>IF(OR(L442="",M442="",P442=""),"",L442*P442)</f>
        <v/>
      </c>
    </row>
    <row r="443" ht="15" customHeight="1" s="32">
      <c r="A443" s="46" t="inlineStr">
        <is>
          <t>R-HB-0442</t>
        </is>
      </c>
      <c r="B443" s="47" t="n">
        <v>45299</v>
      </c>
      <c r="C443" s="46" t="inlineStr">
        <is>
          <t>2024-01</t>
        </is>
      </c>
      <c r="D443" s="46" t="n">
        <v>2024</v>
      </c>
      <c r="E443" s="46" t="inlineStr">
        <is>
          <t>P-HB-003</t>
        </is>
      </c>
      <c r="F443" s="46" t="inlineStr">
        <is>
          <t>C-HB-05</t>
        </is>
      </c>
      <c r="G443" s="48" t="inlineStr">
        <is>
          <t>독일</t>
        </is>
      </c>
      <c r="H443" s="46" t="inlineStr">
        <is>
          <t>DE</t>
        </is>
      </c>
      <c r="I443" s="49" t="n">
        <v>60385</v>
      </c>
      <c r="J443" s="46" t="inlineStr">
        <is>
          <t>EA</t>
        </is>
      </c>
      <c r="K443" s="50" t="n">
        <v>39.25</v>
      </c>
      <c r="L443" s="50" t="n">
        <v>353352.45</v>
      </c>
      <c r="M443" s="46" t="inlineStr">
        <is>
          <t>USD</t>
        </is>
      </c>
      <c r="N443" s="46" t="inlineStr">
        <is>
          <t>FOB</t>
        </is>
      </c>
      <c r="O443" s="46" t="inlineStr">
        <is>
          <t>N</t>
        </is>
      </c>
      <c r="P443" s="50" t="n">
        <v>1325.9119</v>
      </c>
      <c r="Q443" s="49">
        <f>IF(OR(L443="",M443="",P443=""),"",L443*P443)</f>
        <v/>
      </c>
    </row>
    <row r="444" ht="15" customHeight="1" s="32">
      <c r="A444" s="46" t="inlineStr">
        <is>
          <t>R-HB-0443</t>
        </is>
      </c>
      <c r="B444" s="47" t="n">
        <v>45300</v>
      </c>
      <c r="C444" s="46" t="inlineStr">
        <is>
          <t>2024-01</t>
        </is>
      </c>
      <c r="D444" s="46" t="n">
        <v>2024</v>
      </c>
      <c r="E444" s="46" t="inlineStr">
        <is>
          <t>P-HB-002</t>
        </is>
      </c>
      <c r="F444" s="46" t="inlineStr">
        <is>
          <t>C-HB-03</t>
        </is>
      </c>
      <c r="G444" s="48" t="inlineStr">
        <is>
          <t>멕시코</t>
        </is>
      </c>
      <c r="H444" s="46" t="inlineStr">
        <is>
          <t>MX</t>
        </is>
      </c>
      <c r="I444" s="49" t="n">
        <v>112</v>
      </c>
      <c r="J444" s="46" t="inlineStr">
        <is>
          <t>EA</t>
        </is>
      </c>
      <c r="K444" s="50" t="n">
        <v>0.25</v>
      </c>
      <c r="L444" s="50" t="n">
        <v>33108.91</v>
      </c>
      <c r="M444" s="46" t="inlineStr">
        <is>
          <t>USD</t>
        </is>
      </c>
      <c r="N444" s="46" t="inlineStr">
        <is>
          <t>FOB</t>
        </is>
      </c>
      <c r="O444" s="46" t="inlineStr">
        <is>
          <t>N</t>
        </is>
      </c>
      <c r="P444" s="50" t="n">
        <v>1325.9119</v>
      </c>
      <c r="Q444" s="49">
        <f>IF(OR(L444="",M444="",P444=""),"",L444*P444)</f>
        <v/>
      </c>
    </row>
    <row r="445" ht="15" customHeight="1" s="32">
      <c r="A445" s="46" t="inlineStr">
        <is>
          <t>R-HB-0444</t>
        </is>
      </c>
      <c r="B445" s="47" t="n">
        <v>45301</v>
      </c>
      <c r="C445" s="46" t="inlineStr">
        <is>
          <t>2024-01</t>
        </is>
      </c>
      <c r="D445" s="46" t="n">
        <v>2024</v>
      </c>
      <c r="E445" s="46" t="inlineStr">
        <is>
          <t>P-HB-001</t>
        </is>
      </c>
      <c r="F445" s="46" t="inlineStr">
        <is>
          <t>C-HB-06</t>
        </is>
      </c>
      <c r="G445" s="48" t="inlineStr">
        <is>
          <t>베트남</t>
        </is>
      </c>
      <c r="H445" s="46" t="inlineStr">
        <is>
          <t>VN</t>
        </is>
      </c>
      <c r="I445" s="49" t="n">
        <v>106443</v>
      </c>
      <c r="J445" s="46" t="inlineStr">
        <is>
          <t>EA</t>
        </is>
      </c>
      <c r="K445" s="50" t="n">
        <v>47.9</v>
      </c>
      <c r="L445" s="50" t="n">
        <v>441938.76</v>
      </c>
      <c r="M445" s="46" t="inlineStr">
        <is>
          <t>USD</t>
        </is>
      </c>
      <c r="N445" s="46" t="inlineStr">
        <is>
          <t>FOB</t>
        </is>
      </c>
      <c r="O445" s="46" t="inlineStr">
        <is>
          <t>N</t>
        </is>
      </c>
      <c r="P445" s="50" t="n">
        <v>1325.9119</v>
      </c>
      <c r="Q445" s="49">
        <f>IF(OR(L445="",M445="",P445=""),"",L445*P445)</f>
        <v/>
      </c>
    </row>
    <row r="446" ht="15" customHeight="1" s="32">
      <c r="A446" s="46" t="inlineStr">
        <is>
          <t>R-HB-0445</t>
        </is>
      </c>
      <c r="B446" s="47" t="n">
        <v>45302</v>
      </c>
      <c r="C446" s="46" t="inlineStr">
        <is>
          <t>2024-01</t>
        </is>
      </c>
      <c r="D446" s="46" t="n">
        <v>2024</v>
      </c>
      <c r="E446" s="46" t="inlineStr">
        <is>
          <t>P-HB-003</t>
        </is>
      </c>
      <c r="F446" s="46" t="inlineStr">
        <is>
          <t>C-HB-03</t>
        </is>
      </c>
      <c r="G446" s="48" t="inlineStr">
        <is>
          <t>멕시코</t>
        </is>
      </c>
      <c r="H446" s="46" t="inlineStr">
        <is>
          <t>MX</t>
        </is>
      </c>
      <c r="I446" s="49" t="n">
        <v>13045</v>
      </c>
      <c r="J446" s="46" t="inlineStr">
        <is>
          <t>EA</t>
        </is>
      </c>
      <c r="K446" s="50" t="n">
        <v>8.48</v>
      </c>
      <c r="L446" s="50" t="n">
        <v>73436.5</v>
      </c>
      <c r="M446" s="46" t="inlineStr">
        <is>
          <t>USD</t>
        </is>
      </c>
      <c r="N446" s="46" t="inlineStr">
        <is>
          <t>FOB</t>
        </is>
      </c>
      <c r="O446" s="46" t="inlineStr">
        <is>
          <t>N</t>
        </is>
      </c>
      <c r="P446" s="50" t="n">
        <v>1325.9119</v>
      </c>
      <c r="Q446" s="49">
        <f>IF(OR(L446="",M446="",P446=""),"",L446*P446)</f>
        <v/>
      </c>
    </row>
    <row r="447" ht="15" customHeight="1" s="32">
      <c r="A447" s="46" t="inlineStr">
        <is>
          <t>R-HB-0446</t>
        </is>
      </c>
      <c r="B447" s="47" t="n">
        <v>45302</v>
      </c>
      <c r="C447" s="46" t="inlineStr">
        <is>
          <t>2024-01</t>
        </is>
      </c>
      <c r="D447" s="46" t="n">
        <v>2024</v>
      </c>
      <c r="E447" s="46" t="inlineStr">
        <is>
          <t>P-HB-001</t>
        </is>
      </c>
      <c r="F447" s="46" t="inlineStr">
        <is>
          <t>C-HB-05</t>
        </is>
      </c>
      <c r="G447" s="48" t="inlineStr">
        <is>
          <t>독일</t>
        </is>
      </c>
      <c r="H447" s="46" t="inlineStr">
        <is>
          <t>DE</t>
        </is>
      </c>
      <c r="I447" s="49" t="n">
        <v>153587</v>
      </c>
      <c r="J447" s="46" t="inlineStr">
        <is>
          <t>EA</t>
        </is>
      </c>
      <c r="K447" s="50" t="n">
        <v>69.11</v>
      </c>
      <c r="L447" s="50" t="n">
        <v>661405.8100000001</v>
      </c>
      <c r="M447" s="46" t="inlineStr">
        <is>
          <t>USD</t>
        </is>
      </c>
      <c r="N447" s="46" t="inlineStr">
        <is>
          <t>FOB</t>
        </is>
      </c>
      <c r="O447" s="46" t="inlineStr">
        <is>
          <t>N</t>
        </is>
      </c>
      <c r="P447" s="50" t="n">
        <v>1325.9119</v>
      </c>
      <c r="Q447" s="49">
        <f>IF(OR(L447="",M447="",P447=""),"",L447*P447)</f>
        <v/>
      </c>
    </row>
    <row r="448" ht="15" customHeight="1" s="32">
      <c r="A448" s="46" t="inlineStr">
        <is>
          <t>R-HB-0447</t>
        </is>
      </c>
      <c r="B448" s="47" t="n">
        <v>45303</v>
      </c>
      <c r="C448" s="46" t="inlineStr">
        <is>
          <t>2024-01</t>
        </is>
      </c>
      <c r="D448" s="46" t="n">
        <v>2024</v>
      </c>
      <c r="E448" s="46" t="inlineStr">
        <is>
          <t>P-HB-004</t>
        </is>
      </c>
      <c r="F448" s="46" t="inlineStr">
        <is>
          <t>C-HB-06</t>
        </is>
      </c>
      <c r="G448" s="48" t="inlineStr">
        <is>
          <t>베트남</t>
        </is>
      </c>
      <c r="H448" s="46" t="inlineStr">
        <is>
          <t>VN</t>
        </is>
      </c>
      <c r="I448" s="49" t="n">
        <v>8160</v>
      </c>
      <c r="J448" s="46" t="inlineStr">
        <is>
          <t>EA</t>
        </is>
      </c>
      <c r="K448" s="50" t="n">
        <v>8.98</v>
      </c>
      <c r="L448" s="50" t="n">
        <v>229106.91</v>
      </c>
      <c r="M448" s="46" t="inlineStr">
        <is>
          <t>USD</t>
        </is>
      </c>
      <c r="N448" s="46" t="inlineStr">
        <is>
          <t>FOB</t>
        </is>
      </c>
      <c r="O448" s="46" t="inlineStr">
        <is>
          <t>N</t>
        </is>
      </c>
      <c r="P448" s="50" t="n">
        <v>1325.9119</v>
      </c>
      <c r="Q448" s="49">
        <f>IF(OR(L448="",M448="",P448=""),"",L448*P448)</f>
        <v/>
      </c>
    </row>
    <row r="449" ht="15" customHeight="1" s="32">
      <c r="A449" s="46" t="inlineStr">
        <is>
          <t>R-HB-0448</t>
        </is>
      </c>
      <c r="B449" s="47" t="n">
        <v>45304</v>
      </c>
      <c r="C449" s="46" t="inlineStr">
        <is>
          <t>2024-01</t>
        </is>
      </c>
      <c r="D449" s="46" t="n">
        <v>2024</v>
      </c>
      <c r="E449" s="46" t="inlineStr">
        <is>
          <t>P-HB-003</t>
        </is>
      </c>
      <c r="F449" s="46" t="inlineStr">
        <is>
          <t>C-HB-04</t>
        </is>
      </c>
      <c r="G449" s="48" t="inlineStr">
        <is>
          <t>캐나다</t>
        </is>
      </c>
      <c r="H449" s="46" t="inlineStr">
        <is>
          <t>CA</t>
        </is>
      </c>
      <c r="I449" s="49" t="n">
        <v>5872</v>
      </c>
      <c r="J449" s="46" t="inlineStr">
        <is>
          <t>EA</t>
        </is>
      </c>
      <c r="K449" s="50" t="n">
        <v>3.82</v>
      </c>
      <c r="L449" s="50" t="n">
        <v>34495.91</v>
      </c>
      <c r="M449" s="46" t="inlineStr">
        <is>
          <t>USD</t>
        </is>
      </c>
      <c r="N449" s="46" t="inlineStr">
        <is>
          <t>FOB</t>
        </is>
      </c>
      <c r="O449" s="46" t="inlineStr">
        <is>
          <t>N</t>
        </is>
      </c>
      <c r="P449" s="50" t="n">
        <v>1325.9119</v>
      </c>
      <c r="Q449" s="49">
        <f>IF(OR(L449="",M449="",P449=""),"",L449*P449)</f>
        <v/>
      </c>
    </row>
    <row r="450" ht="15" customHeight="1" s="32">
      <c r="A450" s="46" t="inlineStr">
        <is>
          <t>R-HB-0449</t>
        </is>
      </c>
      <c r="B450" s="47" t="n">
        <v>45304</v>
      </c>
      <c r="C450" s="46" t="inlineStr">
        <is>
          <t>2024-01</t>
        </is>
      </c>
      <c r="D450" s="46" t="n">
        <v>2024</v>
      </c>
      <c r="E450" s="46" t="inlineStr">
        <is>
          <t>P-HB-001</t>
        </is>
      </c>
      <c r="F450" s="46" t="inlineStr">
        <is>
          <t>C-HB-07</t>
        </is>
      </c>
      <c r="G450" s="48" t="inlineStr">
        <is>
          <t>인도</t>
        </is>
      </c>
      <c r="H450" s="46" t="inlineStr">
        <is>
          <t>IN</t>
        </is>
      </c>
      <c r="I450" s="49" t="n">
        <v>62185</v>
      </c>
      <c r="J450" s="46" t="inlineStr">
        <is>
          <t>EA</t>
        </is>
      </c>
      <c r="K450" s="50" t="n">
        <v>27.98</v>
      </c>
      <c r="L450" s="50" t="n">
        <v>263000.52</v>
      </c>
      <c r="M450" s="46" t="inlineStr">
        <is>
          <t>USD</t>
        </is>
      </c>
      <c r="N450" s="46" t="inlineStr">
        <is>
          <t>FOB</t>
        </is>
      </c>
      <c r="O450" s="46" t="inlineStr">
        <is>
          <t>N</t>
        </is>
      </c>
      <c r="P450" s="50" t="n">
        <v>1325.9119</v>
      </c>
      <c r="Q450" s="49">
        <f>IF(OR(L450="",M450="",P450=""),"",L450*P450)</f>
        <v/>
      </c>
    </row>
    <row r="451" ht="15" customHeight="1" s="32">
      <c r="A451" s="46" t="inlineStr">
        <is>
          <t>R-HB-0450</t>
        </is>
      </c>
      <c r="B451" s="47" t="n">
        <v>45305</v>
      </c>
      <c r="C451" s="46" t="inlineStr">
        <is>
          <t>2024-01</t>
        </is>
      </c>
      <c r="D451" s="46" t="n">
        <v>2024</v>
      </c>
      <c r="E451" s="46" t="inlineStr">
        <is>
          <t>P-HB-002</t>
        </is>
      </c>
      <c r="F451" s="46" t="inlineStr">
        <is>
          <t>C-HB-05</t>
        </is>
      </c>
      <c r="G451" s="48" t="inlineStr">
        <is>
          <t>독일</t>
        </is>
      </c>
      <c r="H451" s="46" t="inlineStr">
        <is>
          <t>DE</t>
        </is>
      </c>
      <c r="I451" s="49" t="n">
        <v>548</v>
      </c>
      <c r="J451" s="46" t="inlineStr">
        <is>
          <t>EA</t>
        </is>
      </c>
      <c r="K451" s="50" t="n">
        <v>1.21</v>
      </c>
      <c r="L451" s="50" t="n">
        <v>161957.37</v>
      </c>
      <c r="M451" s="46" t="inlineStr">
        <is>
          <t>USD</t>
        </is>
      </c>
      <c r="N451" s="46" t="inlineStr">
        <is>
          <t>FOB</t>
        </is>
      </c>
      <c r="O451" s="46" t="inlineStr">
        <is>
          <t>N</t>
        </is>
      </c>
      <c r="P451" s="50" t="n">
        <v>1325.9119</v>
      </c>
      <c r="Q451" s="49">
        <f>IF(OR(L451="",M451="",P451=""),"",L451*P451)</f>
        <v/>
      </c>
    </row>
    <row r="452" ht="15" customHeight="1" s="32">
      <c r="A452" s="46" t="inlineStr">
        <is>
          <t>R-HB-0451</t>
        </is>
      </c>
      <c r="B452" s="47" t="n">
        <v>45305</v>
      </c>
      <c r="C452" s="46" t="inlineStr">
        <is>
          <t>2024-01</t>
        </is>
      </c>
      <c r="D452" s="46" t="n">
        <v>2024</v>
      </c>
      <c r="E452" s="46" t="inlineStr">
        <is>
          <t>P-HB-003</t>
        </is>
      </c>
      <c r="F452" s="46" t="inlineStr">
        <is>
          <t>C-HB-08</t>
        </is>
      </c>
      <c r="G452" s="48" t="inlineStr">
        <is>
          <t>중국</t>
        </is>
      </c>
      <c r="H452" s="46" t="inlineStr">
        <is>
          <t>CN</t>
        </is>
      </c>
      <c r="I452" s="49" t="n">
        <v>75792</v>
      </c>
      <c r="J452" s="46" t="inlineStr">
        <is>
          <t>EA</t>
        </is>
      </c>
      <c r="K452" s="50" t="n">
        <v>49.26</v>
      </c>
      <c r="L452" s="50" t="n">
        <v>432636.86</v>
      </c>
      <c r="M452" s="46" t="inlineStr">
        <is>
          <t>USD</t>
        </is>
      </c>
      <c r="N452" s="46" t="inlineStr">
        <is>
          <t>FOB</t>
        </is>
      </c>
      <c r="O452" s="46" t="inlineStr">
        <is>
          <t>N</t>
        </is>
      </c>
      <c r="P452" s="50" t="n">
        <v>1325.9119</v>
      </c>
      <c r="Q452" s="49">
        <f>IF(OR(L452="",M452="",P452=""),"",L452*P452)</f>
        <v/>
      </c>
    </row>
    <row r="453" ht="15" customHeight="1" s="32">
      <c r="A453" s="46" t="inlineStr">
        <is>
          <t>R-HB-0452</t>
        </is>
      </c>
      <c r="B453" s="47" t="n">
        <v>45306</v>
      </c>
      <c r="C453" s="46" t="inlineStr">
        <is>
          <t>2024-01</t>
        </is>
      </c>
      <c r="D453" s="46" t="n">
        <v>2024</v>
      </c>
      <c r="E453" s="46" t="inlineStr">
        <is>
          <t>P-HB-002</t>
        </is>
      </c>
      <c r="F453" s="46" t="inlineStr">
        <is>
          <t>C-HB-07</t>
        </is>
      </c>
      <c r="G453" s="48" t="inlineStr">
        <is>
          <t>인도</t>
        </is>
      </c>
      <c r="H453" s="46" t="inlineStr">
        <is>
          <t>IN</t>
        </is>
      </c>
      <c r="I453" s="49" t="n">
        <v>261</v>
      </c>
      <c r="J453" s="46" t="inlineStr">
        <is>
          <t>EA</t>
        </is>
      </c>
      <c r="K453" s="50" t="n">
        <v>0.57</v>
      </c>
      <c r="L453" s="50" t="n">
        <v>73945.21000000001</v>
      </c>
      <c r="M453" s="46" t="inlineStr">
        <is>
          <t>USD</t>
        </is>
      </c>
      <c r="N453" s="46" t="inlineStr">
        <is>
          <t>FOB</t>
        </is>
      </c>
      <c r="O453" s="46" t="inlineStr">
        <is>
          <t>N</t>
        </is>
      </c>
      <c r="P453" s="50" t="n">
        <v>1325.9119</v>
      </c>
      <c r="Q453" s="49">
        <f>IF(OR(L453="",M453="",P453=""),"",L453*P453)</f>
        <v/>
      </c>
    </row>
    <row r="454" ht="15" customHeight="1" s="32">
      <c r="A454" s="46" t="inlineStr">
        <is>
          <t>R-HB-0453</t>
        </is>
      </c>
      <c r="B454" s="47" t="n">
        <v>45308</v>
      </c>
      <c r="C454" s="46" t="inlineStr">
        <is>
          <t>2024-01</t>
        </is>
      </c>
      <c r="D454" s="46" t="n">
        <v>2024</v>
      </c>
      <c r="E454" s="46" t="inlineStr">
        <is>
          <t>P-HB-003</t>
        </is>
      </c>
      <c r="F454" s="46" t="inlineStr">
        <is>
          <t>C-HB-09</t>
        </is>
      </c>
      <c r="G454" s="48" t="inlineStr">
        <is>
          <t>중국</t>
        </is>
      </c>
      <c r="H454" s="46" t="inlineStr">
        <is>
          <t>CN</t>
        </is>
      </c>
      <c r="I454" s="49" t="n">
        <v>52379</v>
      </c>
      <c r="J454" s="46" t="inlineStr">
        <is>
          <t>EA</t>
        </is>
      </c>
      <c r="K454" s="50" t="n">
        <v>34.05</v>
      </c>
      <c r="L454" s="50" t="n">
        <v>302582.43</v>
      </c>
      <c r="M454" s="46" t="inlineStr">
        <is>
          <t>USD</t>
        </is>
      </c>
      <c r="N454" s="46" t="inlineStr">
        <is>
          <t>FOB</t>
        </is>
      </c>
      <c r="O454" s="46" t="inlineStr">
        <is>
          <t>N</t>
        </is>
      </c>
      <c r="P454" s="50" t="n">
        <v>1325.9119</v>
      </c>
      <c r="Q454" s="49">
        <f>IF(OR(L454="",M454="",P454=""),"",L454*P454)</f>
        <v/>
      </c>
    </row>
    <row r="455" ht="15" customHeight="1" s="32">
      <c r="A455" s="46" t="inlineStr">
        <is>
          <t>R-HB-0454</t>
        </is>
      </c>
      <c r="B455" s="47" t="n">
        <v>45310</v>
      </c>
      <c r="C455" s="46" t="inlineStr">
        <is>
          <t>2024-01</t>
        </is>
      </c>
      <c r="D455" s="46" t="n">
        <v>2024</v>
      </c>
      <c r="E455" s="46" t="inlineStr">
        <is>
          <t>P-HB-001</t>
        </is>
      </c>
      <c r="F455" s="46" t="inlineStr">
        <is>
          <t>C-HB-03</t>
        </is>
      </c>
      <c r="G455" s="48" t="inlineStr">
        <is>
          <t>멕시코</t>
        </is>
      </c>
      <c r="H455" s="46" t="inlineStr">
        <is>
          <t>MX</t>
        </is>
      </c>
      <c r="I455" s="49" t="n">
        <v>32853</v>
      </c>
      <c r="J455" s="46" t="inlineStr">
        <is>
          <t>EA</t>
        </is>
      </c>
      <c r="K455" s="50" t="n">
        <v>14.78</v>
      </c>
      <c r="L455" s="50" t="n">
        <v>137239.66</v>
      </c>
      <c r="M455" s="46" t="inlineStr">
        <is>
          <t>USD</t>
        </is>
      </c>
      <c r="N455" s="46" t="inlineStr">
        <is>
          <t>FOB</t>
        </is>
      </c>
      <c r="O455" s="46" t="inlineStr">
        <is>
          <t>N</t>
        </is>
      </c>
      <c r="P455" s="50" t="n">
        <v>1325.9119</v>
      </c>
      <c r="Q455" s="49">
        <f>IF(OR(L455="",M455="",P455=""),"",L455*P455)</f>
        <v/>
      </c>
    </row>
    <row r="456" ht="15" customHeight="1" s="32">
      <c r="A456" s="46" t="inlineStr">
        <is>
          <t>R-HB-0455</t>
        </is>
      </c>
      <c r="B456" s="47" t="n">
        <v>45311</v>
      </c>
      <c r="C456" s="46" t="inlineStr">
        <is>
          <t>2024-01</t>
        </is>
      </c>
      <c r="D456" s="46" t="n">
        <v>2024</v>
      </c>
      <c r="E456" s="46" t="inlineStr">
        <is>
          <t>P-HB-001</t>
        </is>
      </c>
      <c r="F456" s="46" t="inlineStr">
        <is>
          <t>C-HB-02</t>
        </is>
      </c>
      <c r="G456" s="48" t="inlineStr">
        <is>
          <t>미국</t>
        </is>
      </c>
      <c r="H456" s="46" t="inlineStr">
        <is>
          <t>US</t>
        </is>
      </c>
      <c r="I456" s="49" t="n">
        <v>91047</v>
      </c>
      <c r="J456" s="46" t="inlineStr">
        <is>
          <t>EA</t>
        </is>
      </c>
      <c r="K456" s="50" t="n">
        <v>40.97</v>
      </c>
      <c r="L456" s="50" t="n">
        <v>388454.27</v>
      </c>
      <c r="M456" s="46" t="inlineStr">
        <is>
          <t>USD</t>
        </is>
      </c>
      <c r="N456" s="46" t="inlineStr">
        <is>
          <t>FOB</t>
        </is>
      </c>
      <c r="O456" s="46" t="inlineStr">
        <is>
          <t>N</t>
        </is>
      </c>
      <c r="P456" s="50" t="n">
        <v>1325.9119</v>
      </c>
      <c r="Q456" s="49">
        <f>IF(OR(L456="",M456="",P456=""),"",L456*P456)</f>
        <v/>
      </c>
    </row>
    <row r="457" ht="15" customHeight="1" s="32">
      <c r="A457" s="46" t="inlineStr">
        <is>
          <t>R-HB-0456</t>
        </is>
      </c>
      <c r="B457" s="47" t="n">
        <v>45311</v>
      </c>
      <c r="C457" s="46" t="inlineStr">
        <is>
          <t>2024-01</t>
        </is>
      </c>
      <c r="D457" s="46" t="n">
        <v>2024</v>
      </c>
      <c r="E457" s="46" t="inlineStr">
        <is>
          <t>P-HB-003</t>
        </is>
      </c>
      <c r="F457" s="46" t="inlineStr">
        <is>
          <t>C-HB-06</t>
        </is>
      </c>
      <c r="G457" s="48" t="inlineStr">
        <is>
          <t>베트남</t>
        </is>
      </c>
      <c r="H457" s="46" t="inlineStr">
        <is>
          <t>VN</t>
        </is>
      </c>
      <c r="I457" s="49" t="n">
        <v>44418</v>
      </c>
      <c r="J457" s="46" t="inlineStr">
        <is>
          <t>EA</t>
        </is>
      </c>
      <c r="K457" s="50" t="n">
        <v>28.87</v>
      </c>
      <c r="L457" s="50" t="n">
        <v>251867.08</v>
      </c>
      <c r="M457" s="46" t="inlineStr">
        <is>
          <t>USD</t>
        </is>
      </c>
      <c r="N457" s="46" t="inlineStr">
        <is>
          <t>FOB</t>
        </is>
      </c>
      <c r="O457" s="46" t="inlineStr">
        <is>
          <t>N</t>
        </is>
      </c>
      <c r="P457" s="50" t="n">
        <v>1325.9119</v>
      </c>
      <c r="Q457" s="49">
        <f>IF(OR(L457="",M457="",P457=""),"",L457*P457)</f>
        <v/>
      </c>
    </row>
    <row r="458" ht="15" customHeight="1" s="32">
      <c r="A458" s="46" t="inlineStr">
        <is>
          <t>R-HB-0457</t>
        </is>
      </c>
      <c r="B458" s="47" t="n">
        <v>45311</v>
      </c>
      <c r="C458" s="46" t="inlineStr">
        <is>
          <t>2024-01</t>
        </is>
      </c>
      <c r="D458" s="46" t="n">
        <v>2024</v>
      </c>
      <c r="E458" s="46" t="inlineStr">
        <is>
          <t>P-HB-004</t>
        </is>
      </c>
      <c r="F458" s="46" t="inlineStr">
        <is>
          <t>C-HB-08</t>
        </is>
      </c>
      <c r="G458" s="48" t="inlineStr">
        <is>
          <t>중국</t>
        </is>
      </c>
      <c r="H458" s="46" t="inlineStr">
        <is>
          <t>CN</t>
        </is>
      </c>
      <c r="I458" s="49" t="n">
        <v>16198</v>
      </c>
      <c r="J458" s="46" t="inlineStr">
        <is>
          <t>EA</t>
        </is>
      </c>
      <c r="K458" s="50" t="n">
        <v>17.82</v>
      </c>
      <c r="L458" s="50" t="n">
        <v>440300.01</v>
      </c>
      <c r="M458" s="46" t="inlineStr">
        <is>
          <t>USD</t>
        </is>
      </c>
      <c r="N458" s="46" t="inlineStr">
        <is>
          <t>FOB</t>
        </is>
      </c>
      <c r="O458" s="46" t="inlineStr">
        <is>
          <t>N</t>
        </is>
      </c>
      <c r="P458" s="50" t="n">
        <v>1325.9119</v>
      </c>
      <c r="Q458" s="49">
        <f>IF(OR(L458="",M458="",P458=""),"",L458*P458)</f>
        <v/>
      </c>
    </row>
    <row r="459" ht="15" customHeight="1" s="32">
      <c r="A459" s="46" t="inlineStr">
        <is>
          <t>R-HB-0458</t>
        </is>
      </c>
      <c r="B459" s="47" t="n">
        <v>45312</v>
      </c>
      <c r="C459" s="46" t="inlineStr">
        <is>
          <t>2024-01</t>
        </is>
      </c>
      <c r="D459" s="46" t="n">
        <v>2024</v>
      </c>
      <c r="E459" s="46" t="inlineStr">
        <is>
          <t>P-HB-004</t>
        </is>
      </c>
      <c r="F459" s="46" t="inlineStr">
        <is>
          <t>C-HB-01</t>
        </is>
      </c>
      <c r="G459" s="48" t="inlineStr">
        <is>
          <t>미국</t>
        </is>
      </c>
      <c r="H459" s="46" t="inlineStr">
        <is>
          <t>US</t>
        </is>
      </c>
      <c r="I459" s="49" t="n">
        <v>14721</v>
      </c>
      <c r="J459" s="46" t="inlineStr">
        <is>
          <t>EA</t>
        </is>
      </c>
      <c r="K459" s="50" t="n">
        <v>16.19</v>
      </c>
      <c r="L459" s="50" t="n">
        <v>415955.57</v>
      </c>
      <c r="M459" s="46" t="inlineStr">
        <is>
          <t>USD</t>
        </is>
      </c>
      <c r="N459" s="46" t="inlineStr">
        <is>
          <t>FOB</t>
        </is>
      </c>
      <c r="O459" s="46" t="inlineStr">
        <is>
          <t>N</t>
        </is>
      </c>
      <c r="P459" s="50" t="n">
        <v>1325.9119</v>
      </c>
      <c r="Q459" s="49">
        <f>IF(OR(L459="",M459="",P459=""),"",L459*P459)</f>
        <v/>
      </c>
    </row>
    <row r="460" ht="15" customHeight="1" s="32">
      <c r="A460" s="46" t="inlineStr">
        <is>
          <t>R-HB-0459</t>
        </is>
      </c>
      <c r="B460" s="47" t="n">
        <v>45312</v>
      </c>
      <c r="C460" s="46" t="inlineStr">
        <is>
          <t>2024-01</t>
        </is>
      </c>
      <c r="D460" s="46" t="n">
        <v>2024</v>
      </c>
      <c r="E460" s="46" t="inlineStr">
        <is>
          <t>P-HB-001</t>
        </is>
      </c>
      <c r="F460" s="46" t="inlineStr">
        <is>
          <t>C-HB-04</t>
        </is>
      </c>
      <c r="G460" s="48" t="inlineStr">
        <is>
          <t>캐나다</t>
        </is>
      </c>
      <c r="H460" s="46" t="inlineStr">
        <is>
          <t>CA</t>
        </is>
      </c>
      <c r="I460" s="49" t="n">
        <v>16585</v>
      </c>
      <c r="J460" s="46" t="inlineStr">
        <is>
          <t>EA</t>
        </is>
      </c>
      <c r="K460" s="50" t="n">
        <v>7.46</v>
      </c>
      <c r="L460" s="50" t="n">
        <v>67694.02</v>
      </c>
      <c r="M460" s="46" t="inlineStr">
        <is>
          <t>USD</t>
        </is>
      </c>
      <c r="N460" s="46" t="inlineStr">
        <is>
          <t>FOB</t>
        </is>
      </c>
      <c r="O460" s="46" t="inlineStr">
        <is>
          <t>N</t>
        </is>
      </c>
      <c r="P460" s="50" t="n">
        <v>1325.9119</v>
      </c>
      <c r="Q460" s="49">
        <f>IF(OR(L460="",M460="",P460=""),"",L460*P460)</f>
        <v/>
      </c>
    </row>
    <row r="461" ht="15" customHeight="1" s="32">
      <c r="A461" s="46" t="inlineStr">
        <is>
          <t>R-HB-0460</t>
        </is>
      </c>
      <c r="B461" s="47" t="n">
        <v>45312</v>
      </c>
      <c r="C461" s="46" t="inlineStr">
        <is>
          <t>2024-01</t>
        </is>
      </c>
      <c r="D461" s="46" t="n">
        <v>2024</v>
      </c>
      <c r="E461" s="46" t="inlineStr">
        <is>
          <t>P-HB-004</t>
        </is>
      </c>
      <c r="F461" s="46" t="inlineStr">
        <is>
          <t>C-HB-04</t>
        </is>
      </c>
      <c r="G461" s="48" t="inlineStr">
        <is>
          <t>캐나다</t>
        </is>
      </c>
      <c r="H461" s="46" t="inlineStr">
        <is>
          <t>CA</t>
        </is>
      </c>
      <c r="I461" s="49" t="n">
        <v>1250</v>
      </c>
      <c r="J461" s="46" t="inlineStr">
        <is>
          <t>EA</t>
        </is>
      </c>
      <c r="K461" s="50" t="n">
        <v>1.38</v>
      </c>
      <c r="L461" s="50" t="n">
        <v>34800.04</v>
      </c>
      <c r="M461" s="46" t="inlineStr">
        <is>
          <t>USD</t>
        </is>
      </c>
      <c r="N461" s="46" t="inlineStr">
        <is>
          <t>FOB</t>
        </is>
      </c>
      <c r="O461" s="46" t="inlineStr">
        <is>
          <t>N</t>
        </is>
      </c>
      <c r="P461" s="50" t="n">
        <v>1325.9119</v>
      </c>
      <c r="Q461" s="49">
        <f>IF(OR(L461="",M461="",P461=""),"",L461*P461)</f>
        <v/>
      </c>
    </row>
    <row r="462" ht="15" customHeight="1" s="32">
      <c r="A462" s="46" t="inlineStr">
        <is>
          <t>R-HB-0461</t>
        </is>
      </c>
      <c r="B462" s="47" t="n">
        <v>45313</v>
      </c>
      <c r="C462" s="46" t="inlineStr">
        <is>
          <t>2024-01</t>
        </is>
      </c>
      <c r="D462" s="46" t="n">
        <v>2024</v>
      </c>
      <c r="E462" s="46" t="inlineStr">
        <is>
          <t>P-HB-001</t>
        </is>
      </c>
      <c r="F462" s="46" t="inlineStr">
        <is>
          <t>C-HB-08</t>
        </is>
      </c>
      <c r="G462" s="48" t="inlineStr">
        <is>
          <t>중국</t>
        </is>
      </c>
      <c r="H462" s="46" t="inlineStr">
        <is>
          <t>CN</t>
        </is>
      </c>
      <c r="I462" s="49" t="n">
        <v>201876</v>
      </c>
      <c r="J462" s="46" t="inlineStr">
        <is>
          <t>EA</t>
        </is>
      </c>
      <c r="K462" s="50" t="n">
        <v>90.84</v>
      </c>
      <c r="L462" s="50" t="n">
        <v>848521.89</v>
      </c>
      <c r="M462" s="46" t="inlineStr">
        <is>
          <t>USD</t>
        </is>
      </c>
      <c r="N462" s="46" t="inlineStr">
        <is>
          <t>FOB</t>
        </is>
      </c>
      <c r="O462" s="46" t="inlineStr">
        <is>
          <t>N</t>
        </is>
      </c>
      <c r="P462" s="50" t="n">
        <v>1325.9119</v>
      </c>
      <c r="Q462" s="49">
        <f>IF(OR(L462="",M462="",P462=""),"",L462*P462)</f>
        <v/>
      </c>
    </row>
    <row r="463" ht="15" customHeight="1" s="32">
      <c r="A463" s="46" t="inlineStr">
        <is>
          <t>R-HB-0462</t>
        </is>
      </c>
      <c r="B463" s="47" t="n">
        <v>45315</v>
      </c>
      <c r="C463" s="46" t="inlineStr">
        <is>
          <t>2024-01</t>
        </is>
      </c>
      <c r="D463" s="46" t="n">
        <v>2024</v>
      </c>
      <c r="E463" s="46" t="inlineStr">
        <is>
          <t>P-HB-002</t>
        </is>
      </c>
      <c r="F463" s="46" t="inlineStr">
        <is>
          <t>C-HB-01</t>
        </is>
      </c>
      <c r="G463" s="48" t="inlineStr">
        <is>
          <t>미국</t>
        </is>
      </c>
      <c r="H463" s="46" t="inlineStr">
        <is>
          <t>US</t>
        </is>
      </c>
      <c r="I463" s="49" t="n">
        <v>617</v>
      </c>
      <c r="J463" s="46" t="inlineStr">
        <is>
          <t>EA</t>
        </is>
      </c>
      <c r="K463" s="50" t="n">
        <v>1.36</v>
      </c>
      <c r="L463" s="50" t="n">
        <v>171100.86</v>
      </c>
      <c r="M463" s="46" t="inlineStr">
        <is>
          <t>USD</t>
        </is>
      </c>
      <c r="N463" s="46" t="inlineStr">
        <is>
          <t>FOB</t>
        </is>
      </c>
      <c r="O463" s="46" t="inlineStr">
        <is>
          <t>N</t>
        </is>
      </c>
      <c r="P463" s="50" t="n">
        <v>1325.9119</v>
      </c>
      <c r="Q463" s="49">
        <f>IF(OR(L463="",M463="",P463=""),"",L463*P463)</f>
        <v/>
      </c>
    </row>
    <row r="464" ht="15" customHeight="1" s="32">
      <c r="A464" s="46" t="inlineStr">
        <is>
          <t>R-HB-0463</t>
        </is>
      </c>
      <c r="B464" s="47" t="n">
        <v>45315</v>
      </c>
      <c r="C464" s="46" t="inlineStr">
        <is>
          <t>2024-01</t>
        </is>
      </c>
      <c r="D464" s="46" t="n">
        <v>2024</v>
      </c>
      <c r="E464" s="46" t="inlineStr">
        <is>
          <t>P-HB-004</t>
        </is>
      </c>
      <c r="F464" s="46" t="inlineStr">
        <is>
          <t>C-HB-02</t>
        </is>
      </c>
      <c r="G464" s="48" t="inlineStr">
        <is>
          <t>미국</t>
        </is>
      </c>
      <c r="H464" s="46" t="inlineStr">
        <is>
          <t>US</t>
        </is>
      </c>
      <c r="I464" s="49" t="n">
        <v>7618</v>
      </c>
      <c r="J464" s="46" t="inlineStr">
        <is>
          <t>EA</t>
        </is>
      </c>
      <c r="K464" s="50" t="n">
        <v>8.380000000000001</v>
      </c>
      <c r="L464" s="50" t="n">
        <v>205674.31</v>
      </c>
      <c r="M464" s="46" t="inlineStr">
        <is>
          <t>USD</t>
        </is>
      </c>
      <c r="N464" s="46" t="inlineStr">
        <is>
          <t>FOB</t>
        </is>
      </c>
      <c r="O464" s="46" t="inlineStr">
        <is>
          <t>N</t>
        </is>
      </c>
      <c r="P464" s="50" t="n">
        <v>1325.9119</v>
      </c>
      <c r="Q464" s="49">
        <f>IF(OR(L464="",M464="",P464=""),"",L464*P464)</f>
        <v/>
      </c>
    </row>
    <row r="465" ht="15" customHeight="1" s="32">
      <c r="A465" s="46" t="inlineStr">
        <is>
          <t>R-HB-0464</t>
        </is>
      </c>
      <c r="B465" s="47" t="n">
        <v>45315</v>
      </c>
      <c r="C465" s="46" t="inlineStr">
        <is>
          <t>2024-01</t>
        </is>
      </c>
      <c r="D465" s="46" t="n">
        <v>2024</v>
      </c>
      <c r="E465" s="46" t="inlineStr">
        <is>
          <t>P-HB-001</t>
        </is>
      </c>
      <c r="F465" s="46" t="inlineStr">
        <is>
          <t>C-HB-09</t>
        </is>
      </c>
      <c r="G465" s="48" t="inlineStr">
        <is>
          <t>중국</t>
        </is>
      </c>
      <c r="H465" s="46" t="inlineStr">
        <is>
          <t>CN</t>
        </is>
      </c>
      <c r="I465" s="49" t="n">
        <v>143871</v>
      </c>
      <c r="J465" s="46" t="inlineStr">
        <is>
          <t>EA</t>
        </is>
      </c>
      <c r="K465" s="50" t="n">
        <v>64.73999999999999</v>
      </c>
      <c r="L465" s="50" t="n">
        <v>610219.05</v>
      </c>
      <c r="M465" s="46" t="inlineStr">
        <is>
          <t>USD</t>
        </is>
      </c>
      <c r="N465" s="46" t="inlineStr">
        <is>
          <t>FOB</t>
        </is>
      </c>
      <c r="O465" s="46" t="inlineStr">
        <is>
          <t>N</t>
        </is>
      </c>
      <c r="P465" s="50" t="n">
        <v>1325.9119</v>
      </c>
      <c r="Q465" s="49">
        <f>IF(OR(L465="",M465="",P465=""),"",L465*P465)</f>
        <v/>
      </c>
    </row>
    <row r="466" ht="15" customHeight="1" s="32">
      <c r="A466" s="46" t="inlineStr">
        <is>
          <t>R-HB-0465</t>
        </is>
      </c>
      <c r="B466" s="47" t="n">
        <v>45317</v>
      </c>
      <c r="C466" s="46" t="inlineStr">
        <is>
          <t>2024-01</t>
        </is>
      </c>
      <c r="D466" s="46" t="n">
        <v>2024</v>
      </c>
      <c r="E466" s="46" t="inlineStr">
        <is>
          <t>P-HB-001</t>
        </is>
      </c>
      <c r="F466" s="46" t="inlineStr">
        <is>
          <t>C-HB-01</t>
        </is>
      </c>
      <c r="G466" s="48" t="inlineStr">
        <is>
          <t>미국</t>
        </is>
      </c>
      <c r="H466" s="46" t="inlineStr">
        <is>
          <t>US</t>
        </is>
      </c>
      <c r="I466" s="49" t="n">
        <v>166909</v>
      </c>
      <c r="J466" s="46" t="inlineStr">
        <is>
          <t>EA</t>
        </is>
      </c>
      <c r="K466" s="50" t="n">
        <v>75.11</v>
      </c>
      <c r="L466" s="50" t="n">
        <v>683488.03</v>
      </c>
      <c r="M466" s="46" t="inlineStr">
        <is>
          <t>USD</t>
        </is>
      </c>
      <c r="N466" s="46" t="inlineStr">
        <is>
          <t>FOB</t>
        </is>
      </c>
      <c r="O466" s="46" t="inlineStr">
        <is>
          <t>N</t>
        </is>
      </c>
      <c r="P466" s="50" t="n">
        <v>1325.9119</v>
      </c>
      <c r="Q466" s="49">
        <f>IF(OR(L466="",M466="",P466=""),"",L466*P466)</f>
        <v/>
      </c>
    </row>
    <row r="467" ht="15" customHeight="1" s="32">
      <c r="A467" s="46" t="inlineStr">
        <is>
          <t>R-HB-0466</t>
        </is>
      </c>
      <c r="B467" s="47" t="n">
        <v>45317</v>
      </c>
      <c r="C467" s="46" t="inlineStr">
        <is>
          <t>2024-01</t>
        </is>
      </c>
      <c r="D467" s="46" t="n">
        <v>2024</v>
      </c>
      <c r="E467" s="46" t="inlineStr">
        <is>
          <t>P-HB-003</t>
        </is>
      </c>
      <c r="F467" s="46" t="inlineStr">
        <is>
          <t>C-HB-01</t>
        </is>
      </c>
      <c r="G467" s="48" t="inlineStr">
        <is>
          <t>미국</t>
        </is>
      </c>
      <c r="H467" s="46" t="inlineStr">
        <is>
          <t>US</t>
        </is>
      </c>
      <c r="I467" s="49" t="n">
        <v>70705</v>
      </c>
      <c r="J467" s="46" t="inlineStr">
        <is>
          <t>EA</t>
        </is>
      </c>
      <c r="K467" s="50" t="n">
        <v>45.96</v>
      </c>
      <c r="L467" s="50" t="n">
        <v>419875.97</v>
      </c>
      <c r="M467" s="46" t="inlineStr">
        <is>
          <t>USD</t>
        </is>
      </c>
      <c r="N467" s="46" t="inlineStr">
        <is>
          <t>FOB</t>
        </is>
      </c>
      <c r="O467" s="46" t="inlineStr">
        <is>
          <t>N</t>
        </is>
      </c>
      <c r="P467" s="50" t="n">
        <v>1325.9119</v>
      </c>
      <c r="Q467" s="49">
        <f>IF(OR(L467="",M467="",P467=""),"",L467*P467)</f>
        <v/>
      </c>
    </row>
    <row r="468" ht="15" customHeight="1" s="32">
      <c r="A468" s="46" t="inlineStr">
        <is>
          <t>R-HB-0467</t>
        </is>
      </c>
      <c r="B468" s="47" t="n">
        <v>45318</v>
      </c>
      <c r="C468" s="46" t="inlineStr">
        <is>
          <t>2024-01</t>
        </is>
      </c>
      <c r="D468" s="46" t="n">
        <v>2024</v>
      </c>
      <c r="E468" s="46" t="inlineStr">
        <is>
          <t>P-HB-004</t>
        </is>
      </c>
      <c r="F468" s="46" t="inlineStr">
        <is>
          <t>C-HB-07</t>
        </is>
      </c>
      <c r="G468" s="48" t="inlineStr">
        <is>
          <t>인도</t>
        </is>
      </c>
      <c r="H468" s="46" t="inlineStr">
        <is>
          <t>IN</t>
        </is>
      </c>
      <c r="I468" s="49" t="n">
        <v>6048</v>
      </c>
      <c r="J468" s="46" t="inlineStr">
        <is>
          <t>EA</t>
        </is>
      </c>
      <c r="K468" s="50" t="n">
        <v>6.65</v>
      </c>
      <c r="L468" s="50" t="n">
        <v>169568.96</v>
      </c>
      <c r="M468" s="46" t="inlineStr">
        <is>
          <t>USD</t>
        </is>
      </c>
      <c r="N468" s="46" t="inlineStr">
        <is>
          <t>FOB</t>
        </is>
      </c>
      <c r="O468" s="46" t="inlineStr">
        <is>
          <t>N</t>
        </is>
      </c>
      <c r="P468" s="50" t="n">
        <v>1325.9119</v>
      </c>
      <c r="Q468" s="49">
        <f>IF(OR(L468="",M468="",P468=""),"",L468*P468)</f>
        <v/>
      </c>
    </row>
    <row r="469" ht="15" customHeight="1" s="32">
      <c r="A469" s="46" t="inlineStr">
        <is>
          <t>R-HB-0468</t>
        </is>
      </c>
      <c r="B469" s="47" t="n">
        <v>45318</v>
      </c>
      <c r="C469" s="46" t="inlineStr">
        <is>
          <t>2024-01</t>
        </is>
      </c>
      <c r="D469" s="46" t="n">
        <v>2024</v>
      </c>
      <c r="E469" s="46" t="inlineStr">
        <is>
          <t>P-HB-002</t>
        </is>
      </c>
      <c r="F469" s="46" t="inlineStr">
        <is>
          <t>C-HB-08</t>
        </is>
      </c>
      <c r="G469" s="48" t="inlineStr">
        <is>
          <t>중국</t>
        </is>
      </c>
      <c r="H469" s="46" t="inlineStr">
        <is>
          <t>CN</t>
        </is>
      </c>
      <c r="I469" s="49" t="n">
        <v>791</v>
      </c>
      <c r="J469" s="46" t="inlineStr">
        <is>
          <t>EA</t>
        </is>
      </c>
      <c r="K469" s="50" t="n">
        <v>1.74</v>
      </c>
      <c r="L469" s="50" t="n">
        <v>229008.45</v>
      </c>
      <c r="M469" s="46" t="inlineStr">
        <is>
          <t>USD</t>
        </is>
      </c>
      <c r="N469" s="46" t="inlineStr">
        <is>
          <t>FOB</t>
        </is>
      </c>
      <c r="O469" s="46" t="inlineStr">
        <is>
          <t>N</t>
        </is>
      </c>
      <c r="P469" s="50" t="n">
        <v>1325.9119</v>
      </c>
      <c r="Q469" s="49">
        <f>IF(OR(L469="",M469="",P469=""),"",L469*P469)</f>
        <v/>
      </c>
    </row>
    <row r="470" ht="15" customHeight="1" s="32">
      <c r="A470" s="46" t="inlineStr">
        <is>
          <t>R-HB-0469</t>
        </is>
      </c>
      <c r="B470" s="47" t="n">
        <v>45326</v>
      </c>
      <c r="C470" s="46" t="inlineStr">
        <is>
          <t>2024-02</t>
        </is>
      </c>
      <c r="D470" s="46" t="n">
        <v>2024</v>
      </c>
      <c r="E470" s="46" t="inlineStr">
        <is>
          <t>P-HB-002</t>
        </is>
      </c>
      <c r="F470" s="46" t="inlineStr">
        <is>
          <t>C-HB-01</t>
        </is>
      </c>
      <c r="G470" s="48" t="inlineStr">
        <is>
          <t>미국</t>
        </is>
      </c>
      <c r="H470" s="46" t="inlineStr">
        <is>
          <t>US</t>
        </is>
      </c>
      <c r="I470" s="49" t="n">
        <v>592</v>
      </c>
      <c r="J470" s="46" t="inlineStr">
        <is>
          <t>EA</t>
        </is>
      </c>
      <c r="K470" s="50" t="n">
        <v>1.3</v>
      </c>
      <c r="L470" s="50" t="n">
        <v>179870.16</v>
      </c>
      <c r="M470" s="46" t="inlineStr">
        <is>
          <t>USD</t>
        </is>
      </c>
      <c r="N470" s="46" t="inlineStr">
        <is>
          <t>FOB</t>
        </is>
      </c>
      <c r="O470" s="46" t="inlineStr">
        <is>
          <t>N</t>
        </is>
      </c>
      <c r="P470" s="50" t="n">
        <v>1331.3345</v>
      </c>
      <c r="Q470" s="49">
        <f>IF(OR(L470="",M470="",P470=""),"",L470*P470)</f>
        <v/>
      </c>
    </row>
    <row r="471" ht="15" customHeight="1" s="32">
      <c r="A471" s="46" t="inlineStr">
        <is>
          <t>R-HB-0470</t>
        </is>
      </c>
      <c r="B471" s="47" t="n">
        <v>45326</v>
      </c>
      <c r="C471" s="46" t="inlineStr">
        <is>
          <t>2024-02</t>
        </is>
      </c>
      <c r="D471" s="46" t="n">
        <v>2024</v>
      </c>
      <c r="E471" s="46" t="inlineStr">
        <is>
          <t>P-HB-004</t>
        </is>
      </c>
      <c r="F471" s="46" t="inlineStr">
        <is>
          <t>C-HB-08</t>
        </is>
      </c>
      <c r="G471" s="48" t="inlineStr">
        <is>
          <t>중국</t>
        </is>
      </c>
      <c r="H471" s="46" t="inlineStr">
        <is>
          <t>CN</t>
        </is>
      </c>
      <c r="I471" s="49" t="n">
        <v>17210</v>
      </c>
      <c r="J471" s="46" t="inlineStr">
        <is>
          <t>EA</t>
        </is>
      </c>
      <c r="K471" s="50" t="n">
        <v>18.93</v>
      </c>
      <c r="L471" s="50" t="n">
        <v>495800.73</v>
      </c>
      <c r="M471" s="46" t="inlineStr">
        <is>
          <t>USD</t>
        </is>
      </c>
      <c r="N471" s="46" t="inlineStr">
        <is>
          <t>FOB</t>
        </is>
      </c>
      <c r="O471" s="46" t="inlineStr">
        <is>
          <t>N</t>
        </is>
      </c>
      <c r="P471" s="50" t="n">
        <v>1331.3345</v>
      </c>
      <c r="Q471" s="49">
        <f>IF(OR(L471="",M471="",P471=""),"",L471*P471)</f>
        <v/>
      </c>
    </row>
    <row r="472" ht="15" customHeight="1" s="32">
      <c r="A472" s="46" t="inlineStr">
        <is>
          <t>R-HB-0471</t>
        </is>
      </c>
      <c r="B472" s="47" t="n">
        <v>45326</v>
      </c>
      <c r="C472" s="46" t="inlineStr">
        <is>
          <t>2024-02</t>
        </is>
      </c>
      <c r="D472" s="46" t="n">
        <v>2024</v>
      </c>
      <c r="E472" s="46" t="inlineStr">
        <is>
          <t>P-HB-001</t>
        </is>
      </c>
      <c r="F472" s="46" t="inlineStr">
        <is>
          <t>C-HB-09</t>
        </is>
      </c>
      <c r="G472" s="48" t="inlineStr">
        <is>
          <t>중국</t>
        </is>
      </c>
      <c r="H472" s="46" t="inlineStr">
        <is>
          <t>CN</t>
        </is>
      </c>
      <c r="I472" s="49" t="n">
        <v>147791</v>
      </c>
      <c r="J472" s="46" t="inlineStr">
        <is>
          <t>EA</t>
        </is>
      </c>
      <c r="K472" s="50" t="n">
        <v>66.51000000000001</v>
      </c>
      <c r="L472" s="50" t="n">
        <v>642791.87</v>
      </c>
      <c r="M472" s="46" t="inlineStr">
        <is>
          <t>USD</t>
        </is>
      </c>
      <c r="N472" s="46" t="inlineStr">
        <is>
          <t>FOB</t>
        </is>
      </c>
      <c r="O472" s="46" t="inlineStr">
        <is>
          <t>N</t>
        </is>
      </c>
      <c r="P472" s="50" t="n">
        <v>1331.3345</v>
      </c>
      <c r="Q472" s="49">
        <f>IF(OR(L472="",M472="",P472=""),"",L472*P472)</f>
        <v/>
      </c>
    </row>
    <row r="473" ht="15" customHeight="1" s="32">
      <c r="A473" s="46" t="inlineStr">
        <is>
          <t>R-HB-0472</t>
        </is>
      </c>
      <c r="B473" s="47" t="n">
        <v>45328</v>
      </c>
      <c r="C473" s="46" t="inlineStr">
        <is>
          <t>2024-02</t>
        </is>
      </c>
      <c r="D473" s="46" t="n">
        <v>2024</v>
      </c>
      <c r="E473" s="46" t="inlineStr">
        <is>
          <t>P-HB-003</t>
        </is>
      </c>
      <c r="F473" s="46" t="inlineStr">
        <is>
          <t>C-HB-01</t>
        </is>
      </c>
      <c r="G473" s="48" t="inlineStr">
        <is>
          <t>미국</t>
        </is>
      </c>
      <c r="H473" s="46" t="inlineStr">
        <is>
          <t>US</t>
        </is>
      </c>
      <c r="I473" s="49" t="n">
        <v>69556</v>
      </c>
      <c r="J473" s="46" t="inlineStr">
        <is>
          <t>EA</t>
        </is>
      </c>
      <c r="K473" s="50" t="n">
        <v>45.21</v>
      </c>
      <c r="L473" s="50" t="n">
        <v>412443.77</v>
      </c>
      <c r="M473" s="46" t="inlineStr">
        <is>
          <t>USD</t>
        </is>
      </c>
      <c r="N473" s="46" t="inlineStr">
        <is>
          <t>FOB</t>
        </is>
      </c>
      <c r="O473" s="46" t="inlineStr">
        <is>
          <t>N</t>
        </is>
      </c>
      <c r="P473" s="50" t="n">
        <v>1331.3345</v>
      </c>
      <c r="Q473" s="49">
        <f>IF(OR(L473="",M473="",P473=""),"",L473*P473)</f>
        <v/>
      </c>
    </row>
    <row r="474" ht="15" customHeight="1" s="32">
      <c r="A474" s="46" t="inlineStr">
        <is>
          <t>R-HB-0473</t>
        </is>
      </c>
      <c r="B474" s="47" t="n">
        <v>45328</v>
      </c>
      <c r="C474" s="46" t="inlineStr">
        <is>
          <t>2024-02</t>
        </is>
      </c>
      <c r="D474" s="46" t="n">
        <v>2024</v>
      </c>
      <c r="E474" s="46" t="inlineStr">
        <is>
          <t>P-HB-003</t>
        </is>
      </c>
      <c r="F474" s="46" t="inlineStr">
        <is>
          <t>C-HB-03</t>
        </is>
      </c>
      <c r="G474" s="48" t="inlineStr">
        <is>
          <t>멕시코</t>
        </is>
      </c>
      <c r="H474" s="46" t="inlineStr">
        <is>
          <t>MX</t>
        </is>
      </c>
      <c r="I474" s="49" t="n">
        <v>11515</v>
      </c>
      <c r="J474" s="46" t="inlineStr">
        <is>
          <t>EA</t>
        </is>
      </c>
      <c r="K474" s="50" t="n">
        <v>7.48</v>
      </c>
      <c r="L474" s="50" t="n">
        <v>72282.94</v>
      </c>
      <c r="M474" s="46" t="inlineStr">
        <is>
          <t>USD</t>
        </is>
      </c>
      <c r="N474" s="46" t="inlineStr">
        <is>
          <t>FOB</t>
        </is>
      </c>
      <c r="O474" s="46" t="inlineStr">
        <is>
          <t>N</t>
        </is>
      </c>
      <c r="P474" s="50" t="n">
        <v>1331.3345</v>
      </c>
      <c r="Q474" s="49">
        <f>IF(OR(L474="",M474="",P474=""),"",L474*P474)</f>
        <v/>
      </c>
    </row>
    <row r="475" ht="15" customHeight="1" s="32">
      <c r="A475" s="46" t="inlineStr">
        <is>
          <t>R-HB-0474</t>
        </is>
      </c>
      <c r="B475" s="47" t="n">
        <v>45328</v>
      </c>
      <c r="C475" s="46" t="inlineStr">
        <is>
          <t>2024-02</t>
        </is>
      </c>
      <c r="D475" s="46" t="n">
        <v>2024</v>
      </c>
      <c r="E475" s="46" t="inlineStr">
        <is>
          <t>P-HB-001</t>
        </is>
      </c>
      <c r="F475" s="46" t="inlineStr">
        <is>
          <t>C-HB-06</t>
        </is>
      </c>
      <c r="G475" s="48" t="inlineStr">
        <is>
          <t>베트남</t>
        </is>
      </c>
      <c r="H475" s="46" t="inlineStr">
        <is>
          <t>VN</t>
        </is>
      </c>
      <c r="I475" s="49" t="n">
        <v>104547</v>
      </c>
      <c r="J475" s="46" t="inlineStr">
        <is>
          <t>EA</t>
        </is>
      </c>
      <c r="K475" s="50" t="n">
        <v>47.05</v>
      </c>
      <c r="L475" s="50" t="n">
        <v>447410.35</v>
      </c>
      <c r="M475" s="46" t="inlineStr">
        <is>
          <t>USD</t>
        </is>
      </c>
      <c r="N475" s="46" t="inlineStr">
        <is>
          <t>FOB</t>
        </is>
      </c>
      <c r="O475" s="46" t="inlineStr">
        <is>
          <t>N</t>
        </is>
      </c>
      <c r="P475" s="50" t="n">
        <v>1331.3345</v>
      </c>
      <c r="Q475" s="49">
        <f>IF(OR(L475="",M475="",P475=""),"",L475*P475)</f>
        <v/>
      </c>
    </row>
    <row r="476" ht="15" customHeight="1" s="32">
      <c r="A476" s="46" t="inlineStr">
        <is>
          <t>R-HB-0475</t>
        </is>
      </c>
      <c r="B476" s="47" t="n">
        <v>45328</v>
      </c>
      <c r="C476" s="46" t="inlineStr">
        <is>
          <t>2024-02</t>
        </is>
      </c>
      <c r="D476" s="46" t="n">
        <v>2024</v>
      </c>
      <c r="E476" s="46" t="inlineStr">
        <is>
          <t>P-HB-002</t>
        </is>
      </c>
      <c r="F476" s="46" t="inlineStr">
        <is>
          <t>C-HB-09</t>
        </is>
      </c>
      <c r="G476" s="48" t="inlineStr">
        <is>
          <t>중국</t>
        </is>
      </c>
      <c r="H476" s="46" t="inlineStr">
        <is>
          <t>CN</t>
        </is>
      </c>
      <c r="I476" s="49" t="n">
        <v>514</v>
      </c>
      <c r="J476" s="46" t="inlineStr">
        <is>
          <t>EA</t>
        </is>
      </c>
      <c r="K476" s="50" t="n">
        <v>1.13</v>
      </c>
      <c r="L476" s="50" t="n">
        <v>156664.39</v>
      </c>
      <c r="M476" s="46" t="inlineStr">
        <is>
          <t>USD</t>
        </is>
      </c>
      <c r="N476" s="46" t="inlineStr">
        <is>
          <t>FOB</t>
        </is>
      </c>
      <c r="O476" s="46" t="inlineStr">
        <is>
          <t>N</t>
        </is>
      </c>
      <c r="P476" s="50" t="n">
        <v>1331.3345</v>
      </c>
      <c r="Q476" s="49">
        <f>IF(OR(L476="",M476="",P476=""),"",L476*P476)</f>
        <v/>
      </c>
    </row>
    <row r="477" ht="15" customHeight="1" s="32">
      <c r="A477" s="46" t="inlineStr">
        <is>
          <t>R-HB-0476</t>
        </is>
      </c>
      <c r="B477" s="47" t="n">
        <v>45329</v>
      </c>
      <c r="C477" s="46" t="inlineStr">
        <is>
          <t>2024-02</t>
        </is>
      </c>
      <c r="D477" s="46" t="n">
        <v>2024</v>
      </c>
      <c r="E477" s="46" t="inlineStr">
        <is>
          <t>P-HB-001</t>
        </is>
      </c>
      <c r="F477" s="46" t="inlineStr">
        <is>
          <t>C-HB-05</t>
        </is>
      </c>
      <c r="G477" s="48" t="inlineStr">
        <is>
          <t>독일</t>
        </is>
      </c>
      <c r="H477" s="46" t="inlineStr">
        <is>
          <t>DE</t>
        </is>
      </c>
      <c r="I477" s="49" t="n">
        <v>150692</v>
      </c>
      <c r="J477" s="46" t="inlineStr">
        <is>
          <t>EA</t>
        </is>
      </c>
      <c r="K477" s="50" t="n">
        <v>67.81</v>
      </c>
      <c r="L477" s="50" t="n">
        <v>678720.55</v>
      </c>
      <c r="M477" s="46" t="inlineStr">
        <is>
          <t>USD</t>
        </is>
      </c>
      <c r="N477" s="46" t="inlineStr">
        <is>
          <t>FOB</t>
        </is>
      </c>
      <c r="O477" s="46" t="inlineStr">
        <is>
          <t>N</t>
        </is>
      </c>
      <c r="P477" s="50" t="n">
        <v>1331.3345</v>
      </c>
      <c r="Q477" s="49">
        <f>IF(OR(L477="",M477="",P477=""),"",L477*P477)</f>
        <v/>
      </c>
    </row>
    <row r="478" ht="15" customHeight="1" s="32">
      <c r="A478" s="46" t="inlineStr">
        <is>
          <t>R-HB-0477</t>
        </is>
      </c>
      <c r="B478" s="47" t="n">
        <v>45329</v>
      </c>
      <c r="C478" s="46" t="inlineStr">
        <is>
          <t>2024-02</t>
        </is>
      </c>
      <c r="D478" s="46" t="n">
        <v>2024</v>
      </c>
      <c r="E478" s="46" t="inlineStr">
        <is>
          <t>P-HB-004</t>
        </is>
      </c>
      <c r="F478" s="46" t="inlineStr">
        <is>
          <t>C-HB-06</t>
        </is>
      </c>
      <c r="G478" s="48" t="inlineStr">
        <is>
          <t>베트남</t>
        </is>
      </c>
      <c r="H478" s="46" t="inlineStr">
        <is>
          <t>VN</t>
        </is>
      </c>
      <c r="I478" s="49" t="n">
        <v>9848</v>
      </c>
      <c r="J478" s="46" t="inlineStr">
        <is>
          <t>EA</t>
        </is>
      </c>
      <c r="K478" s="50" t="n">
        <v>10.83</v>
      </c>
      <c r="L478" s="50" t="n">
        <v>282039.92</v>
      </c>
      <c r="M478" s="46" t="inlineStr">
        <is>
          <t>USD</t>
        </is>
      </c>
      <c r="N478" s="46" t="inlineStr">
        <is>
          <t>FOB</t>
        </is>
      </c>
      <c r="O478" s="46" t="inlineStr">
        <is>
          <t>N</t>
        </is>
      </c>
      <c r="P478" s="50" t="n">
        <v>1331.3345</v>
      </c>
      <c r="Q478" s="49">
        <f>IF(OR(L478="",M478="",P478=""),"",L478*P478)</f>
        <v/>
      </c>
    </row>
    <row r="479" ht="15" customHeight="1" s="32">
      <c r="A479" s="46" t="inlineStr">
        <is>
          <t>R-HB-0478</t>
        </is>
      </c>
      <c r="B479" s="47" t="n">
        <v>45331</v>
      </c>
      <c r="C479" s="46" t="inlineStr">
        <is>
          <t>2024-02</t>
        </is>
      </c>
      <c r="D479" s="46" t="n">
        <v>2024</v>
      </c>
      <c r="E479" s="46" t="inlineStr">
        <is>
          <t>P-HB-004</t>
        </is>
      </c>
      <c r="F479" s="46" t="inlineStr">
        <is>
          <t>C-HB-01</t>
        </is>
      </c>
      <c r="G479" s="48" t="inlineStr">
        <is>
          <t>미국</t>
        </is>
      </c>
      <c r="H479" s="46" t="inlineStr">
        <is>
          <t>US</t>
        </is>
      </c>
      <c r="I479" s="49" t="n">
        <v>14828</v>
      </c>
      <c r="J479" s="46" t="inlineStr">
        <is>
          <t>EA</t>
        </is>
      </c>
      <c r="K479" s="50" t="n">
        <v>16.31</v>
      </c>
      <c r="L479" s="50" t="n">
        <v>400292.93</v>
      </c>
      <c r="M479" s="46" t="inlineStr">
        <is>
          <t>USD</t>
        </is>
      </c>
      <c r="N479" s="46" t="inlineStr">
        <is>
          <t>FOB</t>
        </is>
      </c>
      <c r="O479" s="46" t="inlineStr">
        <is>
          <t>N</t>
        </is>
      </c>
      <c r="P479" s="50" t="n">
        <v>1331.3345</v>
      </c>
      <c r="Q479" s="49">
        <f>IF(OR(L479="",M479="",P479=""),"",L479*P479)</f>
        <v/>
      </c>
    </row>
    <row r="480" ht="15" customHeight="1" s="32">
      <c r="A480" s="46" t="inlineStr">
        <is>
          <t>R-HB-0479</t>
        </is>
      </c>
      <c r="B480" s="47" t="n">
        <v>45331</v>
      </c>
      <c r="C480" s="46" t="inlineStr">
        <is>
          <t>2024-02</t>
        </is>
      </c>
      <c r="D480" s="46" t="n">
        <v>2024</v>
      </c>
      <c r="E480" s="46" t="inlineStr">
        <is>
          <t>P-HB-001</t>
        </is>
      </c>
      <c r="F480" s="46" t="inlineStr">
        <is>
          <t>C-HB-03</t>
        </is>
      </c>
      <c r="G480" s="48" t="inlineStr">
        <is>
          <t>멕시코</t>
        </is>
      </c>
      <c r="H480" s="46" t="inlineStr">
        <is>
          <t>MX</t>
        </is>
      </c>
      <c r="I480" s="49" t="n">
        <v>34745</v>
      </c>
      <c r="J480" s="46" t="inlineStr">
        <is>
          <t>EA</t>
        </is>
      </c>
      <c r="K480" s="50" t="n">
        <v>15.64</v>
      </c>
      <c r="L480" s="50" t="n">
        <v>149020.17</v>
      </c>
      <c r="M480" s="46" t="inlineStr">
        <is>
          <t>USD</t>
        </is>
      </c>
      <c r="N480" s="46" t="inlineStr">
        <is>
          <t>FOB</t>
        </is>
      </c>
      <c r="O480" s="46" t="inlineStr">
        <is>
          <t>N</t>
        </is>
      </c>
      <c r="P480" s="50" t="n">
        <v>1331.3345</v>
      </c>
      <c r="Q480" s="49">
        <f>IF(OR(L480="",M480="",P480=""),"",L480*P480)</f>
        <v/>
      </c>
    </row>
    <row r="481" ht="15" customHeight="1" s="32">
      <c r="A481" s="46" t="inlineStr">
        <is>
          <t>R-HB-0480</t>
        </is>
      </c>
      <c r="B481" s="47" t="n">
        <v>45332</v>
      </c>
      <c r="C481" s="46" t="inlineStr">
        <is>
          <t>2024-02</t>
        </is>
      </c>
      <c r="D481" s="46" t="n">
        <v>2024</v>
      </c>
      <c r="E481" s="46" t="inlineStr">
        <is>
          <t>P-HB-004</t>
        </is>
      </c>
      <c r="F481" s="46" t="inlineStr">
        <is>
          <t>C-HB-09</t>
        </is>
      </c>
      <c r="G481" s="48" t="inlineStr">
        <is>
          <t>중국</t>
        </is>
      </c>
      <c r="H481" s="46" t="inlineStr">
        <is>
          <t>CN</t>
        </is>
      </c>
      <c r="I481" s="49" t="n">
        <v>12539</v>
      </c>
      <c r="J481" s="46" t="inlineStr">
        <is>
          <t>EA</t>
        </is>
      </c>
      <c r="K481" s="50" t="n">
        <v>13.79</v>
      </c>
      <c r="L481" s="50" t="n">
        <v>342997.49</v>
      </c>
      <c r="M481" s="46" t="inlineStr">
        <is>
          <t>USD</t>
        </is>
      </c>
      <c r="N481" s="46" t="inlineStr">
        <is>
          <t>FOB</t>
        </is>
      </c>
      <c r="O481" s="46" t="inlineStr">
        <is>
          <t>N</t>
        </is>
      </c>
      <c r="P481" s="50" t="n">
        <v>1331.3345</v>
      </c>
      <c r="Q481" s="49">
        <f>IF(OR(L481="",M481="",P481=""),"",L481*P481)</f>
        <v/>
      </c>
    </row>
    <row r="482" ht="15" customHeight="1" s="32">
      <c r="A482" s="46" t="inlineStr">
        <is>
          <t>R-HB-0481</t>
        </is>
      </c>
      <c r="B482" s="47" t="n">
        <v>45333</v>
      </c>
      <c r="C482" s="46" t="inlineStr">
        <is>
          <t>2024-02</t>
        </is>
      </c>
      <c r="D482" s="46" t="n">
        <v>2024</v>
      </c>
      <c r="E482" s="46" t="inlineStr">
        <is>
          <t>P-HB-002</t>
        </is>
      </c>
      <c r="F482" s="46" t="inlineStr">
        <is>
          <t>C-HB-02</t>
        </is>
      </c>
      <c r="G482" s="48" t="inlineStr">
        <is>
          <t>미국</t>
        </is>
      </c>
      <c r="H482" s="46" t="inlineStr">
        <is>
          <t>US</t>
        </is>
      </c>
      <c r="I482" s="49" t="n">
        <v>328</v>
      </c>
      <c r="J482" s="46" t="inlineStr">
        <is>
          <t>EA</t>
        </is>
      </c>
      <c r="K482" s="50" t="n">
        <v>0.72</v>
      </c>
      <c r="L482" s="50" t="n">
        <v>99568.47</v>
      </c>
      <c r="M482" s="46" t="inlineStr">
        <is>
          <t>USD</t>
        </is>
      </c>
      <c r="N482" s="46" t="inlineStr">
        <is>
          <t>FOB</t>
        </is>
      </c>
      <c r="O482" s="46" t="inlineStr">
        <is>
          <t>N</t>
        </is>
      </c>
      <c r="P482" s="50" t="n">
        <v>1331.3345</v>
      </c>
      <c r="Q482" s="49">
        <f>IF(OR(L482="",M482="",P482=""),"",L482*P482)</f>
        <v/>
      </c>
    </row>
    <row r="483" ht="15" customHeight="1" s="32">
      <c r="A483" s="46" t="inlineStr">
        <is>
          <t>R-HB-0482</t>
        </is>
      </c>
      <c r="B483" s="47" t="n">
        <v>45334</v>
      </c>
      <c r="C483" s="46" t="inlineStr">
        <is>
          <t>2024-02</t>
        </is>
      </c>
      <c r="D483" s="46" t="n">
        <v>2024</v>
      </c>
      <c r="E483" s="46" t="inlineStr">
        <is>
          <t>P-HB-002</t>
        </is>
      </c>
      <c r="F483" s="46" t="inlineStr">
        <is>
          <t>C-HB-05</t>
        </is>
      </c>
      <c r="G483" s="48" t="inlineStr">
        <is>
          <t>독일</t>
        </is>
      </c>
      <c r="H483" s="46" t="inlineStr">
        <is>
          <t>DE</t>
        </is>
      </c>
      <c r="I483" s="49" t="n">
        <v>545</v>
      </c>
      <c r="J483" s="46" t="inlineStr">
        <is>
          <t>EA</t>
        </is>
      </c>
      <c r="K483" s="50" t="n">
        <v>1.2</v>
      </c>
      <c r="L483" s="50" t="n">
        <v>166313.29</v>
      </c>
      <c r="M483" s="46" t="inlineStr">
        <is>
          <t>USD</t>
        </is>
      </c>
      <c r="N483" s="46" t="inlineStr">
        <is>
          <t>FOB</t>
        </is>
      </c>
      <c r="O483" s="46" t="inlineStr">
        <is>
          <t>N</t>
        </is>
      </c>
      <c r="P483" s="50" t="n">
        <v>1331.3345</v>
      </c>
      <c r="Q483" s="49">
        <f>IF(OR(L483="",M483="",P483=""),"",L483*P483)</f>
        <v/>
      </c>
    </row>
    <row r="484" ht="15" customHeight="1" s="32">
      <c r="A484" s="46" t="inlineStr">
        <is>
          <t>R-HB-0483</t>
        </is>
      </c>
      <c r="B484" s="47" t="n">
        <v>45335</v>
      </c>
      <c r="C484" s="46" t="inlineStr">
        <is>
          <t>2024-02</t>
        </is>
      </c>
      <c r="D484" s="46" t="n">
        <v>2024</v>
      </c>
      <c r="E484" s="46" t="inlineStr">
        <is>
          <t>P-HB-001</t>
        </is>
      </c>
      <c r="F484" s="46" t="inlineStr">
        <is>
          <t>C-HB-01</t>
        </is>
      </c>
      <c r="G484" s="48" t="inlineStr">
        <is>
          <t>미국</t>
        </is>
      </c>
      <c r="H484" s="46" t="inlineStr">
        <is>
          <t>US</t>
        </is>
      </c>
      <c r="I484" s="49" t="n">
        <v>168189</v>
      </c>
      <c r="J484" s="46" t="inlineStr">
        <is>
          <t>EA</t>
        </is>
      </c>
      <c r="K484" s="50" t="n">
        <v>75.69</v>
      </c>
      <c r="L484" s="50" t="n">
        <v>745375.5699999999</v>
      </c>
      <c r="M484" s="46" t="inlineStr">
        <is>
          <t>USD</t>
        </is>
      </c>
      <c r="N484" s="46" t="inlineStr">
        <is>
          <t>FOB</t>
        </is>
      </c>
      <c r="O484" s="46" t="inlineStr">
        <is>
          <t>N</t>
        </is>
      </c>
      <c r="P484" s="50" t="n">
        <v>1331.3345</v>
      </c>
      <c r="Q484" s="49">
        <f>IF(OR(L484="",M484="",P484=""),"",L484*P484)</f>
        <v/>
      </c>
    </row>
    <row r="485" ht="15" customHeight="1" s="32">
      <c r="A485" s="46" t="inlineStr">
        <is>
          <t>R-HB-0484</t>
        </is>
      </c>
      <c r="B485" s="47" t="n">
        <v>45335</v>
      </c>
      <c r="C485" s="46" t="inlineStr">
        <is>
          <t>2024-02</t>
        </is>
      </c>
      <c r="D485" s="46" t="n">
        <v>2024</v>
      </c>
      <c r="E485" s="46" t="inlineStr">
        <is>
          <t>P-HB-001</t>
        </is>
      </c>
      <c r="F485" s="46" t="inlineStr">
        <is>
          <t>C-HB-02</t>
        </is>
      </c>
      <c r="G485" s="48" t="inlineStr">
        <is>
          <t>미국</t>
        </is>
      </c>
      <c r="H485" s="46" t="inlineStr">
        <is>
          <t>US</t>
        </is>
      </c>
      <c r="I485" s="49" t="n">
        <v>100872</v>
      </c>
      <c r="J485" s="46" t="inlineStr">
        <is>
          <t>EA</t>
        </is>
      </c>
      <c r="K485" s="50" t="n">
        <v>45.39</v>
      </c>
      <c r="L485" s="50" t="n">
        <v>427462.3</v>
      </c>
      <c r="M485" s="46" t="inlineStr">
        <is>
          <t>USD</t>
        </is>
      </c>
      <c r="N485" s="46" t="inlineStr">
        <is>
          <t>FOB</t>
        </is>
      </c>
      <c r="O485" s="46" t="inlineStr">
        <is>
          <t>N</t>
        </is>
      </c>
      <c r="P485" s="50" t="n">
        <v>1331.3345</v>
      </c>
      <c r="Q485" s="49">
        <f>IF(OR(L485="",M485="",P485=""),"",L485*P485)</f>
        <v/>
      </c>
    </row>
    <row r="486" ht="15" customHeight="1" s="32">
      <c r="A486" s="46" t="inlineStr">
        <is>
          <t>R-HB-0485</t>
        </is>
      </c>
      <c r="B486" s="47" t="n">
        <v>45335</v>
      </c>
      <c r="C486" s="46" t="inlineStr">
        <is>
          <t>2024-02</t>
        </is>
      </c>
      <c r="D486" s="46" t="n">
        <v>2024</v>
      </c>
      <c r="E486" s="46" t="inlineStr">
        <is>
          <t>P-HB-003</t>
        </is>
      </c>
      <c r="F486" s="46" t="inlineStr">
        <is>
          <t>C-HB-02</t>
        </is>
      </c>
      <c r="G486" s="48" t="inlineStr">
        <is>
          <t>미국</t>
        </is>
      </c>
      <c r="H486" s="46" t="inlineStr">
        <is>
          <t>US</t>
        </is>
      </c>
      <c r="I486" s="49" t="n">
        <v>37198</v>
      </c>
      <c r="J486" s="46" t="inlineStr">
        <is>
          <t>EA</t>
        </is>
      </c>
      <c r="K486" s="50" t="n">
        <v>24.18</v>
      </c>
      <c r="L486" s="50" t="n">
        <v>228234.78</v>
      </c>
      <c r="M486" s="46" t="inlineStr">
        <is>
          <t>USD</t>
        </is>
      </c>
      <c r="N486" s="46" t="inlineStr">
        <is>
          <t>FOB</t>
        </is>
      </c>
      <c r="O486" s="46" t="inlineStr">
        <is>
          <t>N</t>
        </is>
      </c>
      <c r="P486" s="50" t="n">
        <v>1331.3345</v>
      </c>
      <c r="Q486" s="49">
        <f>IF(OR(L486="",M486="",P486=""),"",L486*P486)</f>
        <v/>
      </c>
    </row>
    <row r="487" ht="15" customHeight="1" s="32">
      <c r="A487" s="46" t="inlineStr">
        <is>
          <t>R-HB-0486</t>
        </is>
      </c>
      <c r="B487" s="47" t="n">
        <v>45335</v>
      </c>
      <c r="C487" s="46" t="inlineStr">
        <is>
          <t>2024-02</t>
        </is>
      </c>
      <c r="D487" s="46" t="n">
        <v>2024</v>
      </c>
      <c r="E487" s="46" t="inlineStr">
        <is>
          <t>P-HB-003</t>
        </is>
      </c>
      <c r="F487" s="46" t="inlineStr">
        <is>
          <t>C-HB-04</t>
        </is>
      </c>
      <c r="G487" s="48" t="inlineStr">
        <is>
          <t>캐나다</t>
        </is>
      </c>
      <c r="H487" s="46" t="inlineStr">
        <is>
          <t>CA</t>
        </is>
      </c>
      <c r="I487" s="49" t="n">
        <v>6170</v>
      </c>
      <c r="J487" s="46" t="inlineStr">
        <is>
          <t>EA</t>
        </is>
      </c>
      <c r="K487" s="50" t="n">
        <v>4.01</v>
      </c>
      <c r="L487" s="50" t="n">
        <v>37263.89</v>
      </c>
      <c r="M487" s="46" t="inlineStr">
        <is>
          <t>USD</t>
        </is>
      </c>
      <c r="N487" s="46" t="inlineStr">
        <is>
          <t>FOB</t>
        </is>
      </c>
      <c r="O487" s="46" t="inlineStr">
        <is>
          <t>N</t>
        </is>
      </c>
      <c r="P487" s="50" t="n">
        <v>1331.3345</v>
      </c>
      <c r="Q487" s="49">
        <f>IF(OR(L487="",M487="",P487=""),"",L487*P487)</f>
        <v/>
      </c>
    </row>
    <row r="488" ht="15" customHeight="1" s="32">
      <c r="A488" s="46" t="inlineStr">
        <is>
          <t>R-HB-0487</t>
        </is>
      </c>
      <c r="B488" s="47" t="n">
        <v>45336</v>
      </c>
      <c r="C488" s="46" t="inlineStr">
        <is>
          <t>2024-02</t>
        </is>
      </c>
      <c r="D488" s="46" t="n">
        <v>2024</v>
      </c>
      <c r="E488" s="46" t="inlineStr">
        <is>
          <t>P-HB-003</t>
        </is>
      </c>
      <c r="F488" s="46" t="inlineStr">
        <is>
          <t>C-HB-09</t>
        </is>
      </c>
      <c r="G488" s="48" t="inlineStr">
        <is>
          <t>중국</t>
        </is>
      </c>
      <c r="H488" s="46" t="inlineStr">
        <is>
          <t>CN</t>
        </is>
      </c>
      <c r="I488" s="49" t="n">
        <v>54490</v>
      </c>
      <c r="J488" s="46" t="inlineStr">
        <is>
          <t>EA</t>
        </is>
      </c>
      <c r="K488" s="50" t="n">
        <v>35.42</v>
      </c>
      <c r="L488" s="50" t="n">
        <v>322507.29</v>
      </c>
      <c r="M488" s="46" t="inlineStr">
        <is>
          <t>USD</t>
        </is>
      </c>
      <c r="N488" s="46" t="inlineStr">
        <is>
          <t>FOB</t>
        </is>
      </c>
      <c r="O488" s="46" t="inlineStr">
        <is>
          <t>N</t>
        </is>
      </c>
      <c r="P488" s="50" t="n">
        <v>1331.3345</v>
      </c>
      <c r="Q488" s="49">
        <f>IF(OR(L488="",M488="",P488=""),"",L488*P488)</f>
        <v/>
      </c>
    </row>
    <row r="489" ht="15" customHeight="1" s="32">
      <c r="A489" s="46" t="inlineStr">
        <is>
          <t>R-HB-0488</t>
        </is>
      </c>
      <c r="B489" s="47" t="n">
        <v>45338</v>
      </c>
      <c r="C489" s="46" t="inlineStr">
        <is>
          <t>2024-02</t>
        </is>
      </c>
      <c r="D489" s="46" t="n">
        <v>2024</v>
      </c>
      <c r="E489" s="46" t="inlineStr">
        <is>
          <t>P-HB-003</t>
        </is>
      </c>
      <c r="F489" s="46" t="inlineStr">
        <is>
          <t>C-HB-05</t>
        </is>
      </c>
      <c r="G489" s="48" t="inlineStr">
        <is>
          <t>독일</t>
        </is>
      </c>
      <c r="H489" s="46" t="inlineStr">
        <is>
          <t>DE</t>
        </is>
      </c>
      <c r="I489" s="49" t="n">
        <v>53764</v>
      </c>
      <c r="J489" s="46" t="inlineStr">
        <is>
          <t>EA</t>
        </is>
      </c>
      <c r="K489" s="50" t="n">
        <v>34.95</v>
      </c>
      <c r="L489" s="50" t="n">
        <v>338351.3</v>
      </c>
      <c r="M489" s="46" t="inlineStr">
        <is>
          <t>USD</t>
        </is>
      </c>
      <c r="N489" s="46" t="inlineStr">
        <is>
          <t>FOB</t>
        </is>
      </c>
      <c r="O489" s="46" t="inlineStr">
        <is>
          <t>N</t>
        </is>
      </c>
      <c r="P489" s="50" t="n">
        <v>1331.3345</v>
      </c>
      <c r="Q489" s="49">
        <f>IF(OR(L489="",M489="",P489=""),"",L489*P489)</f>
        <v/>
      </c>
    </row>
    <row r="490" ht="15" customHeight="1" s="32">
      <c r="A490" s="46" t="inlineStr">
        <is>
          <t>R-HB-0489</t>
        </is>
      </c>
      <c r="B490" s="47" t="n">
        <v>45338</v>
      </c>
      <c r="C490" s="46" t="inlineStr">
        <is>
          <t>2024-02</t>
        </is>
      </c>
      <c r="D490" s="46" t="n">
        <v>2024</v>
      </c>
      <c r="E490" s="46" t="inlineStr">
        <is>
          <t>P-HB-002</t>
        </is>
      </c>
      <c r="F490" s="46" t="inlineStr">
        <is>
          <t>C-HB-08</t>
        </is>
      </c>
      <c r="G490" s="48" t="inlineStr">
        <is>
          <t>중국</t>
        </is>
      </c>
      <c r="H490" s="46" t="inlineStr">
        <is>
          <t>CN</t>
        </is>
      </c>
      <c r="I490" s="49" t="n">
        <v>699</v>
      </c>
      <c r="J490" s="46" t="inlineStr">
        <is>
          <t>EA</t>
        </is>
      </c>
      <c r="K490" s="50" t="n">
        <v>1.54</v>
      </c>
      <c r="L490" s="50" t="n">
        <v>209703.1</v>
      </c>
      <c r="M490" s="46" t="inlineStr">
        <is>
          <t>USD</t>
        </is>
      </c>
      <c r="N490" s="46" t="inlineStr">
        <is>
          <t>FOB</t>
        </is>
      </c>
      <c r="O490" s="46" t="inlineStr">
        <is>
          <t>N</t>
        </is>
      </c>
      <c r="P490" s="50" t="n">
        <v>1331.3345</v>
      </c>
      <c r="Q490" s="49">
        <f>IF(OR(L490="",M490="",P490=""),"",L490*P490)</f>
        <v/>
      </c>
    </row>
    <row r="491" ht="15" customHeight="1" s="32">
      <c r="A491" s="46" t="inlineStr">
        <is>
          <t>R-HB-0490</t>
        </is>
      </c>
      <c r="B491" s="47" t="n">
        <v>45339</v>
      </c>
      <c r="C491" s="46" t="inlineStr">
        <is>
          <t>2024-02</t>
        </is>
      </c>
      <c r="D491" s="46" t="n">
        <v>2024</v>
      </c>
      <c r="E491" s="46" t="inlineStr">
        <is>
          <t>P-HB-001</t>
        </is>
      </c>
      <c r="F491" s="46" t="inlineStr">
        <is>
          <t>C-HB-07</t>
        </is>
      </c>
      <c r="G491" s="48" t="inlineStr">
        <is>
          <t>인도</t>
        </is>
      </c>
      <c r="H491" s="46" t="inlineStr">
        <is>
          <t>IN</t>
        </is>
      </c>
      <c r="I491" s="49" t="n">
        <v>73040</v>
      </c>
      <c r="J491" s="46" t="inlineStr">
        <is>
          <t>EA</t>
        </is>
      </c>
      <c r="K491" s="50" t="n">
        <v>32.87</v>
      </c>
      <c r="L491" s="50" t="n">
        <v>322917.82</v>
      </c>
      <c r="M491" s="46" t="inlineStr">
        <is>
          <t>USD</t>
        </is>
      </c>
      <c r="N491" s="46" t="inlineStr">
        <is>
          <t>FOB</t>
        </is>
      </c>
      <c r="O491" s="46" t="inlineStr">
        <is>
          <t>N</t>
        </is>
      </c>
      <c r="P491" s="50" t="n">
        <v>1331.3345</v>
      </c>
      <c r="Q491" s="49">
        <f>IF(OR(L491="",M491="",P491=""),"",L491*P491)</f>
        <v/>
      </c>
    </row>
    <row r="492" ht="15" customHeight="1" s="32">
      <c r="A492" s="46" t="inlineStr">
        <is>
          <t>R-HB-0491</t>
        </is>
      </c>
      <c r="B492" s="47" t="n">
        <v>45339</v>
      </c>
      <c r="C492" s="46" t="inlineStr">
        <is>
          <t>2024-02</t>
        </is>
      </c>
      <c r="D492" s="46" t="n">
        <v>2024</v>
      </c>
      <c r="E492" s="46" t="inlineStr">
        <is>
          <t>P-HB-004</t>
        </is>
      </c>
      <c r="F492" s="46" t="inlineStr">
        <is>
          <t>C-HB-07</t>
        </is>
      </c>
      <c r="G492" s="48" t="inlineStr">
        <is>
          <t>인도</t>
        </is>
      </c>
      <c r="H492" s="46" t="inlineStr">
        <is>
          <t>IN</t>
        </is>
      </c>
      <c r="I492" s="49" t="n">
        <v>6103</v>
      </c>
      <c r="J492" s="46" t="inlineStr">
        <is>
          <t>EA</t>
        </is>
      </c>
      <c r="K492" s="50" t="n">
        <v>6.71</v>
      </c>
      <c r="L492" s="50" t="n">
        <v>168691.47</v>
      </c>
      <c r="M492" s="46" t="inlineStr">
        <is>
          <t>USD</t>
        </is>
      </c>
      <c r="N492" s="46" t="inlineStr">
        <is>
          <t>FOB</t>
        </is>
      </c>
      <c r="O492" s="46" t="inlineStr">
        <is>
          <t>N</t>
        </is>
      </c>
      <c r="P492" s="50" t="n">
        <v>1331.3345</v>
      </c>
      <c r="Q492" s="49">
        <f>IF(OR(L492="",M492="",P492=""),"",L492*P492)</f>
        <v/>
      </c>
    </row>
    <row r="493" ht="15" customHeight="1" s="32">
      <c r="A493" s="46" t="inlineStr">
        <is>
          <t>R-HB-0492</t>
        </is>
      </c>
      <c r="B493" s="47" t="n">
        <v>45341</v>
      </c>
      <c r="C493" s="46" t="inlineStr">
        <is>
          <t>2024-02</t>
        </is>
      </c>
      <c r="D493" s="46" t="n">
        <v>2024</v>
      </c>
      <c r="E493" s="46" t="inlineStr">
        <is>
          <t>P-HB-002</t>
        </is>
      </c>
      <c r="F493" s="46" t="inlineStr">
        <is>
          <t>C-HB-06</t>
        </is>
      </c>
      <c r="G493" s="48" t="inlineStr">
        <is>
          <t>베트남</t>
        </is>
      </c>
      <c r="H493" s="46" t="inlineStr">
        <is>
          <t>VN</t>
        </is>
      </c>
      <c r="I493" s="49" t="n">
        <v>355</v>
      </c>
      <c r="J493" s="46" t="inlineStr">
        <is>
          <t>EA</t>
        </is>
      </c>
      <c r="K493" s="50" t="n">
        <v>0.78</v>
      </c>
      <c r="L493" s="50" t="n">
        <v>102795.68</v>
      </c>
      <c r="M493" s="46" t="inlineStr">
        <is>
          <t>USD</t>
        </is>
      </c>
      <c r="N493" s="46" t="inlineStr">
        <is>
          <t>FOB</t>
        </is>
      </c>
      <c r="O493" s="46" t="inlineStr">
        <is>
          <t>N</t>
        </is>
      </c>
      <c r="P493" s="50" t="n">
        <v>1331.3345</v>
      </c>
      <c r="Q493" s="49">
        <f>IF(OR(L493="",M493="",P493=""),"",L493*P493)</f>
        <v/>
      </c>
    </row>
    <row r="494" ht="15" customHeight="1" s="32">
      <c r="A494" s="46" t="inlineStr">
        <is>
          <t>R-HB-0493</t>
        </is>
      </c>
      <c r="B494" s="47" t="n">
        <v>45341</v>
      </c>
      <c r="C494" s="46" t="inlineStr">
        <is>
          <t>2024-02</t>
        </is>
      </c>
      <c r="D494" s="46" t="n">
        <v>2024</v>
      </c>
      <c r="E494" s="46" t="inlineStr">
        <is>
          <t>P-HB-003</t>
        </is>
      </c>
      <c r="F494" s="46" t="inlineStr">
        <is>
          <t>C-HB-08</t>
        </is>
      </c>
      <c r="G494" s="48" t="inlineStr">
        <is>
          <t>중국</t>
        </is>
      </c>
      <c r="H494" s="46" t="inlineStr">
        <is>
          <t>CN</t>
        </is>
      </c>
      <c r="I494" s="49" t="n">
        <v>81703</v>
      </c>
      <c r="J494" s="46" t="inlineStr">
        <is>
          <t>EA</t>
        </is>
      </c>
      <c r="K494" s="50" t="n">
        <v>53.11</v>
      </c>
      <c r="L494" s="50" t="n">
        <v>513133.02</v>
      </c>
      <c r="M494" s="46" t="inlineStr">
        <is>
          <t>USD</t>
        </is>
      </c>
      <c r="N494" s="46" t="inlineStr">
        <is>
          <t>FOB</t>
        </is>
      </c>
      <c r="O494" s="46" t="inlineStr">
        <is>
          <t>N</t>
        </is>
      </c>
      <c r="P494" s="50" t="n">
        <v>1331.3345</v>
      </c>
      <c r="Q494" s="49">
        <f>IF(OR(L494="",M494="",P494=""),"",L494*P494)</f>
        <v/>
      </c>
    </row>
    <row r="495" ht="15" customHeight="1" s="32">
      <c r="A495" s="46" t="inlineStr">
        <is>
          <t>R-HB-0494</t>
        </is>
      </c>
      <c r="B495" s="47" t="n">
        <v>45343</v>
      </c>
      <c r="C495" s="46" t="inlineStr">
        <is>
          <t>2024-02</t>
        </is>
      </c>
      <c r="D495" s="46" t="n">
        <v>2024</v>
      </c>
      <c r="E495" s="46" t="inlineStr">
        <is>
          <t>P-HB-002</t>
        </is>
      </c>
      <c r="F495" s="46" t="inlineStr">
        <is>
          <t>C-HB-04</t>
        </is>
      </c>
      <c r="G495" s="48" t="inlineStr">
        <is>
          <t>캐나다</t>
        </is>
      </c>
      <c r="H495" s="46" t="inlineStr">
        <is>
          <t>CA</t>
        </is>
      </c>
      <c r="I495" s="49" t="n">
        <v>58</v>
      </c>
      <c r="J495" s="46" t="inlineStr">
        <is>
          <t>EA</t>
        </is>
      </c>
      <c r="K495" s="50" t="n">
        <v>0.13</v>
      </c>
      <c r="L495" s="50" t="n">
        <v>17909.92</v>
      </c>
      <c r="M495" s="46" t="inlineStr">
        <is>
          <t>USD</t>
        </is>
      </c>
      <c r="N495" s="46" t="inlineStr">
        <is>
          <t>FOB</t>
        </is>
      </c>
      <c r="O495" s="46" t="inlineStr">
        <is>
          <t>N</t>
        </is>
      </c>
      <c r="P495" s="50" t="n">
        <v>1331.3345</v>
      </c>
      <c r="Q495" s="49">
        <f>IF(OR(L495="",M495="",P495=""),"",L495*P495)</f>
        <v/>
      </c>
    </row>
    <row r="496" ht="15" customHeight="1" s="32">
      <c r="A496" s="46" t="inlineStr">
        <is>
          <t>R-HB-0495</t>
        </is>
      </c>
      <c r="B496" s="47" t="n">
        <v>45343</v>
      </c>
      <c r="C496" s="46" t="inlineStr">
        <is>
          <t>2024-02</t>
        </is>
      </c>
      <c r="D496" s="46" t="n">
        <v>2024</v>
      </c>
      <c r="E496" s="46" t="inlineStr">
        <is>
          <t>P-HB-002</t>
        </is>
      </c>
      <c r="F496" s="46" t="inlineStr">
        <is>
          <t>C-HB-07</t>
        </is>
      </c>
      <c r="G496" s="48" t="inlineStr">
        <is>
          <t>인도</t>
        </is>
      </c>
      <c r="H496" s="46" t="inlineStr">
        <is>
          <t>IN</t>
        </is>
      </c>
      <c r="I496" s="49" t="n">
        <v>245</v>
      </c>
      <c r="J496" s="46" t="inlineStr">
        <is>
          <t>EA</t>
        </is>
      </c>
      <c r="K496" s="50" t="n">
        <v>0.54</v>
      </c>
      <c r="L496" s="50" t="n">
        <v>72118.50999999999</v>
      </c>
      <c r="M496" s="46" t="inlineStr">
        <is>
          <t>USD</t>
        </is>
      </c>
      <c r="N496" s="46" t="inlineStr">
        <is>
          <t>FOB</t>
        </is>
      </c>
      <c r="O496" s="46" t="inlineStr">
        <is>
          <t>N</t>
        </is>
      </c>
      <c r="P496" s="50" t="n">
        <v>1331.3345</v>
      </c>
      <c r="Q496" s="49">
        <f>IF(OR(L496="",M496="",P496=""),"",L496*P496)</f>
        <v/>
      </c>
    </row>
    <row r="497" ht="15" customHeight="1" s="32">
      <c r="A497" s="46" t="inlineStr">
        <is>
          <t>R-HB-0496</t>
        </is>
      </c>
      <c r="B497" s="47" t="n">
        <v>45343</v>
      </c>
      <c r="C497" s="46" t="inlineStr">
        <is>
          <t>2024-02</t>
        </is>
      </c>
      <c r="D497" s="46" t="n">
        <v>2024</v>
      </c>
      <c r="E497" s="46" t="inlineStr">
        <is>
          <t>P-HB-001</t>
        </is>
      </c>
      <c r="F497" s="46" t="inlineStr">
        <is>
          <t>C-HB-08</t>
        </is>
      </c>
      <c r="G497" s="48" t="inlineStr">
        <is>
          <t>중국</t>
        </is>
      </c>
      <c r="H497" s="46" t="inlineStr">
        <is>
          <t>CN</t>
        </is>
      </c>
      <c r="I497" s="49" t="n">
        <v>199116</v>
      </c>
      <c r="J497" s="46" t="inlineStr">
        <is>
          <t>EA</t>
        </is>
      </c>
      <c r="K497" s="50" t="n">
        <v>89.59999999999999</v>
      </c>
      <c r="L497" s="50" t="n">
        <v>890750.38</v>
      </c>
      <c r="M497" s="46" t="inlineStr">
        <is>
          <t>USD</t>
        </is>
      </c>
      <c r="N497" s="46" t="inlineStr">
        <is>
          <t>FOB</t>
        </is>
      </c>
      <c r="O497" s="46" t="inlineStr">
        <is>
          <t>N</t>
        </is>
      </c>
      <c r="P497" s="50" t="n">
        <v>1331.3345</v>
      </c>
      <c r="Q497" s="49">
        <f>IF(OR(L497="",M497="",P497=""),"",L497*P497)</f>
        <v/>
      </c>
    </row>
    <row r="498" ht="15" customHeight="1" s="32">
      <c r="A498" s="46" t="inlineStr">
        <is>
          <t>R-HB-0497</t>
        </is>
      </c>
      <c r="B498" s="47" t="n">
        <v>45346</v>
      </c>
      <c r="C498" s="46" t="inlineStr">
        <is>
          <t>2024-02</t>
        </is>
      </c>
      <c r="D498" s="46" t="n">
        <v>2024</v>
      </c>
      <c r="E498" s="46" t="inlineStr">
        <is>
          <t>P-HB-002</t>
        </is>
      </c>
      <c r="F498" s="46" t="inlineStr">
        <is>
          <t>C-HB-03</t>
        </is>
      </c>
      <c r="G498" s="48" t="inlineStr">
        <is>
          <t>멕시코</t>
        </is>
      </c>
      <c r="H498" s="46" t="inlineStr">
        <is>
          <t>MX</t>
        </is>
      </c>
      <c r="I498" s="49" t="n">
        <v>114</v>
      </c>
      <c r="J498" s="46" t="inlineStr">
        <is>
          <t>EA</t>
        </is>
      </c>
      <c r="K498" s="50" t="n">
        <v>0.25</v>
      </c>
      <c r="L498" s="50" t="n">
        <v>35177.22</v>
      </c>
      <c r="M498" s="46" t="inlineStr">
        <is>
          <t>USD</t>
        </is>
      </c>
      <c r="N498" s="46" t="inlineStr">
        <is>
          <t>FOB</t>
        </is>
      </c>
      <c r="O498" s="46" t="inlineStr">
        <is>
          <t>N</t>
        </is>
      </c>
      <c r="P498" s="50" t="n">
        <v>1331.3345</v>
      </c>
      <c r="Q498" s="49">
        <f>IF(OR(L498="",M498="",P498=""),"",L498*P498)</f>
        <v/>
      </c>
    </row>
    <row r="499" ht="15" customHeight="1" s="32">
      <c r="A499" s="46" t="inlineStr">
        <is>
          <t>R-HB-0498</t>
        </is>
      </c>
      <c r="B499" s="47" t="n">
        <v>45348</v>
      </c>
      <c r="C499" s="46" t="inlineStr">
        <is>
          <t>2024-02</t>
        </is>
      </c>
      <c r="D499" s="46" t="n">
        <v>2024</v>
      </c>
      <c r="E499" s="46" t="inlineStr">
        <is>
          <t>P-HB-004</t>
        </is>
      </c>
      <c r="F499" s="46" t="inlineStr">
        <is>
          <t>C-HB-02</t>
        </is>
      </c>
      <c r="G499" s="48" t="inlineStr">
        <is>
          <t>미국</t>
        </is>
      </c>
      <c r="H499" s="46" t="inlineStr">
        <is>
          <t>US</t>
        </is>
      </c>
      <c r="I499" s="49" t="n">
        <v>7700</v>
      </c>
      <c r="J499" s="46" t="inlineStr">
        <is>
          <t>EA</t>
        </is>
      </c>
      <c r="K499" s="50" t="n">
        <v>8.470000000000001</v>
      </c>
      <c r="L499" s="50" t="n">
        <v>214606.39</v>
      </c>
      <c r="M499" s="46" t="inlineStr">
        <is>
          <t>USD</t>
        </is>
      </c>
      <c r="N499" s="46" t="inlineStr">
        <is>
          <t>FOB</t>
        </is>
      </c>
      <c r="O499" s="46" t="inlineStr">
        <is>
          <t>N</t>
        </is>
      </c>
      <c r="P499" s="50" t="n">
        <v>1331.3345</v>
      </c>
      <c r="Q499" s="49">
        <f>IF(OR(L499="",M499="",P499=""),"",L499*P499)</f>
        <v/>
      </c>
    </row>
    <row r="500" ht="15" customHeight="1" s="32">
      <c r="A500" s="46" t="inlineStr">
        <is>
          <t>R-HB-0499</t>
        </is>
      </c>
      <c r="B500" s="47" t="n">
        <v>45348</v>
      </c>
      <c r="C500" s="46" t="inlineStr">
        <is>
          <t>2024-02</t>
        </is>
      </c>
      <c r="D500" s="46" t="n">
        <v>2024</v>
      </c>
      <c r="E500" s="46" t="inlineStr">
        <is>
          <t>P-HB-004</t>
        </is>
      </c>
      <c r="F500" s="46" t="inlineStr">
        <is>
          <t>C-HB-03</t>
        </is>
      </c>
      <c r="G500" s="48" t="inlineStr">
        <is>
          <t>멕시코</t>
        </is>
      </c>
      <c r="H500" s="46" t="inlineStr">
        <is>
          <t>MX</t>
        </is>
      </c>
      <c r="I500" s="49" t="n">
        <v>2740</v>
      </c>
      <c r="J500" s="46" t="inlineStr">
        <is>
          <t>EA</t>
        </is>
      </c>
      <c r="K500" s="50" t="n">
        <v>3.01</v>
      </c>
      <c r="L500" s="50" t="n">
        <v>76059.28999999999</v>
      </c>
      <c r="M500" s="46" t="inlineStr">
        <is>
          <t>USD</t>
        </is>
      </c>
      <c r="N500" s="46" t="inlineStr">
        <is>
          <t>FOB</t>
        </is>
      </c>
      <c r="O500" s="46" t="inlineStr">
        <is>
          <t>N</t>
        </is>
      </c>
      <c r="P500" s="50" t="n">
        <v>1331.3345</v>
      </c>
      <c r="Q500" s="49">
        <f>IF(OR(L500="",M500="",P500=""),"",L500*P500)</f>
        <v/>
      </c>
    </row>
    <row r="501" ht="15" customHeight="1" s="32">
      <c r="A501" s="46" t="inlineStr">
        <is>
          <t>R-HB-0500</t>
        </is>
      </c>
      <c r="B501" s="47" t="n">
        <v>45348</v>
      </c>
      <c r="C501" s="46" t="inlineStr">
        <is>
          <t>2024-02</t>
        </is>
      </c>
      <c r="D501" s="46" t="n">
        <v>2024</v>
      </c>
      <c r="E501" s="46" t="inlineStr">
        <is>
          <t>P-HB-001</t>
        </is>
      </c>
      <c r="F501" s="46" t="inlineStr">
        <is>
          <t>C-HB-04</t>
        </is>
      </c>
      <c r="G501" s="48" t="inlineStr">
        <is>
          <t>캐나다</t>
        </is>
      </c>
      <c r="H501" s="46" t="inlineStr">
        <is>
          <t>CA</t>
        </is>
      </c>
      <c r="I501" s="49" t="n">
        <v>15444</v>
      </c>
      <c r="J501" s="46" t="inlineStr">
        <is>
          <t>EA</t>
        </is>
      </c>
      <c r="K501" s="50" t="n">
        <v>6.95</v>
      </c>
      <c r="L501" s="50" t="n">
        <v>68201.97</v>
      </c>
      <c r="M501" s="46" t="inlineStr">
        <is>
          <t>USD</t>
        </is>
      </c>
      <c r="N501" s="46" t="inlineStr">
        <is>
          <t>FOB</t>
        </is>
      </c>
      <c r="O501" s="46" t="inlineStr">
        <is>
          <t>N</t>
        </is>
      </c>
      <c r="P501" s="50" t="n">
        <v>1331.3345</v>
      </c>
      <c r="Q501" s="49">
        <f>IF(OR(L501="",M501="",P501=""),"",L501*P501)</f>
        <v/>
      </c>
    </row>
    <row r="502" ht="15" customHeight="1" s="32">
      <c r="A502" s="46" t="inlineStr">
        <is>
          <t>R-HB-0501</t>
        </is>
      </c>
      <c r="B502" s="47" t="n">
        <v>45348</v>
      </c>
      <c r="C502" s="46" t="inlineStr">
        <is>
          <t>2024-02</t>
        </is>
      </c>
      <c r="D502" s="46" t="n">
        <v>2024</v>
      </c>
      <c r="E502" s="46" t="inlineStr">
        <is>
          <t>P-HB-003</t>
        </is>
      </c>
      <c r="F502" s="46" t="inlineStr">
        <is>
          <t>C-HB-06</t>
        </is>
      </c>
      <c r="G502" s="48" t="inlineStr">
        <is>
          <t>베트남</t>
        </is>
      </c>
      <c r="H502" s="46" t="inlineStr">
        <is>
          <t>VN</t>
        </is>
      </c>
      <c r="I502" s="49" t="n">
        <v>40255</v>
      </c>
      <c r="J502" s="46" t="inlineStr">
        <is>
          <t>EA</t>
        </is>
      </c>
      <c r="K502" s="50" t="n">
        <v>26.17</v>
      </c>
      <c r="L502" s="50" t="n">
        <v>244217.34</v>
      </c>
      <c r="M502" s="46" t="inlineStr">
        <is>
          <t>USD</t>
        </is>
      </c>
      <c r="N502" s="46" t="inlineStr">
        <is>
          <t>FOB</t>
        </is>
      </c>
      <c r="O502" s="46" t="inlineStr">
        <is>
          <t>N</t>
        </is>
      </c>
      <c r="P502" s="50" t="n">
        <v>1331.3345</v>
      </c>
      <c r="Q502" s="49">
        <f>IF(OR(L502="",M502="",P502=""),"",L502*P502)</f>
        <v/>
      </c>
    </row>
    <row r="503" ht="15" customHeight="1" s="32">
      <c r="A503" s="46" t="inlineStr">
        <is>
          <t>R-HB-0502</t>
        </is>
      </c>
      <c r="B503" s="47" t="n">
        <v>45348</v>
      </c>
      <c r="C503" s="46" t="inlineStr">
        <is>
          <t>2024-02</t>
        </is>
      </c>
      <c r="D503" s="46" t="n">
        <v>2024</v>
      </c>
      <c r="E503" s="46" t="inlineStr">
        <is>
          <t>P-HB-003</t>
        </is>
      </c>
      <c r="F503" s="46" t="inlineStr">
        <is>
          <t>C-HB-07</t>
        </is>
      </c>
      <c r="G503" s="48" t="inlineStr">
        <is>
          <t>인도</t>
        </is>
      </c>
      <c r="H503" s="46" t="inlineStr">
        <is>
          <t>IN</t>
        </is>
      </c>
      <c r="I503" s="49" t="n">
        <v>24976</v>
      </c>
      <c r="J503" s="46" t="inlineStr">
        <is>
          <t>EA</t>
        </is>
      </c>
      <c r="K503" s="50" t="n">
        <v>16.23</v>
      </c>
      <c r="L503" s="50" t="n">
        <v>150508.82</v>
      </c>
      <c r="M503" s="46" t="inlineStr">
        <is>
          <t>USD</t>
        </is>
      </c>
      <c r="N503" s="46" t="inlineStr">
        <is>
          <t>FOB</t>
        </is>
      </c>
      <c r="O503" s="46" t="inlineStr">
        <is>
          <t>N</t>
        </is>
      </c>
      <c r="P503" s="50" t="n">
        <v>1331.3345</v>
      </c>
      <c r="Q503" s="49">
        <f>IF(OR(L503="",M503="",P503=""),"",L503*P503)</f>
        <v/>
      </c>
    </row>
    <row r="504" ht="15" customHeight="1" s="32">
      <c r="A504" s="46" t="inlineStr">
        <is>
          <t>R-HB-0503</t>
        </is>
      </c>
      <c r="B504" s="47" t="n">
        <v>45349</v>
      </c>
      <c r="C504" s="46" t="inlineStr">
        <is>
          <t>2024-02</t>
        </is>
      </c>
      <c r="D504" s="46" t="n">
        <v>2024</v>
      </c>
      <c r="E504" s="46" t="inlineStr">
        <is>
          <t>P-HB-004</t>
        </is>
      </c>
      <c r="F504" s="46" t="inlineStr">
        <is>
          <t>C-HB-04</t>
        </is>
      </c>
      <c r="G504" s="48" t="inlineStr">
        <is>
          <t>캐나다</t>
        </is>
      </c>
      <c r="H504" s="46" t="inlineStr">
        <is>
          <t>CA</t>
        </is>
      </c>
      <c r="I504" s="49" t="n">
        <v>1506</v>
      </c>
      <c r="J504" s="46" t="inlineStr">
        <is>
          <t>EA</t>
        </is>
      </c>
      <c r="K504" s="50" t="n">
        <v>1.66</v>
      </c>
      <c r="L504" s="50" t="n">
        <v>42285.22</v>
      </c>
      <c r="M504" s="46" t="inlineStr">
        <is>
          <t>USD</t>
        </is>
      </c>
      <c r="N504" s="46" t="inlineStr">
        <is>
          <t>FOB</t>
        </is>
      </c>
      <c r="O504" s="46" t="inlineStr">
        <is>
          <t>N</t>
        </is>
      </c>
      <c r="P504" s="50" t="n">
        <v>1331.3345</v>
      </c>
      <c r="Q504" s="49">
        <f>IF(OR(L504="",M504="",P504=""),"",L504*P504)</f>
        <v/>
      </c>
    </row>
    <row r="505" ht="15" customHeight="1" s="32">
      <c r="A505" s="46" t="inlineStr">
        <is>
          <t>R-HB-0504</t>
        </is>
      </c>
      <c r="B505" s="47" t="n">
        <v>45349</v>
      </c>
      <c r="C505" s="46" t="inlineStr">
        <is>
          <t>2024-02</t>
        </is>
      </c>
      <c r="D505" s="46" t="n">
        <v>2024</v>
      </c>
      <c r="E505" s="46" t="inlineStr">
        <is>
          <t>P-HB-004</t>
        </is>
      </c>
      <c r="F505" s="46" t="inlineStr">
        <is>
          <t>C-HB-05</t>
        </is>
      </c>
      <c r="G505" s="48" t="inlineStr">
        <is>
          <t>독일</t>
        </is>
      </c>
      <c r="H505" s="46" t="inlineStr">
        <is>
          <t>DE</t>
        </is>
      </c>
      <c r="I505" s="49" t="n">
        <v>13460</v>
      </c>
      <c r="J505" s="46" t="inlineStr">
        <is>
          <t>EA</t>
        </is>
      </c>
      <c r="K505" s="50" t="n">
        <v>14.81</v>
      </c>
      <c r="L505" s="50" t="n">
        <v>390904.36</v>
      </c>
      <c r="M505" s="46" t="inlineStr">
        <is>
          <t>USD</t>
        </is>
      </c>
      <c r="N505" s="46" t="inlineStr">
        <is>
          <t>FOB</t>
        </is>
      </c>
      <c r="O505" s="46" t="inlineStr">
        <is>
          <t>N</t>
        </is>
      </c>
      <c r="P505" s="50" t="n">
        <v>1331.3345</v>
      </c>
      <c r="Q505" s="49">
        <f>IF(OR(L505="",M505="",P505=""),"",L505*P505)</f>
        <v/>
      </c>
    </row>
    <row r="506" ht="15" customHeight="1" s="32">
      <c r="A506" s="46" t="inlineStr">
        <is>
          <t>R-HB-0505</t>
        </is>
      </c>
      <c r="B506" s="47" t="n">
        <v>45354</v>
      </c>
      <c r="C506" s="46" t="inlineStr">
        <is>
          <t>2024-03</t>
        </is>
      </c>
      <c r="D506" s="46" t="n">
        <v>2024</v>
      </c>
      <c r="E506" s="46" t="inlineStr">
        <is>
          <t>P-HB-001</t>
        </is>
      </c>
      <c r="F506" s="46" t="inlineStr">
        <is>
          <t>C-HB-07</t>
        </is>
      </c>
      <c r="G506" s="48" t="inlineStr">
        <is>
          <t>인도</t>
        </is>
      </c>
      <c r="H506" s="46" t="inlineStr">
        <is>
          <t>IN</t>
        </is>
      </c>
      <c r="I506" s="49" t="n">
        <v>71341</v>
      </c>
      <c r="J506" s="46" t="inlineStr">
        <is>
          <t>EA</t>
        </is>
      </c>
      <c r="K506" s="50" t="n">
        <v>32.1</v>
      </c>
      <c r="L506" s="50" t="n">
        <v>334093.35</v>
      </c>
      <c r="M506" s="46" t="inlineStr">
        <is>
          <t>USD</t>
        </is>
      </c>
      <c r="N506" s="46" t="inlineStr">
        <is>
          <t>FOB</t>
        </is>
      </c>
      <c r="O506" s="46" t="inlineStr">
        <is>
          <t>N</t>
        </is>
      </c>
      <c r="P506" s="50" t="n">
        <v>1331.6752</v>
      </c>
      <c r="Q506" s="49">
        <f>IF(OR(L506="",M506="",P506=""),"",L506*P506)</f>
        <v/>
      </c>
    </row>
    <row r="507" ht="15" customHeight="1" s="32">
      <c r="A507" s="46" t="inlineStr">
        <is>
          <t>R-HB-0506</t>
        </is>
      </c>
      <c r="B507" s="47" t="n">
        <v>45355</v>
      </c>
      <c r="C507" s="46" t="inlineStr">
        <is>
          <t>2024-03</t>
        </is>
      </c>
      <c r="D507" s="46" t="n">
        <v>2024</v>
      </c>
      <c r="E507" s="46" t="inlineStr">
        <is>
          <t>P-HB-001</t>
        </is>
      </c>
      <c r="F507" s="46" t="inlineStr">
        <is>
          <t>C-HB-01</t>
        </is>
      </c>
      <c r="G507" s="48" t="inlineStr">
        <is>
          <t>미국</t>
        </is>
      </c>
      <c r="H507" s="46" t="inlineStr">
        <is>
          <t>US</t>
        </is>
      </c>
      <c r="I507" s="49" t="n">
        <v>179721</v>
      </c>
      <c r="J507" s="46" t="inlineStr">
        <is>
          <t>EA</t>
        </is>
      </c>
      <c r="K507" s="50" t="n">
        <v>80.87</v>
      </c>
      <c r="L507" s="50" t="n">
        <v>833420.5</v>
      </c>
      <c r="M507" s="46" t="inlineStr">
        <is>
          <t>USD</t>
        </is>
      </c>
      <c r="N507" s="46" t="inlineStr">
        <is>
          <t>FOB</t>
        </is>
      </c>
      <c r="O507" s="46" t="inlineStr">
        <is>
          <t>N</t>
        </is>
      </c>
      <c r="P507" s="50" t="n">
        <v>1331.6752</v>
      </c>
      <c r="Q507" s="49">
        <f>IF(OR(L507="",M507="",P507=""),"",L507*P507)</f>
        <v/>
      </c>
    </row>
    <row r="508" ht="15" customHeight="1" s="32">
      <c r="A508" s="46" t="inlineStr">
        <is>
          <t>R-HB-0507</t>
        </is>
      </c>
      <c r="B508" s="47" t="n">
        <v>45356</v>
      </c>
      <c r="C508" s="46" t="inlineStr">
        <is>
          <t>2024-03</t>
        </is>
      </c>
      <c r="D508" s="46" t="n">
        <v>2024</v>
      </c>
      <c r="E508" s="46" t="inlineStr">
        <is>
          <t>P-HB-003</t>
        </is>
      </c>
      <c r="F508" s="46" t="inlineStr">
        <is>
          <t>C-HB-03</t>
        </is>
      </c>
      <c r="G508" s="48" t="inlineStr">
        <is>
          <t>멕시코</t>
        </is>
      </c>
      <c r="H508" s="46" t="inlineStr">
        <is>
          <t>MX</t>
        </is>
      </c>
      <c r="I508" s="49" t="n">
        <v>12666</v>
      </c>
      <c r="J508" s="46" t="inlineStr">
        <is>
          <t>EA</t>
        </is>
      </c>
      <c r="K508" s="50" t="n">
        <v>8.23</v>
      </c>
      <c r="L508" s="50" t="n">
        <v>80881.47</v>
      </c>
      <c r="M508" s="46" t="inlineStr">
        <is>
          <t>USD</t>
        </is>
      </c>
      <c r="N508" s="46" t="inlineStr">
        <is>
          <t>FOB</t>
        </is>
      </c>
      <c r="O508" s="46" t="inlineStr">
        <is>
          <t>N</t>
        </is>
      </c>
      <c r="P508" s="50" t="n">
        <v>1331.6752</v>
      </c>
      <c r="Q508" s="49">
        <f>IF(OR(L508="",M508="",P508=""),"",L508*P508)</f>
        <v/>
      </c>
    </row>
    <row r="509" ht="15" customHeight="1" s="32">
      <c r="A509" s="46" t="inlineStr">
        <is>
          <t>R-HB-0508</t>
        </is>
      </c>
      <c r="B509" s="47" t="n">
        <v>45357</v>
      </c>
      <c r="C509" s="46" t="inlineStr">
        <is>
          <t>2024-03</t>
        </is>
      </c>
      <c r="D509" s="46" t="n">
        <v>2024</v>
      </c>
      <c r="E509" s="46" t="inlineStr">
        <is>
          <t>P-HB-001</t>
        </is>
      </c>
      <c r="F509" s="46" t="inlineStr">
        <is>
          <t>C-HB-02</t>
        </is>
      </c>
      <c r="G509" s="48" t="inlineStr">
        <is>
          <t>미국</t>
        </is>
      </c>
      <c r="H509" s="46" t="inlineStr">
        <is>
          <t>US</t>
        </is>
      </c>
      <c r="I509" s="49" t="n">
        <v>102409</v>
      </c>
      <c r="J509" s="46" t="inlineStr">
        <is>
          <t>EA</t>
        </is>
      </c>
      <c r="K509" s="50" t="n">
        <v>46.08</v>
      </c>
      <c r="L509" s="50" t="n">
        <v>463694.82</v>
      </c>
      <c r="M509" s="46" t="inlineStr">
        <is>
          <t>USD</t>
        </is>
      </c>
      <c r="N509" s="46" t="inlineStr">
        <is>
          <t>FOB</t>
        </is>
      </c>
      <c r="O509" s="46" t="inlineStr">
        <is>
          <t>N</t>
        </is>
      </c>
      <c r="P509" s="50" t="n">
        <v>1331.6752</v>
      </c>
      <c r="Q509" s="49">
        <f>IF(OR(L509="",M509="",P509=""),"",L509*P509)</f>
        <v/>
      </c>
    </row>
    <row r="510" ht="15" customHeight="1" s="32">
      <c r="A510" s="46" t="inlineStr">
        <is>
          <t>R-HB-0509</t>
        </is>
      </c>
      <c r="B510" s="47" t="n">
        <v>45357</v>
      </c>
      <c r="C510" s="46" t="inlineStr">
        <is>
          <t>2024-03</t>
        </is>
      </c>
      <c r="D510" s="46" t="n">
        <v>2024</v>
      </c>
      <c r="E510" s="46" t="inlineStr">
        <is>
          <t>P-HB-001</t>
        </is>
      </c>
      <c r="F510" s="46" t="inlineStr">
        <is>
          <t>C-HB-06</t>
        </is>
      </c>
      <c r="G510" s="48" t="inlineStr">
        <is>
          <t>베트남</t>
        </is>
      </c>
      <c r="H510" s="46" t="inlineStr">
        <is>
          <t>VN</t>
        </is>
      </c>
      <c r="I510" s="49" t="n">
        <v>107585</v>
      </c>
      <c r="J510" s="46" t="inlineStr">
        <is>
          <t>EA</t>
        </is>
      </c>
      <c r="K510" s="50" t="n">
        <v>48.41</v>
      </c>
      <c r="L510" s="50" t="n">
        <v>493364.5</v>
      </c>
      <c r="M510" s="46" t="inlineStr">
        <is>
          <t>USD</t>
        </is>
      </c>
      <c r="N510" s="46" t="inlineStr">
        <is>
          <t>FOB</t>
        </is>
      </c>
      <c r="O510" s="46" t="inlineStr">
        <is>
          <t>N</t>
        </is>
      </c>
      <c r="P510" s="50" t="n">
        <v>1331.6752</v>
      </c>
      <c r="Q510" s="49">
        <f>IF(OR(L510="",M510="",P510=""),"",L510*P510)</f>
        <v/>
      </c>
    </row>
    <row r="511" ht="15" customHeight="1" s="32">
      <c r="A511" s="46" t="inlineStr">
        <is>
          <t>R-HB-0510</t>
        </is>
      </c>
      <c r="B511" s="47" t="n">
        <v>45360</v>
      </c>
      <c r="C511" s="46" t="inlineStr">
        <is>
          <t>2024-03</t>
        </is>
      </c>
      <c r="D511" s="46" t="n">
        <v>2024</v>
      </c>
      <c r="E511" s="46" t="inlineStr">
        <is>
          <t>P-HB-002</t>
        </is>
      </c>
      <c r="F511" s="46" t="inlineStr">
        <is>
          <t>C-HB-09</t>
        </is>
      </c>
      <c r="G511" s="48" t="inlineStr">
        <is>
          <t>중국</t>
        </is>
      </c>
      <c r="H511" s="46" t="inlineStr">
        <is>
          <t>CN</t>
        </is>
      </c>
      <c r="I511" s="49" t="n">
        <v>510</v>
      </c>
      <c r="J511" s="46" t="inlineStr">
        <is>
          <t>EA</t>
        </is>
      </c>
      <c r="K511" s="50" t="n">
        <v>1.12</v>
      </c>
      <c r="L511" s="50" t="n">
        <v>158759.63</v>
      </c>
      <c r="M511" s="46" t="inlineStr">
        <is>
          <t>USD</t>
        </is>
      </c>
      <c r="N511" s="46" t="inlineStr">
        <is>
          <t>FOB</t>
        </is>
      </c>
      <c r="O511" s="46" t="inlineStr">
        <is>
          <t>N</t>
        </is>
      </c>
      <c r="P511" s="50" t="n">
        <v>1331.6752</v>
      </c>
      <c r="Q511" s="49">
        <f>IF(OR(L511="",M511="",P511=""),"",L511*P511)</f>
        <v/>
      </c>
    </row>
    <row r="512" ht="15" customHeight="1" s="32">
      <c r="A512" s="46" t="inlineStr">
        <is>
          <t>R-HB-0511</t>
        </is>
      </c>
      <c r="B512" s="47" t="n">
        <v>45361</v>
      </c>
      <c r="C512" s="46" t="inlineStr">
        <is>
          <t>2024-03</t>
        </is>
      </c>
      <c r="D512" s="46" t="n">
        <v>2024</v>
      </c>
      <c r="E512" s="46" t="inlineStr">
        <is>
          <t>P-HB-002</t>
        </is>
      </c>
      <c r="F512" s="46" t="inlineStr">
        <is>
          <t>C-HB-05</t>
        </is>
      </c>
      <c r="G512" s="48" t="inlineStr">
        <is>
          <t>독일</t>
        </is>
      </c>
      <c r="H512" s="46" t="inlineStr">
        <is>
          <t>DE</t>
        </is>
      </c>
      <c r="I512" s="49" t="n">
        <v>508</v>
      </c>
      <c r="J512" s="46" t="inlineStr">
        <is>
          <t>EA</t>
        </is>
      </c>
      <c r="K512" s="50" t="n">
        <v>1.12</v>
      </c>
      <c r="L512" s="50" t="n">
        <v>163959.16</v>
      </c>
      <c r="M512" s="46" t="inlineStr">
        <is>
          <t>USD</t>
        </is>
      </c>
      <c r="N512" s="46" t="inlineStr">
        <is>
          <t>FOB</t>
        </is>
      </c>
      <c r="O512" s="46" t="inlineStr">
        <is>
          <t>N</t>
        </is>
      </c>
      <c r="P512" s="50" t="n">
        <v>1331.6752</v>
      </c>
      <c r="Q512" s="49">
        <f>IF(OR(L512="",M512="",P512=""),"",L512*P512)</f>
        <v/>
      </c>
    </row>
    <row r="513" ht="15" customHeight="1" s="32">
      <c r="A513" s="46" t="inlineStr">
        <is>
          <t>R-HB-0512</t>
        </is>
      </c>
      <c r="B513" s="47" t="n">
        <v>45361</v>
      </c>
      <c r="C513" s="46" t="inlineStr">
        <is>
          <t>2024-03</t>
        </is>
      </c>
      <c r="D513" s="46" t="n">
        <v>2024</v>
      </c>
      <c r="E513" s="46" t="inlineStr">
        <is>
          <t>P-HB-003</t>
        </is>
      </c>
      <c r="F513" s="46" t="inlineStr">
        <is>
          <t>C-HB-09</t>
        </is>
      </c>
      <c r="G513" s="48" t="inlineStr">
        <is>
          <t>중국</t>
        </is>
      </c>
      <c r="H513" s="46" t="inlineStr">
        <is>
          <t>CN</t>
        </is>
      </c>
      <c r="I513" s="49" t="n">
        <v>49311</v>
      </c>
      <c r="J513" s="46" t="inlineStr">
        <is>
          <t>EA</t>
        </is>
      </c>
      <c r="K513" s="50" t="n">
        <v>32.05</v>
      </c>
      <c r="L513" s="50" t="n">
        <v>310428.67</v>
      </c>
      <c r="M513" s="46" t="inlineStr">
        <is>
          <t>USD</t>
        </is>
      </c>
      <c r="N513" s="46" t="inlineStr">
        <is>
          <t>FOB</t>
        </is>
      </c>
      <c r="O513" s="46" t="inlineStr">
        <is>
          <t>N</t>
        </is>
      </c>
      <c r="P513" s="50" t="n">
        <v>1331.6752</v>
      </c>
      <c r="Q513" s="49">
        <f>IF(OR(L513="",M513="",P513=""),"",L513*P513)</f>
        <v/>
      </c>
    </row>
    <row r="514" ht="15" customHeight="1" s="32">
      <c r="A514" s="46" t="inlineStr">
        <is>
          <t>R-HB-0513</t>
        </is>
      </c>
      <c r="B514" s="47" t="n">
        <v>45361</v>
      </c>
      <c r="C514" s="46" t="inlineStr">
        <is>
          <t>2024-03</t>
        </is>
      </c>
      <c r="D514" s="46" t="n">
        <v>2024</v>
      </c>
      <c r="E514" s="46" t="inlineStr">
        <is>
          <t>P-HB-004</t>
        </is>
      </c>
      <c r="F514" s="46" t="inlineStr">
        <is>
          <t>C-HB-09</t>
        </is>
      </c>
      <c r="G514" s="48" t="inlineStr">
        <is>
          <t>중국</t>
        </is>
      </c>
      <c r="H514" s="46" t="inlineStr">
        <is>
          <t>CN</t>
        </is>
      </c>
      <c r="I514" s="49" t="n">
        <v>13529</v>
      </c>
      <c r="J514" s="46" t="inlineStr">
        <is>
          <t>EA</t>
        </is>
      </c>
      <c r="K514" s="50" t="n">
        <v>14.88</v>
      </c>
      <c r="L514" s="50" t="n">
        <v>376437.57</v>
      </c>
      <c r="M514" s="46" t="inlineStr">
        <is>
          <t>USD</t>
        </is>
      </c>
      <c r="N514" s="46" t="inlineStr">
        <is>
          <t>FOB</t>
        </is>
      </c>
      <c r="O514" s="46" t="inlineStr">
        <is>
          <t>N</t>
        </is>
      </c>
      <c r="P514" s="50" t="n">
        <v>1331.6752</v>
      </c>
      <c r="Q514" s="49">
        <f>IF(OR(L514="",M514="",P514=""),"",L514*P514)</f>
        <v/>
      </c>
    </row>
    <row r="515" ht="15" customHeight="1" s="32">
      <c r="A515" s="46" t="inlineStr">
        <is>
          <t>R-HB-0514</t>
        </is>
      </c>
      <c r="B515" s="47" t="n">
        <v>45362</v>
      </c>
      <c r="C515" s="46" t="inlineStr">
        <is>
          <t>2024-03</t>
        </is>
      </c>
      <c r="D515" s="46" t="n">
        <v>2024</v>
      </c>
      <c r="E515" s="46" t="inlineStr">
        <is>
          <t>P-HB-004</t>
        </is>
      </c>
      <c r="F515" s="46" t="inlineStr">
        <is>
          <t>C-HB-02</t>
        </is>
      </c>
      <c r="G515" s="48" t="inlineStr">
        <is>
          <t>미국</t>
        </is>
      </c>
      <c r="H515" s="46" t="inlineStr">
        <is>
          <t>US</t>
        </is>
      </c>
      <c r="I515" s="49" t="n">
        <v>9550</v>
      </c>
      <c r="J515" s="46" t="inlineStr">
        <is>
          <t>EA</t>
        </is>
      </c>
      <c r="K515" s="50" t="n">
        <v>10.51</v>
      </c>
      <c r="L515" s="50" t="n">
        <v>267094.69</v>
      </c>
      <c r="M515" s="46" t="inlineStr">
        <is>
          <t>USD</t>
        </is>
      </c>
      <c r="N515" s="46" t="inlineStr">
        <is>
          <t>FOB</t>
        </is>
      </c>
      <c r="O515" s="46" t="inlineStr">
        <is>
          <t>N</t>
        </is>
      </c>
      <c r="P515" s="50" t="n">
        <v>1331.6752</v>
      </c>
      <c r="Q515" s="49">
        <f>IF(OR(L515="",M515="",P515=""),"",L515*P515)</f>
        <v/>
      </c>
    </row>
    <row r="516" ht="15" customHeight="1" s="32">
      <c r="A516" s="46" t="inlineStr">
        <is>
          <t>R-HB-0515</t>
        </is>
      </c>
      <c r="B516" s="47" t="n">
        <v>45362</v>
      </c>
      <c r="C516" s="46" t="inlineStr">
        <is>
          <t>2024-03</t>
        </is>
      </c>
      <c r="D516" s="46" t="n">
        <v>2024</v>
      </c>
      <c r="E516" s="46" t="inlineStr">
        <is>
          <t>P-HB-003</t>
        </is>
      </c>
      <c r="F516" s="46" t="inlineStr">
        <is>
          <t>C-HB-08</t>
        </is>
      </c>
      <c r="G516" s="48" t="inlineStr">
        <is>
          <t>중국</t>
        </is>
      </c>
      <c r="H516" s="46" t="inlineStr">
        <is>
          <t>CN</t>
        </is>
      </c>
      <c r="I516" s="49" t="n">
        <v>81845</v>
      </c>
      <c r="J516" s="46" t="inlineStr">
        <is>
          <t>EA</t>
        </is>
      </c>
      <c r="K516" s="50" t="n">
        <v>53.2</v>
      </c>
      <c r="L516" s="50" t="n">
        <v>532657.62</v>
      </c>
      <c r="M516" s="46" t="inlineStr">
        <is>
          <t>USD</t>
        </is>
      </c>
      <c r="N516" s="46" t="inlineStr">
        <is>
          <t>FOB</t>
        </is>
      </c>
      <c r="O516" s="46" t="inlineStr">
        <is>
          <t>N</t>
        </is>
      </c>
      <c r="P516" s="50" t="n">
        <v>1331.6752</v>
      </c>
      <c r="Q516" s="49">
        <f>IF(OR(L516="",M516="",P516=""),"",L516*P516)</f>
        <v/>
      </c>
    </row>
    <row r="517" ht="15" customHeight="1" s="32">
      <c r="A517" s="46" t="inlineStr">
        <is>
          <t>R-HB-0516</t>
        </is>
      </c>
      <c r="B517" s="47" t="n">
        <v>45364</v>
      </c>
      <c r="C517" s="46" t="inlineStr">
        <is>
          <t>2024-03</t>
        </is>
      </c>
      <c r="D517" s="46" t="n">
        <v>2024</v>
      </c>
      <c r="E517" s="46" t="inlineStr">
        <is>
          <t>P-HB-004</t>
        </is>
      </c>
      <c r="F517" s="46" t="inlineStr">
        <is>
          <t>C-HB-07</t>
        </is>
      </c>
      <c r="G517" s="48" t="inlineStr">
        <is>
          <t>인도</t>
        </is>
      </c>
      <c r="H517" s="46" t="inlineStr">
        <is>
          <t>IN</t>
        </is>
      </c>
      <c r="I517" s="49" t="n">
        <v>6757</v>
      </c>
      <c r="J517" s="46" t="inlineStr">
        <is>
          <t>EA</t>
        </is>
      </c>
      <c r="K517" s="50" t="n">
        <v>7.43</v>
      </c>
      <c r="L517" s="50" t="n">
        <v>185777.28</v>
      </c>
      <c r="M517" s="46" t="inlineStr">
        <is>
          <t>USD</t>
        </is>
      </c>
      <c r="N517" s="46" t="inlineStr">
        <is>
          <t>FOB</t>
        </is>
      </c>
      <c r="O517" s="46" t="inlineStr">
        <is>
          <t>N</t>
        </is>
      </c>
      <c r="P517" s="50" t="n">
        <v>1331.6752</v>
      </c>
      <c r="Q517" s="49">
        <f>IF(OR(L517="",M517="",P517=""),"",L517*P517)</f>
        <v/>
      </c>
    </row>
    <row r="518" ht="15" customHeight="1" s="32">
      <c r="A518" s="46" t="inlineStr">
        <is>
          <t>R-HB-0517</t>
        </is>
      </c>
      <c r="B518" s="47" t="n">
        <v>45364</v>
      </c>
      <c r="C518" s="46" t="inlineStr">
        <is>
          <t>2024-03</t>
        </is>
      </c>
      <c r="D518" s="46" t="n">
        <v>2024</v>
      </c>
      <c r="E518" s="46" t="inlineStr">
        <is>
          <t>P-HB-001</t>
        </is>
      </c>
      <c r="F518" s="46" t="inlineStr">
        <is>
          <t>C-HB-09</t>
        </is>
      </c>
      <c r="G518" s="48" t="inlineStr">
        <is>
          <t>중국</t>
        </is>
      </c>
      <c r="H518" s="46" t="inlineStr">
        <is>
          <t>CN</t>
        </is>
      </c>
      <c r="I518" s="49" t="n">
        <v>142396</v>
      </c>
      <c r="J518" s="46" t="inlineStr">
        <is>
          <t>EA</t>
        </is>
      </c>
      <c r="K518" s="50" t="n">
        <v>64.08</v>
      </c>
      <c r="L518" s="50" t="n">
        <v>626054.64</v>
      </c>
      <c r="M518" s="46" t="inlineStr">
        <is>
          <t>USD</t>
        </is>
      </c>
      <c r="N518" s="46" t="inlineStr">
        <is>
          <t>FOB</t>
        </is>
      </c>
      <c r="O518" s="46" t="inlineStr">
        <is>
          <t>N</t>
        </is>
      </c>
      <c r="P518" s="50" t="n">
        <v>1331.6752</v>
      </c>
      <c r="Q518" s="49">
        <f>IF(OR(L518="",M518="",P518=""),"",L518*P518)</f>
        <v/>
      </c>
    </row>
    <row r="519" ht="15" customHeight="1" s="32">
      <c r="A519" s="46" t="inlineStr">
        <is>
          <t>R-HB-0518</t>
        </is>
      </c>
      <c r="B519" s="47" t="n">
        <v>45365</v>
      </c>
      <c r="C519" s="46" t="inlineStr">
        <is>
          <t>2024-03</t>
        </is>
      </c>
      <c r="D519" s="46" t="n">
        <v>2024</v>
      </c>
      <c r="E519" s="46" t="inlineStr">
        <is>
          <t>P-HB-002</t>
        </is>
      </c>
      <c r="F519" s="46" t="inlineStr">
        <is>
          <t>C-HB-07</t>
        </is>
      </c>
      <c r="G519" s="48" t="inlineStr">
        <is>
          <t>인도</t>
        </is>
      </c>
      <c r="H519" s="46" t="inlineStr">
        <is>
          <t>IN</t>
        </is>
      </c>
      <c r="I519" s="49" t="n">
        <v>251</v>
      </c>
      <c r="J519" s="46" t="inlineStr">
        <is>
          <t>EA</t>
        </is>
      </c>
      <c r="K519" s="50" t="n">
        <v>0.55</v>
      </c>
      <c r="L519" s="50" t="n">
        <v>80980.22</v>
      </c>
      <c r="M519" s="46" t="inlineStr">
        <is>
          <t>USD</t>
        </is>
      </c>
      <c r="N519" s="46" t="inlineStr">
        <is>
          <t>FOB</t>
        </is>
      </c>
      <c r="O519" s="46" t="inlineStr">
        <is>
          <t>N</t>
        </is>
      </c>
      <c r="P519" s="50" t="n">
        <v>1331.6752</v>
      </c>
      <c r="Q519" s="49">
        <f>IF(OR(L519="",M519="",P519=""),"",L519*P519)</f>
        <v/>
      </c>
    </row>
    <row r="520" ht="15" customHeight="1" s="32">
      <c r="A520" s="46" t="inlineStr">
        <is>
          <t>R-HB-0519</t>
        </is>
      </c>
      <c r="B520" s="47" t="n">
        <v>45366</v>
      </c>
      <c r="C520" s="46" t="inlineStr">
        <is>
          <t>2024-03</t>
        </is>
      </c>
      <c r="D520" s="46" t="n">
        <v>2024</v>
      </c>
      <c r="E520" s="46" t="inlineStr">
        <is>
          <t>P-HB-003</t>
        </is>
      </c>
      <c r="F520" s="46" t="inlineStr">
        <is>
          <t>C-HB-02</t>
        </is>
      </c>
      <c r="G520" s="48" t="inlineStr">
        <is>
          <t>미국</t>
        </is>
      </c>
      <c r="H520" s="46" t="inlineStr">
        <is>
          <t>US</t>
        </is>
      </c>
      <c r="I520" s="49" t="n">
        <v>37180</v>
      </c>
      <c r="J520" s="46" t="inlineStr">
        <is>
          <t>EA</t>
        </is>
      </c>
      <c r="K520" s="50" t="n">
        <v>24.17</v>
      </c>
      <c r="L520" s="50" t="n">
        <v>233091.17</v>
      </c>
      <c r="M520" s="46" t="inlineStr">
        <is>
          <t>USD</t>
        </is>
      </c>
      <c r="N520" s="46" t="inlineStr">
        <is>
          <t>FOB</t>
        </is>
      </c>
      <c r="O520" s="46" t="inlineStr">
        <is>
          <t>N</t>
        </is>
      </c>
      <c r="P520" s="50" t="n">
        <v>1331.6752</v>
      </c>
      <c r="Q520" s="49">
        <f>IF(OR(L520="",M520="",P520=""),"",L520*P520)</f>
        <v/>
      </c>
    </row>
    <row r="521" ht="15" customHeight="1" s="32">
      <c r="A521" s="46" t="inlineStr">
        <is>
          <t>R-HB-0520</t>
        </is>
      </c>
      <c r="B521" s="47" t="n">
        <v>45366</v>
      </c>
      <c r="C521" s="46" t="inlineStr">
        <is>
          <t>2024-03</t>
        </is>
      </c>
      <c r="D521" s="46" t="n">
        <v>2024</v>
      </c>
      <c r="E521" s="46" t="inlineStr">
        <is>
          <t>P-HB-003</t>
        </is>
      </c>
      <c r="F521" s="46" t="inlineStr">
        <is>
          <t>C-HB-06</t>
        </is>
      </c>
      <c r="G521" s="48" t="inlineStr">
        <is>
          <t>베트남</t>
        </is>
      </c>
      <c r="H521" s="46" t="inlineStr">
        <is>
          <t>VN</t>
        </is>
      </c>
      <c r="I521" s="49" t="n">
        <v>40558</v>
      </c>
      <c r="J521" s="46" t="inlineStr">
        <is>
          <t>EA</t>
        </is>
      </c>
      <c r="K521" s="50" t="n">
        <v>26.36</v>
      </c>
      <c r="L521" s="50" t="n">
        <v>255424.85</v>
      </c>
      <c r="M521" s="46" t="inlineStr">
        <is>
          <t>USD</t>
        </is>
      </c>
      <c r="N521" s="46" t="inlineStr">
        <is>
          <t>FOB</t>
        </is>
      </c>
      <c r="O521" s="46" t="inlineStr">
        <is>
          <t>N</t>
        </is>
      </c>
      <c r="P521" s="50" t="n">
        <v>1331.6752</v>
      </c>
      <c r="Q521" s="49">
        <f>IF(OR(L521="",M521="",P521=""),"",L521*P521)</f>
        <v/>
      </c>
    </row>
    <row r="522" ht="15" customHeight="1" s="32">
      <c r="A522" s="46" t="inlineStr">
        <is>
          <t>R-HB-0521</t>
        </is>
      </c>
      <c r="B522" s="47" t="n">
        <v>45367</v>
      </c>
      <c r="C522" s="46" t="inlineStr">
        <is>
          <t>2024-03</t>
        </is>
      </c>
      <c r="D522" s="46" t="n">
        <v>2024</v>
      </c>
      <c r="E522" s="46" t="inlineStr">
        <is>
          <t>P-HB-003</t>
        </is>
      </c>
      <c r="F522" s="46" t="inlineStr">
        <is>
          <t>C-HB-07</t>
        </is>
      </c>
      <c r="G522" s="48" t="inlineStr">
        <is>
          <t>인도</t>
        </is>
      </c>
      <c r="H522" s="46" t="inlineStr">
        <is>
          <t>IN</t>
        </is>
      </c>
      <c r="I522" s="49" t="n">
        <v>28934</v>
      </c>
      <c r="J522" s="46" t="inlineStr">
        <is>
          <t>EA</t>
        </is>
      </c>
      <c r="K522" s="50" t="n">
        <v>18.81</v>
      </c>
      <c r="L522" s="50" t="n">
        <v>183734.19</v>
      </c>
      <c r="M522" s="46" t="inlineStr">
        <is>
          <t>USD</t>
        </is>
      </c>
      <c r="N522" s="46" t="inlineStr">
        <is>
          <t>FOB</t>
        </is>
      </c>
      <c r="O522" s="46" t="inlineStr">
        <is>
          <t>N</t>
        </is>
      </c>
      <c r="P522" s="50" t="n">
        <v>1331.6752</v>
      </c>
      <c r="Q522" s="49">
        <f>IF(OR(L522="",M522="",P522=""),"",L522*P522)</f>
        <v/>
      </c>
    </row>
    <row r="523" ht="15" customHeight="1" s="32">
      <c r="A523" s="46" t="inlineStr">
        <is>
          <t>R-HB-0522</t>
        </is>
      </c>
      <c r="B523" s="47" t="n">
        <v>45368</v>
      </c>
      <c r="C523" s="46" t="inlineStr">
        <is>
          <t>2024-03</t>
        </is>
      </c>
      <c r="D523" s="46" t="n">
        <v>2024</v>
      </c>
      <c r="E523" s="46" t="inlineStr">
        <is>
          <t>P-HB-001</t>
        </is>
      </c>
      <c r="F523" s="46" t="inlineStr">
        <is>
          <t>C-HB-04</t>
        </is>
      </c>
      <c r="G523" s="48" t="inlineStr">
        <is>
          <t>캐나다</t>
        </is>
      </c>
      <c r="H523" s="46" t="inlineStr">
        <is>
          <t>CA</t>
        </is>
      </c>
      <c r="I523" s="49" t="n">
        <v>16307</v>
      </c>
      <c r="J523" s="46" t="inlineStr">
        <is>
          <t>EA</t>
        </is>
      </c>
      <c r="K523" s="50" t="n">
        <v>7.34</v>
      </c>
      <c r="L523" s="50" t="n">
        <v>72653.34</v>
      </c>
      <c r="M523" s="46" t="inlineStr">
        <is>
          <t>USD</t>
        </is>
      </c>
      <c r="N523" s="46" t="inlineStr">
        <is>
          <t>FOB</t>
        </is>
      </c>
      <c r="O523" s="46" t="inlineStr">
        <is>
          <t>N</t>
        </is>
      </c>
      <c r="P523" s="50" t="n">
        <v>1331.6752</v>
      </c>
      <c r="Q523" s="49">
        <f>IF(OR(L523="",M523="",P523=""),"",L523*P523)</f>
        <v/>
      </c>
    </row>
    <row r="524" ht="15" customHeight="1" s="32">
      <c r="A524" s="46" t="inlineStr">
        <is>
          <t>R-HB-0523</t>
        </is>
      </c>
      <c r="B524" s="47" t="n">
        <v>45370</v>
      </c>
      <c r="C524" s="46" t="inlineStr">
        <is>
          <t>2024-03</t>
        </is>
      </c>
      <c r="D524" s="46" t="n">
        <v>2024</v>
      </c>
      <c r="E524" s="46" t="inlineStr">
        <is>
          <t>P-HB-002</t>
        </is>
      </c>
      <c r="F524" s="46" t="inlineStr">
        <is>
          <t>C-HB-02</t>
        </is>
      </c>
      <c r="G524" s="48" t="inlineStr">
        <is>
          <t>미국</t>
        </is>
      </c>
      <c r="H524" s="46" t="inlineStr">
        <is>
          <t>US</t>
        </is>
      </c>
      <c r="I524" s="49" t="n">
        <v>334</v>
      </c>
      <c r="J524" s="46" t="inlineStr">
        <is>
          <t>EA</t>
        </is>
      </c>
      <c r="K524" s="50" t="n">
        <v>0.73</v>
      </c>
      <c r="L524" s="50" t="n">
        <v>107913.78</v>
      </c>
      <c r="M524" s="46" t="inlineStr">
        <is>
          <t>USD</t>
        </is>
      </c>
      <c r="N524" s="46" t="inlineStr">
        <is>
          <t>FOB</t>
        </is>
      </c>
      <c r="O524" s="46" t="inlineStr">
        <is>
          <t>N</t>
        </is>
      </c>
      <c r="P524" s="50" t="n">
        <v>1331.6752</v>
      </c>
      <c r="Q524" s="49">
        <f>IF(OR(L524="",M524="",P524=""),"",L524*P524)</f>
        <v/>
      </c>
    </row>
    <row r="525" ht="15" customHeight="1" s="32">
      <c r="A525" s="46" t="inlineStr">
        <is>
          <t>R-HB-0524</t>
        </is>
      </c>
      <c r="B525" s="47" t="n">
        <v>45370</v>
      </c>
      <c r="C525" s="46" t="inlineStr">
        <is>
          <t>2024-03</t>
        </is>
      </c>
      <c r="D525" s="46" t="n">
        <v>2024</v>
      </c>
      <c r="E525" s="46" t="inlineStr">
        <is>
          <t>P-HB-002</t>
        </is>
      </c>
      <c r="F525" s="46" t="inlineStr">
        <is>
          <t>C-HB-08</t>
        </is>
      </c>
      <c r="G525" s="48" t="inlineStr">
        <is>
          <t>중국</t>
        </is>
      </c>
      <c r="H525" s="46" t="inlineStr">
        <is>
          <t>CN</t>
        </is>
      </c>
      <c r="I525" s="49" t="n">
        <v>808</v>
      </c>
      <c r="J525" s="46" t="inlineStr">
        <is>
          <t>EA</t>
        </is>
      </c>
      <c r="K525" s="50" t="n">
        <v>1.78</v>
      </c>
      <c r="L525" s="50" t="n">
        <v>253023.17</v>
      </c>
      <c r="M525" s="46" t="inlineStr">
        <is>
          <t>USD</t>
        </is>
      </c>
      <c r="N525" s="46" t="inlineStr">
        <is>
          <t>FOB</t>
        </is>
      </c>
      <c r="O525" s="46" t="inlineStr">
        <is>
          <t>N</t>
        </is>
      </c>
      <c r="P525" s="50" t="n">
        <v>1331.6752</v>
      </c>
      <c r="Q525" s="49">
        <f>IF(OR(L525="",M525="",P525=""),"",L525*P525)</f>
        <v/>
      </c>
    </row>
    <row r="526" ht="15" customHeight="1" s="32">
      <c r="A526" s="46" t="inlineStr">
        <is>
          <t>R-HB-0525</t>
        </is>
      </c>
      <c r="B526" s="47" t="n">
        <v>45371</v>
      </c>
      <c r="C526" s="46" t="inlineStr">
        <is>
          <t>2024-03</t>
        </is>
      </c>
      <c r="D526" s="46" t="n">
        <v>2024</v>
      </c>
      <c r="E526" s="46" t="inlineStr">
        <is>
          <t>P-HB-004</t>
        </is>
      </c>
      <c r="F526" s="46" t="inlineStr">
        <is>
          <t>C-HB-03</t>
        </is>
      </c>
      <c r="G526" s="48" t="inlineStr">
        <is>
          <t>멕시코</t>
        </is>
      </c>
      <c r="H526" s="46" t="inlineStr">
        <is>
          <t>MX</t>
        </is>
      </c>
      <c r="I526" s="49" t="n">
        <v>3225</v>
      </c>
      <c r="J526" s="46" t="inlineStr">
        <is>
          <t>EA</t>
        </is>
      </c>
      <c r="K526" s="50" t="n">
        <v>3.55</v>
      </c>
      <c r="L526" s="50" t="n">
        <v>89409.17</v>
      </c>
      <c r="M526" s="46" t="inlineStr">
        <is>
          <t>USD</t>
        </is>
      </c>
      <c r="N526" s="46" t="inlineStr">
        <is>
          <t>FOB</t>
        </is>
      </c>
      <c r="O526" s="46" t="inlineStr">
        <is>
          <t>N</t>
        </is>
      </c>
      <c r="P526" s="50" t="n">
        <v>1331.6752</v>
      </c>
      <c r="Q526" s="49">
        <f>IF(OR(L526="",M526="",P526=""),"",L526*P526)</f>
        <v/>
      </c>
    </row>
    <row r="527" ht="15" customHeight="1" s="32">
      <c r="A527" s="46" t="inlineStr">
        <is>
          <t>R-HB-0526</t>
        </is>
      </c>
      <c r="B527" s="47" t="n">
        <v>45371</v>
      </c>
      <c r="C527" s="46" t="inlineStr">
        <is>
          <t>2024-03</t>
        </is>
      </c>
      <c r="D527" s="46" t="n">
        <v>2024</v>
      </c>
      <c r="E527" s="46" t="inlineStr">
        <is>
          <t>P-HB-004</t>
        </is>
      </c>
      <c r="F527" s="46" t="inlineStr">
        <is>
          <t>C-HB-06</t>
        </is>
      </c>
      <c r="G527" s="48" t="inlineStr">
        <is>
          <t>베트남</t>
        </is>
      </c>
      <c r="H527" s="46" t="inlineStr">
        <is>
          <t>VN</t>
        </is>
      </c>
      <c r="I527" s="49" t="n">
        <v>9497</v>
      </c>
      <c r="J527" s="46" t="inlineStr">
        <is>
          <t>EA</t>
        </is>
      </c>
      <c r="K527" s="50" t="n">
        <v>10.45</v>
      </c>
      <c r="L527" s="50" t="n">
        <v>258928.01</v>
      </c>
      <c r="M527" s="46" t="inlineStr">
        <is>
          <t>USD</t>
        </is>
      </c>
      <c r="N527" s="46" t="inlineStr">
        <is>
          <t>FOB</t>
        </is>
      </c>
      <c r="O527" s="46" t="inlineStr">
        <is>
          <t>N</t>
        </is>
      </c>
      <c r="P527" s="50" t="n">
        <v>1331.6752</v>
      </c>
      <c r="Q527" s="49">
        <f>IF(OR(L527="",M527="",P527=""),"",L527*P527)</f>
        <v/>
      </c>
    </row>
    <row r="528" ht="15" customHeight="1" s="32">
      <c r="A528" s="46" t="inlineStr">
        <is>
          <t>R-HB-0527</t>
        </is>
      </c>
      <c r="B528" s="47" t="n">
        <v>45372</v>
      </c>
      <c r="C528" s="46" t="inlineStr">
        <is>
          <t>2024-03</t>
        </is>
      </c>
      <c r="D528" s="46" t="n">
        <v>2024</v>
      </c>
      <c r="E528" s="46" t="inlineStr">
        <is>
          <t>P-HB-002</t>
        </is>
      </c>
      <c r="F528" s="46" t="inlineStr">
        <is>
          <t>C-HB-03</t>
        </is>
      </c>
      <c r="G528" s="48" t="inlineStr">
        <is>
          <t>멕시코</t>
        </is>
      </c>
      <c r="H528" s="46" t="inlineStr">
        <is>
          <t>MX</t>
        </is>
      </c>
      <c r="I528" s="49" t="n">
        <v>118</v>
      </c>
      <c r="J528" s="46" t="inlineStr">
        <is>
          <t>EA</t>
        </is>
      </c>
      <c r="K528" s="50" t="n">
        <v>0.26</v>
      </c>
      <c r="L528" s="50" t="n">
        <v>35639.37</v>
      </c>
      <c r="M528" s="46" t="inlineStr">
        <is>
          <t>USD</t>
        </is>
      </c>
      <c r="N528" s="46" t="inlineStr">
        <is>
          <t>FOB</t>
        </is>
      </c>
      <c r="O528" s="46" t="inlineStr">
        <is>
          <t>N</t>
        </is>
      </c>
      <c r="P528" s="50" t="n">
        <v>1331.6752</v>
      </c>
      <c r="Q528" s="49">
        <f>IF(OR(L528="",M528="",P528=""),"",L528*P528)</f>
        <v/>
      </c>
    </row>
    <row r="529" ht="15" customHeight="1" s="32">
      <c r="A529" s="46" t="inlineStr">
        <is>
          <t>R-HB-0528</t>
        </is>
      </c>
      <c r="B529" s="47" t="n">
        <v>45372</v>
      </c>
      <c r="C529" s="46" t="inlineStr">
        <is>
          <t>2024-03</t>
        </is>
      </c>
      <c r="D529" s="46" t="n">
        <v>2024</v>
      </c>
      <c r="E529" s="46" t="inlineStr">
        <is>
          <t>P-HB-004</t>
        </is>
      </c>
      <c r="F529" s="46" t="inlineStr">
        <is>
          <t>C-HB-04</t>
        </is>
      </c>
      <c r="G529" s="48" t="inlineStr">
        <is>
          <t>캐나다</t>
        </is>
      </c>
      <c r="H529" s="46" t="inlineStr">
        <is>
          <t>CA</t>
        </is>
      </c>
      <c r="I529" s="49" t="n">
        <v>1413</v>
      </c>
      <c r="J529" s="46" t="inlineStr">
        <is>
          <t>EA</t>
        </is>
      </c>
      <c r="K529" s="50" t="n">
        <v>1.55</v>
      </c>
      <c r="L529" s="50" t="n">
        <v>40988.93</v>
      </c>
      <c r="M529" s="46" t="inlineStr">
        <is>
          <t>USD</t>
        </is>
      </c>
      <c r="N529" s="46" t="inlineStr">
        <is>
          <t>FOB</t>
        </is>
      </c>
      <c r="O529" s="46" t="inlineStr">
        <is>
          <t>N</t>
        </is>
      </c>
      <c r="P529" s="50" t="n">
        <v>1331.6752</v>
      </c>
      <c r="Q529" s="49">
        <f>IF(OR(L529="",M529="",P529=""),"",L529*P529)</f>
        <v/>
      </c>
    </row>
    <row r="530" ht="15" customHeight="1" s="32">
      <c r="A530" s="46" t="inlineStr">
        <is>
          <t>R-HB-0529</t>
        </is>
      </c>
      <c r="B530" s="47" t="n">
        <v>45372</v>
      </c>
      <c r="C530" s="46" t="inlineStr">
        <is>
          <t>2024-03</t>
        </is>
      </c>
      <c r="D530" s="46" t="n">
        <v>2024</v>
      </c>
      <c r="E530" s="46" t="inlineStr">
        <is>
          <t>P-HB-003</t>
        </is>
      </c>
      <c r="F530" s="46" t="inlineStr">
        <is>
          <t>C-HB-05</t>
        </is>
      </c>
      <c r="G530" s="48" t="inlineStr">
        <is>
          <t>독일</t>
        </is>
      </c>
      <c r="H530" s="46" t="inlineStr">
        <is>
          <t>DE</t>
        </is>
      </c>
      <c r="I530" s="49" t="n">
        <v>57527</v>
      </c>
      <c r="J530" s="46" t="inlineStr">
        <is>
          <t>EA</t>
        </is>
      </c>
      <c r="K530" s="50" t="n">
        <v>37.39</v>
      </c>
      <c r="L530" s="50" t="n">
        <v>378269.04</v>
      </c>
      <c r="M530" s="46" t="inlineStr">
        <is>
          <t>USD</t>
        </is>
      </c>
      <c r="N530" s="46" t="inlineStr">
        <is>
          <t>FOB</t>
        </is>
      </c>
      <c r="O530" s="46" t="inlineStr">
        <is>
          <t>N</t>
        </is>
      </c>
      <c r="P530" s="50" t="n">
        <v>1331.6752</v>
      </c>
      <c r="Q530" s="49">
        <f>IF(OR(L530="",M530="",P530=""),"",L530*P530)</f>
        <v/>
      </c>
    </row>
    <row r="531" ht="15" customHeight="1" s="32">
      <c r="A531" s="46" t="inlineStr">
        <is>
          <t>R-HB-0530</t>
        </is>
      </c>
      <c r="B531" s="47" t="n">
        <v>45372</v>
      </c>
      <c r="C531" s="46" t="inlineStr">
        <is>
          <t>2024-03</t>
        </is>
      </c>
      <c r="D531" s="46" t="n">
        <v>2024</v>
      </c>
      <c r="E531" s="46" t="inlineStr">
        <is>
          <t>P-HB-001</t>
        </is>
      </c>
      <c r="F531" s="46" t="inlineStr">
        <is>
          <t>C-HB-08</t>
        </is>
      </c>
      <c r="G531" s="48" t="inlineStr">
        <is>
          <t>중국</t>
        </is>
      </c>
      <c r="H531" s="46" t="inlineStr">
        <is>
          <t>CN</t>
        </is>
      </c>
      <c r="I531" s="49" t="n">
        <v>203510</v>
      </c>
      <c r="J531" s="46" t="inlineStr">
        <is>
          <t>EA</t>
        </is>
      </c>
      <c r="K531" s="50" t="n">
        <v>91.58</v>
      </c>
      <c r="L531" s="50" t="n">
        <v>951262.4399999999</v>
      </c>
      <c r="M531" s="46" t="inlineStr">
        <is>
          <t>USD</t>
        </is>
      </c>
      <c r="N531" s="46" t="inlineStr">
        <is>
          <t>FOB</t>
        </is>
      </c>
      <c r="O531" s="46" t="inlineStr">
        <is>
          <t>N</t>
        </is>
      </c>
      <c r="P531" s="50" t="n">
        <v>1331.6752</v>
      </c>
      <c r="Q531" s="49">
        <f>IF(OR(L531="",M531="",P531=""),"",L531*P531)</f>
        <v/>
      </c>
    </row>
    <row r="532" ht="15" customHeight="1" s="32">
      <c r="A532" s="46" t="inlineStr">
        <is>
          <t>R-HB-0531</t>
        </is>
      </c>
      <c r="B532" s="47" t="n">
        <v>45373</v>
      </c>
      <c r="C532" s="46" t="inlineStr">
        <is>
          <t>2024-03</t>
        </is>
      </c>
      <c r="D532" s="46" t="n">
        <v>2024</v>
      </c>
      <c r="E532" s="46" t="inlineStr">
        <is>
          <t>P-HB-004</t>
        </is>
      </c>
      <c r="F532" s="46" t="inlineStr">
        <is>
          <t>C-HB-05</t>
        </is>
      </c>
      <c r="G532" s="48" t="inlineStr">
        <is>
          <t>독일</t>
        </is>
      </c>
      <c r="H532" s="46" t="inlineStr">
        <is>
          <t>DE</t>
        </is>
      </c>
      <c r="I532" s="49" t="n">
        <v>14050</v>
      </c>
      <c r="J532" s="46" t="inlineStr">
        <is>
          <t>EA</t>
        </is>
      </c>
      <c r="K532" s="50" t="n">
        <v>15.46</v>
      </c>
      <c r="L532" s="50" t="n">
        <v>389660.91</v>
      </c>
      <c r="M532" s="46" t="inlineStr">
        <is>
          <t>USD</t>
        </is>
      </c>
      <c r="N532" s="46" t="inlineStr">
        <is>
          <t>FOB</t>
        </is>
      </c>
      <c r="O532" s="46" t="inlineStr">
        <is>
          <t>N</t>
        </is>
      </c>
      <c r="P532" s="50" t="n">
        <v>1331.6752</v>
      </c>
      <c r="Q532" s="49">
        <f>IF(OR(L532="",M532="",P532=""),"",L532*P532)</f>
        <v/>
      </c>
    </row>
    <row r="533" ht="15" customHeight="1" s="32">
      <c r="A533" s="46" t="inlineStr">
        <is>
          <t>R-HB-0532</t>
        </is>
      </c>
      <c r="B533" s="47" t="n">
        <v>45373</v>
      </c>
      <c r="C533" s="46" t="inlineStr">
        <is>
          <t>2024-03</t>
        </is>
      </c>
      <c r="D533" s="46" t="n">
        <v>2024</v>
      </c>
      <c r="E533" s="46" t="inlineStr">
        <is>
          <t>P-HB-002</t>
        </is>
      </c>
      <c r="F533" s="46" t="inlineStr">
        <is>
          <t>C-HB-06</t>
        </is>
      </c>
      <c r="G533" s="48" t="inlineStr">
        <is>
          <t>베트남</t>
        </is>
      </c>
      <c r="H533" s="46" t="inlineStr">
        <is>
          <t>VN</t>
        </is>
      </c>
      <c r="I533" s="49" t="n">
        <v>396</v>
      </c>
      <c r="J533" s="46" t="inlineStr">
        <is>
          <t>EA</t>
        </is>
      </c>
      <c r="K533" s="50" t="n">
        <v>0.87</v>
      </c>
      <c r="L533" s="50" t="n">
        <v>124019.73</v>
      </c>
      <c r="M533" s="46" t="inlineStr">
        <is>
          <t>USD</t>
        </is>
      </c>
      <c r="N533" s="46" t="inlineStr">
        <is>
          <t>FOB</t>
        </is>
      </c>
      <c r="O533" s="46" t="inlineStr">
        <is>
          <t>N</t>
        </is>
      </c>
      <c r="P533" s="50" t="n">
        <v>1331.6752</v>
      </c>
      <c r="Q533" s="49">
        <f>IF(OR(L533="",M533="",P533=""),"",L533*P533)</f>
        <v/>
      </c>
    </row>
    <row r="534" ht="15" customHeight="1" s="32">
      <c r="A534" s="46" t="inlineStr">
        <is>
          <t>R-HB-0533</t>
        </is>
      </c>
      <c r="B534" s="47" t="n">
        <v>45374</v>
      </c>
      <c r="C534" s="46" t="inlineStr">
        <is>
          <t>2024-03</t>
        </is>
      </c>
      <c r="D534" s="46" t="n">
        <v>2024</v>
      </c>
      <c r="E534" s="46" t="inlineStr">
        <is>
          <t>P-HB-003</t>
        </is>
      </c>
      <c r="F534" s="46" t="inlineStr">
        <is>
          <t>C-HB-01</t>
        </is>
      </c>
      <c r="G534" s="48" t="inlineStr">
        <is>
          <t>미국</t>
        </is>
      </c>
      <c r="H534" s="46" t="inlineStr">
        <is>
          <t>US</t>
        </is>
      </c>
      <c r="I534" s="49" t="n">
        <v>74938</v>
      </c>
      <c r="J534" s="46" t="inlineStr">
        <is>
          <t>EA</t>
        </is>
      </c>
      <c r="K534" s="50" t="n">
        <v>48.71</v>
      </c>
      <c r="L534" s="50" t="n">
        <v>459724.84</v>
      </c>
      <c r="M534" s="46" t="inlineStr">
        <is>
          <t>USD</t>
        </is>
      </c>
      <c r="N534" s="46" t="inlineStr">
        <is>
          <t>FOB</t>
        </is>
      </c>
      <c r="O534" s="46" t="inlineStr">
        <is>
          <t>N</t>
        </is>
      </c>
      <c r="P534" s="50" t="n">
        <v>1331.6752</v>
      </c>
      <c r="Q534" s="49">
        <f>IF(OR(L534="",M534="",P534=""),"",L534*P534)</f>
        <v/>
      </c>
    </row>
    <row r="535" ht="15" customHeight="1" s="32">
      <c r="A535" s="46" t="inlineStr">
        <is>
          <t>R-HB-0534</t>
        </is>
      </c>
      <c r="B535" s="47" t="n">
        <v>45374</v>
      </c>
      <c r="C535" s="46" t="inlineStr">
        <is>
          <t>2024-03</t>
        </is>
      </c>
      <c r="D535" s="46" t="n">
        <v>2024</v>
      </c>
      <c r="E535" s="46" t="inlineStr">
        <is>
          <t>P-HB-001</t>
        </is>
      </c>
      <c r="F535" s="46" t="inlineStr">
        <is>
          <t>C-HB-03</t>
        </is>
      </c>
      <c r="G535" s="48" t="inlineStr">
        <is>
          <t>멕시코</t>
        </is>
      </c>
      <c r="H535" s="46" t="inlineStr">
        <is>
          <t>MX</t>
        </is>
      </c>
      <c r="I535" s="49" t="n">
        <v>33434</v>
      </c>
      <c r="J535" s="46" t="inlineStr">
        <is>
          <t>EA</t>
        </is>
      </c>
      <c r="K535" s="50" t="n">
        <v>15.05</v>
      </c>
      <c r="L535" s="50" t="n">
        <v>152919.78</v>
      </c>
      <c r="M535" s="46" t="inlineStr">
        <is>
          <t>USD</t>
        </is>
      </c>
      <c r="N535" s="46" t="inlineStr">
        <is>
          <t>FOB</t>
        </is>
      </c>
      <c r="O535" s="46" t="inlineStr">
        <is>
          <t>N</t>
        </is>
      </c>
      <c r="P535" s="50" t="n">
        <v>1331.6752</v>
      </c>
      <c r="Q535" s="49">
        <f>IF(OR(L535="",M535="",P535=""),"",L535*P535)</f>
        <v/>
      </c>
    </row>
    <row r="536" ht="15" customHeight="1" s="32">
      <c r="A536" s="46" t="inlineStr">
        <is>
          <t>R-HB-0535</t>
        </is>
      </c>
      <c r="B536" s="47" t="n">
        <v>45375</v>
      </c>
      <c r="C536" s="46" t="inlineStr">
        <is>
          <t>2024-03</t>
        </is>
      </c>
      <c r="D536" s="46" t="n">
        <v>2024</v>
      </c>
      <c r="E536" s="46" t="inlineStr">
        <is>
          <t>P-HB-002</t>
        </is>
      </c>
      <c r="F536" s="46" t="inlineStr">
        <is>
          <t>C-HB-04</t>
        </is>
      </c>
      <c r="G536" s="48" t="inlineStr">
        <is>
          <t>캐나다</t>
        </is>
      </c>
      <c r="H536" s="46" t="inlineStr">
        <is>
          <t>CA</t>
        </is>
      </c>
      <c r="I536" s="49" t="n">
        <v>62</v>
      </c>
      <c r="J536" s="46" t="inlineStr">
        <is>
          <t>EA</t>
        </is>
      </c>
      <c r="K536" s="50" t="n">
        <v>0.14</v>
      </c>
      <c r="L536" s="50" t="n">
        <v>19088.74</v>
      </c>
      <c r="M536" s="46" t="inlineStr">
        <is>
          <t>USD</t>
        </is>
      </c>
      <c r="N536" s="46" t="inlineStr">
        <is>
          <t>FOB</t>
        </is>
      </c>
      <c r="O536" s="46" t="inlineStr">
        <is>
          <t>N</t>
        </is>
      </c>
      <c r="P536" s="50" t="n">
        <v>1331.6752</v>
      </c>
      <c r="Q536" s="49">
        <f>IF(OR(L536="",M536="",P536=""),"",L536*P536)</f>
        <v/>
      </c>
    </row>
    <row r="537" ht="15" customHeight="1" s="32">
      <c r="A537" s="46" t="inlineStr">
        <is>
          <t>R-HB-0536</t>
        </is>
      </c>
      <c r="B537" s="47" t="n">
        <v>45376</v>
      </c>
      <c r="C537" s="46" t="inlineStr">
        <is>
          <t>2024-03</t>
        </is>
      </c>
      <c r="D537" s="46" t="n">
        <v>2024</v>
      </c>
      <c r="E537" s="46" t="inlineStr">
        <is>
          <t>P-HB-004</t>
        </is>
      </c>
      <c r="F537" s="46" t="inlineStr">
        <is>
          <t>C-HB-08</t>
        </is>
      </c>
      <c r="G537" s="48" t="inlineStr">
        <is>
          <t>중국</t>
        </is>
      </c>
      <c r="H537" s="46" t="inlineStr">
        <is>
          <t>CN</t>
        </is>
      </c>
      <c r="I537" s="49" t="n">
        <v>18872</v>
      </c>
      <c r="J537" s="46" t="inlineStr">
        <is>
          <t>EA</t>
        </is>
      </c>
      <c r="K537" s="50" t="n">
        <v>20.76</v>
      </c>
      <c r="L537" s="50" t="n">
        <v>546432.72</v>
      </c>
      <c r="M537" s="46" t="inlineStr">
        <is>
          <t>USD</t>
        </is>
      </c>
      <c r="N537" s="46" t="inlineStr">
        <is>
          <t>FOB</t>
        </is>
      </c>
      <c r="O537" s="46" t="inlineStr">
        <is>
          <t>N</t>
        </is>
      </c>
      <c r="P537" s="50" t="n">
        <v>1331.6752</v>
      </c>
      <c r="Q537" s="49">
        <f>IF(OR(L537="",M537="",P537=""),"",L537*P537)</f>
        <v/>
      </c>
    </row>
    <row r="538" ht="15" customHeight="1" s="32">
      <c r="A538" s="46" t="inlineStr">
        <is>
          <t>R-HB-0537</t>
        </is>
      </c>
      <c r="B538" s="47" t="n">
        <v>45378</v>
      </c>
      <c r="C538" s="46" t="inlineStr">
        <is>
          <t>2024-03</t>
        </is>
      </c>
      <c r="D538" s="46" t="n">
        <v>2024</v>
      </c>
      <c r="E538" s="46" t="inlineStr">
        <is>
          <t>P-HB-002</t>
        </is>
      </c>
      <c r="F538" s="46" t="inlineStr">
        <is>
          <t>C-HB-01</t>
        </is>
      </c>
      <c r="G538" s="48" t="inlineStr">
        <is>
          <t>미국</t>
        </is>
      </c>
      <c r="H538" s="46" t="inlineStr">
        <is>
          <t>US</t>
        </is>
      </c>
      <c r="I538" s="49" t="n">
        <v>644</v>
      </c>
      <c r="J538" s="46" t="inlineStr">
        <is>
          <t>EA</t>
        </is>
      </c>
      <c r="K538" s="50" t="n">
        <v>1.42</v>
      </c>
      <c r="L538" s="50" t="n">
        <v>195590.24</v>
      </c>
      <c r="M538" s="46" t="inlineStr">
        <is>
          <t>USD</t>
        </is>
      </c>
      <c r="N538" s="46" t="inlineStr">
        <is>
          <t>FOB</t>
        </is>
      </c>
      <c r="O538" s="46" t="inlineStr">
        <is>
          <t>N</t>
        </is>
      </c>
      <c r="P538" s="50" t="n">
        <v>1331.6752</v>
      </c>
      <c r="Q538" s="49">
        <f>IF(OR(L538="",M538="",P538=""),"",L538*P538)</f>
        <v/>
      </c>
    </row>
    <row r="539" ht="15" customHeight="1" s="32">
      <c r="A539" s="46" t="inlineStr">
        <is>
          <t>R-HB-0538</t>
        </is>
      </c>
      <c r="B539" s="47" t="n">
        <v>45378</v>
      </c>
      <c r="C539" s="46" t="inlineStr">
        <is>
          <t>2024-03</t>
        </is>
      </c>
      <c r="D539" s="46" t="n">
        <v>2024</v>
      </c>
      <c r="E539" s="46" t="inlineStr">
        <is>
          <t>P-HB-004</t>
        </is>
      </c>
      <c r="F539" s="46" t="inlineStr">
        <is>
          <t>C-HB-01</t>
        </is>
      </c>
      <c r="G539" s="48" t="inlineStr">
        <is>
          <t>미국</t>
        </is>
      </c>
      <c r="H539" s="46" t="inlineStr">
        <is>
          <t>US</t>
        </is>
      </c>
      <c r="I539" s="49" t="n">
        <v>15799</v>
      </c>
      <c r="J539" s="46" t="inlineStr">
        <is>
          <t>EA</t>
        </is>
      </c>
      <c r="K539" s="50" t="n">
        <v>17.38</v>
      </c>
      <c r="L539" s="50" t="n">
        <v>433257.03</v>
      </c>
      <c r="M539" s="46" t="inlineStr">
        <is>
          <t>USD</t>
        </is>
      </c>
      <c r="N539" s="46" t="inlineStr">
        <is>
          <t>FOB</t>
        </is>
      </c>
      <c r="O539" s="46" t="inlineStr">
        <is>
          <t>N</t>
        </is>
      </c>
      <c r="P539" s="50" t="n">
        <v>1331.6752</v>
      </c>
      <c r="Q539" s="49">
        <f>IF(OR(L539="",M539="",P539=""),"",L539*P539)</f>
        <v/>
      </c>
    </row>
    <row r="540" ht="15" customHeight="1" s="32">
      <c r="A540" s="46" t="inlineStr">
        <is>
          <t>R-HB-0539</t>
        </is>
      </c>
      <c r="B540" s="47" t="n">
        <v>45378</v>
      </c>
      <c r="C540" s="46" t="inlineStr">
        <is>
          <t>2024-03</t>
        </is>
      </c>
      <c r="D540" s="46" t="n">
        <v>2024</v>
      </c>
      <c r="E540" s="46" t="inlineStr">
        <is>
          <t>P-HB-003</t>
        </is>
      </c>
      <c r="F540" s="46" t="inlineStr">
        <is>
          <t>C-HB-04</t>
        </is>
      </c>
      <c r="G540" s="48" t="inlineStr">
        <is>
          <t>캐나다</t>
        </is>
      </c>
      <c r="H540" s="46" t="inlineStr">
        <is>
          <t>CA</t>
        </is>
      </c>
      <c r="I540" s="49" t="n">
        <v>5658</v>
      </c>
      <c r="J540" s="46" t="inlineStr">
        <is>
          <t>EA</t>
        </is>
      </c>
      <c r="K540" s="50" t="n">
        <v>3.68</v>
      </c>
      <c r="L540" s="50" t="n">
        <v>37209.48</v>
      </c>
      <c r="M540" s="46" t="inlineStr">
        <is>
          <t>USD</t>
        </is>
      </c>
      <c r="N540" s="46" t="inlineStr">
        <is>
          <t>FOB</t>
        </is>
      </c>
      <c r="O540" s="46" t="inlineStr">
        <is>
          <t>N</t>
        </is>
      </c>
      <c r="P540" s="50" t="n">
        <v>1331.6752</v>
      </c>
      <c r="Q540" s="49">
        <f>IF(OR(L540="",M540="",P540=""),"",L540*P540)</f>
        <v/>
      </c>
    </row>
    <row r="541" ht="15" customHeight="1" s="32">
      <c r="A541" s="46" t="inlineStr">
        <is>
          <t>R-HB-0540</t>
        </is>
      </c>
      <c r="B541" s="47" t="n">
        <v>45378</v>
      </c>
      <c r="C541" s="46" t="inlineStr">
        <is>
          <t>2024-03</t>
        </is>
      </c>
      <c r="D541" s="46" t="n">
        <v>2024</v>
      </c>
      <c r="E541" s="46" t="inlineStr">
        <is>
          <t>P-HB-001</t>
        </is>
      </c>
      <c r="F541" s="46" t="inlineStr">
        <is>
          <t>C-HB-05</t>
        </is>
      </c>
      <c r="G541" s="48" t="inlineStr">
        <is>
          <t>독일</t>
        </is>
      </c>
      <c r="H541" s="46" t="inlineStr">
        <is>
          <t>DE</t>
        </is>
      </c>
      <c r="I541" s="49" t="n">
        <v>159043</v>
      </c>
      <c r="J541" s="46" t="inlineStr">
        <is>
          <t>EA</t>
        </is>
      </c>
      <c r="K541" s="50" t="n">
        <v>71.56999999999999</v>
      </c>
      <c r="L541" s="50" t="n">
        <v>713056.48</v>
      </c>
      <c r="M541" s="46" t="inlineStr">
        <is>
          <t>USD</t>
        </is>
      </c>
      <c r="N541" s="46" t="inlineStr">
        <is>
          <t>FOB</t>
        </is>
      </c>
      <c r="O541" s="46" t="inlineStr">
        <is>
          <t>N</t>
        </is>
      </c>
      <c r="P541" s="50" t="n">
        <v>1331.6752</v>
      </c>
      <c r="Q541" s="49">
        <f>IF(OR(L541="",M541="",P541=""),"",L541*P541)</f>
        <v/>
      </c>
    </row>
    <row r="542" ht="15" customHeight="1" s="32">
      <c r="A542" s="46" t="inlineStr">
        <is>
          <t>R-HB-0541</t>
        </is>
      </c>
      <c r="B542" s="47" t="n">
        <v>45386</v>
      </c>
      <c r="C542" s="46" t="inlineStr">
        <is>
          <t>2024-04</t>
        </is>
      </c>
      <c r="D542" s="46" t="n">
        <v>2024</v>
      </c>
      <c r="E542" s="46" t="inlineStr">
        <is>
          <t>P-HB-001</t>
        </is>
      </c>
      <c r="F542" s="46" t="inlineStr">
        <is>
          <t>C-HB-07</t>
        </is>
      </c>
      <c r="G542" s="48" t="inlineStr">
        <is>
          <t>인도</t>
        </is>
      </c>
      <c r="H542" s="46" t="inlineStr">
        <is>
          <t>IN</t>
        </is>
      </c>
      <c r="I542" s="49" t="n">
        <v>67573</v>
      </c>
      <c r="J542" s="46" t="inlineStr">
        <is>
          <t>EA</t>
        </is>
      </c>
      <c r="K542" s="50" t="n">
        <v>30.41</v>
      </c>
      <c r="L542" s="50" t="n">
        <v>322109.58</v>
      </c>
      <c r="M542" s="46" t="inlineStr">
        <is>
          <t>USD</t>
        </is>
      </c>
      <c r="N542" s="46" t="inlineStr">
        <is>
          <t>FOB</t>
        </is>
      </c>
      <c r="O542" s="46" t="inlineStr">
        <is>
          <t>N</t>
        </is>
      </c>
      <c r="P542" s="50" t="n">
        <v>1367.8555</v>
      </c>
      <c r="Q542" s="49">
        <f>IF(OR(L542="",M542="",P542=""),"",L542*P542)</f>
        <v/>
      </c>
    </row>
    <row r="543" ht="15" customHeight="1" s="32">
      <c r="A543" s="46" t="inlineStr">
        <is>
          <t>R-HB-0542</t>
        </is>
      </c>
      <c r="B543" s="47" t="n">
        <v>45387</v>
      </c>
      <c r="C543" s="46" t="inlineStr">
        <is>
          <t>2024-04</t>
        </is>
      </c>
      <c r="D543" s="46" t="n">
        <v>2024</v>
      </c>
      <c r="E543" s="46" t="inlineStr">
        <is>
          <t>P-HB-004</t>
        </is>
      </c>
      <c r="F543" s="46" t="inlineStr">
        <is>
          <t>C-HB-08</t>
        </is>
      </c>
      <c r="G543" s="48" t="inlineStr">
        <is>
          <t>중국</t>
        </is>
      </c>
      <c r="H543" s="46" t="inlineStr">
        <is>
          <t>CN</t>
        </is>
      </c>
      <c r="I543" s="49" t="n">
        <v>20674</v>
      </c>
      <c r="J543" s="46" t="inlineStr">
        <is>
          <t>EA</t>
        </is>
      </c>
      <c r="K543" s="50" t="n">
        <v>22.74</v>
      </c>
      <c r="L543" s="50" t="n">
        <v>568775.8199999999</v>
      </c>
      <c r="M543" s="46" t="inlineStr">
        <is>
          <t>USD</t>
        </is>
      </c>
      <c r="N543" s="46" t="inlineStr">
        <is>
          <t>FOB</t>
        </is>
      </c>
      <c r="O543" s="46" t="inlineStr">
        <is>
          <t>N</t>
        </is>
      </c>
      <c r="P543" s="50" t="n">
        <v>1367.8555</v>
      </c>
      <c r="Q543" s="49">
        <f>IF(OR(L543="",M543="",P543=""),"",L543*P543)</f>
        <v/>
      </c>
    </row>
    <row r="544" ht="15" customHeight="1" s="32">
      <c r="A544" s="46" t="inlineStr">
        <is>
          <t>R-HB-0543</t>
        </is>
      </c>
      <c r="B544" s="47" t="n">
        <v>45388</v>
      </c>
      <c r="C544" s="46" t="inlineStr">
        <is>
          <t>2024-04</t>
        </is>
      </c>
      <c r="D544" s="46" t="n">
        <v>2024</v>
      </c>
      <c r="E544" s="46" t="inlineStr">
        <is>
          <t>P-HB-003</t>
        </is>
      </c>
      <c r="F544" s="46" t="inlineStr">
        <is>
          <t>C-HB-01</t>
        </is>
      </c>
      <c r="G544" s="48" t="inlineStr">
        <is>
          <t>미국</t>
        </is>
      </c>
      <c r="H544" s="46" t="inlineStr">
        <is>
          <t>US</t>
        </is>
      </c>
      <c r="I544" s="49" t="n">
        <v>65862</v>
      </c>
      <c r="J544" s="46" t="inlineStr">
        <is>
          <t>EA</t>
        </is>
      </c>
      <c r="K544" s="50" t="n">
        <v>42.81</v>
      </c>
      <c r="L544" s="50" t="n">
        <v>432182.76</v>
      </c>
      <c r="M544" s="46" t="inlineStr">
        <is>
          <t>USD</t>
        </is>
      </c>
      <c r="N544" s="46" t="inlineStr">
        <is>
          <t>FOB</t>
        </is>
      </c>
      <c r="O544" s="46" t="inlineStr">
        <is>
          <t>N</t>
        </is>
      </c>
      <c r="P544" s="50" t="n">
        <v>1367.8555</v>
      </c>
      <c r="Q544" s="49">
        <f>IF(OR(L544="",M544="",P544=""),"",L544*P544)</f>
        <v/>
      </c>
    </row>
    <row r="545" ht="15" customHeight="1" s="32">
      <c r="A545" s="46" t="inlineStr">
        <is>
          <t>R-HB-0544</t>
        </is>
      </c>
      <c r="B545" s="47" t="n">
        <v>45388</v>
      </c>
      <c r="C545" s="46" t="inlineStr">
        <is>
          <t>2024-04</t>
        </is>
      </c>
      <c r="D545" s="46" t="n">
        <v>2024</v>
      </c>
      <c r="E545" s="46" t="inlineStr">
        <is>
          <t>P-HB-002</t>
        </is>
      </c>
      <c r="F545" s="46" t="inlineStr">
        <is>
          <t>C-HB-06</t>
        </is>
      </c>
      <c r="G545" s="48" t="inlineStr">
        <is>
          <t>베트남</t>
        </is>
      </c>
      <c r="H545" s="46" t="inlineStr">
        <is>
          <t>VN</t>
        </is>
      </c>
      <c r="I545" s="49" t="n">
        <v>372</v>
      </c>
      <c r="J545" s="46" t="inlineStr">
        <is>
          <t>EA</t>
        </is>
      </c>
      <c r="K545" s="50" t="n">
        <v>0.82</v>
      </c>
      <c r="L545" s="50" t="n">
        <v>121680.65</v>
      </c>
      <c r="M545" s="46" t="inlineStr">
        <is>
          <t>USD</t>
        </is>
      </c>
      <c r="N545" s="46" t="inlineStr">
        <is>
          <t>FOB</t>
        </is>
      </c>
      <c r="O545" s="46" t="inlineStr">
        <is>
          <t>N</t>
        </is>
      </c>
      <c r="P545" s="50" t="n">
        <v>1367.8555</v>
      </c>
      <c r="Q545" s="49">
        <f>IF(OR(L545="",M545="",P545=""),"",L545*P545)</f>
        <v/>
      </c>
    </row>
    <row r="546" ht="15" customHeight="1" s="32">
      <c r="A546" s="46" t="inlineStr">
        <is>
          <t>R-HB-0545</t>
        </is>
      </c>
      <c r="B546" s="47" t="n">
        <v>45389</v>
      </c>
      <c r="C546" s="46" t="inlineStr">
        <is>
          <t>2024-04</t>
        </is>
      </c>
      <c r="D546" s="46" t="n">
        <v>2024</v>
      </c>
      <c r="E546" s="46" t="inlineStr">
        <is>
          <t>P-HB-004</t>
        </is>
      </c>
      <c r="F546" s="46" t="inlineStr">
        <is>
          <t>C-HB-02</t>
        </is>
      </c>
      <c r="G546" s="48" t="inlineStr">
        <is>
          <t>미국</t>
        </is>
      </c>
      <c r="H546" s="46" t="inlineStr">
        <is>
          <t>US</t>
        </is>
      </c>
      <c r="I546" s="49" t="n">
        <v>9912</v>
      </c>
      <c r="J546" s="46" t="inlineStr">
        <is>
          <t>EA</t>
        </is>
      </c>
      <c r="K546" s="50" t="n">
        <v>10.9</v>
      </c>
      <c r="L546" s="50" t="n">
        <v>272865.82</v>
      </c>
      <c r="M546" s="46" t="inlineStr">
        <is>
          <t>USD</t>
        </is>
      </c>
      <c r="N546" s="46" t="inlineStr">
        <is>
          <t>FOB</t>
        </is>
      </c>
      <c r="O546" s="46" t="inlineStr">
        <is>
          <t>N</t>
        </is>
      </c>
      <c r="P546" s="50" t="n">
        <v>1367.8555</v>
      </c>
      <c r="Q546" s="49">
        <f>IF(OR(L546="",M546="",P546=""),"",L546*P546)</f>
        <v/>
      </c>
    </row>
    <row r="547" ht="15" customHeight="1" s="32">
      <c r="A547" s="46" t="inlineStr">
        <is>
          <t>R-HB-0546</t>
        </is>
      </c>
      <c r="B547" s="47" t="n">
        <v>45389</v>
      </c>
      <c r="C547" s="46" t="inlineStr">
        <is>
          <t>2024-04</t>
        </is>
      </c>
      <c r="D547" s="46" t="n">
        <v>2024</v>
      </c>
      <c r="E547" s="46" t="inlineStr">
        <is>
          <t>P-HB-001</t>
        </is>
      </c>
      <c r="F547" s="46" t="inlineStr">
        <is>
          <t>C-HB-06</t>
        </is>
      </c>
      <c r="G547" s="48" t="inlineStr">
        <is>
          <t>베트남</t>
        </is>
      </c>
      <c r="H547" s="46" t="inlineStr">
        <is>
          <t>VN</t>
        </is>
      </c>
      <c r="I547" s="49" t="n">
        <v>110284</v>
      </c>
      <c r="J547" s="46" t="inlineStr">
        <is>
          <t>EA</t>
        </is>
      </c>
      <c r="K547" s="50" t="n">
        <v>49.63</v>
      </c>
      <c r="L547" s="50" t="n">
        <v>536238.21</v>
      </c>
      <c r="M547" s="46" t="inlineStr">
        <is>
          <t>USD</t>
        </is>
      </c>
      <c r="N547" s="46" t="inlineStr">
        <is>
          <t>FOB</t>
        </is>
      </c>
      <c r="O547" s="46" t="inlineStr">
        <is>
          <t>N</t>
        </is>
      </c>
      <c r="P547" s="50" t="n">
        <v>1367.8555</v>
      </c>
      <c r="Q547" s="49">
        <f>IF(OR(L547="",M547="",P547=""),"",L547*P547)</f>
        <v/>
      </c>
    </row>
    <row r="548" ht="15" customHeight="1" s="32">
      <c r="A548" s="46" t="inlineStr">
        <is>
          <t>R-HB-0547</t>
        </is>
      </c>
      <c r="B548" s="47" t="n">
        <v>45392</v>
      </c>
      <c r="C548" s="46" t="inlineStr">
        <is>
          <t>2024-04</t>
        </is>
      </c>
      <c r="D548" s="46" t="n">
        <v>2024</v>
      </c>
      <c r="E548" s="46" t="inlineStr">
        <is>
          <t>P-HB-003</t>
        </is>
      </c>
      <c r="F548" s="46" t="inlineStr">
        <is>
          <t>C-HB-02</t>
        </is>
      </c>
      <c r="G548" s="48" t="inlineStr">
        <is>
          <t>미국</t>
        </is>
      </c>
      <c r="H548" s="46" t="inlineStr">
        <is>
          <t>US</t>
        </is>
      </c>
      <c r="I548" s="49" t="n">
        <v>41403</v>
      </c>
      <c r="J548" s="46" t="inlineStr">
        <is>
          <t>EA</t>
        </is>
      </c>
      <c r="K548" s="50" t="n">
        <v>26.91</v>
      </c>
      <c r="L548" s="50" t="n">
        <v>274789.89</v>
      </c>
      <c r="M548" s="46" t="inlineStr">
        <is>
          <t>USD</t>
        </is>
      </c>
      <c r="N548" s="46" t="inlineStr">
        <is>
          <t>FOB</t>
        </is>
      </c>
      <c r="O548" s="46" t="inlineStr">
        <is>
          <t>N</t>
        </is>
      </c>
      <c r="P548" s="50" t="n">
        <v>1367.8555</v>
      </c>
      <c r="Q548" s="49">
        <f>IF(OR(L548="",M548="",P548=""),"",L548*P548)</f>
        <v/>
      </c>
    </row>
    <row r="549" ht="15" customHeight="1" s="32">
      <c r="A549" s="46" t="inlineStr">
        <is>
          <t>R-HB-0548</t>
        </is>
      </c>
      <c r="B549" s="47" t="n">
        <v>45392</v>
      </c>
      <c r="C549" s="46" t="inlineStr">
        <is>
          <t>2024-04</t>
        </is>
      </c>
      <c r="D549" s="46" t="n">
        <v>2024</v>
      </c>
      <c r="E549" s="46" t="inlineStr">
        <is>
          <t>P-HB-001</t>
        </is>
      </c>
      <c r="F549" s="46" t="inlineStr">
        <is>
          <t>C-HB-03</t>
        </is>
      </c>
      <c r="G549" s="48" t="inlineStr">
        <is>
          <t>멕시코</t>
        </is>
      </c>
      <c r="H549" s="46" t="inlineStr">
        <is>
          <t>MX</t>
        </is>
      </c>
      <c r="I549" s="49" t="n">
        <v>32029</v>
      </c>
      <c r="J549" s="46" t="inlineStr">
        <is>
          <t>EA</t>
        </is>
      </c>
      <c r="K549" s="50" t="n">
        <v>14.41</v>
      </c>
      <c r="L549" s="50" t="n">
        <v>153689.74</v>
      </c>
      <c r="M549" s="46" t="inlineStr">
        <is>
          <t>USD</t>
        </is>
      </c>
      <c r="N549" s="46" t="inlineStr">
        <is>
          <t>FOB</t>
        </is>
      </c>
      <c r="O549" s="46" t="inlineStr">
        <is>
          <t>N</t>
        </is>
      </c>
      <c r="P549" s="50" t="n">
        <v>1367.8555</v>
      </c>
      <c r="Q549" s="49">
        <f>IF(OR(L549="",M549="",P549=""),"",L549*P549)</f>
        <v/>
      </c>
    </row>
    <row r="550" ht="15" customHeight="1" s="32">
      <c r="A550" s="46" t="inlineStr">
        <is>
          <t>R-HB-0549</t>
        </is>
      </c>
      <c r="B550" s="47" t="n">
        <v>45393</v>
      </c>
      <c r="C550" s="46" t="inlineStr">
        <is>
          <t>2024-04</t>
        </is>
      </c>
      <c r="D550" s="46" t="n">
        <v>2024</v>
      </c>
      <c r="E550" s="46" t="inlineStr">
        <is>
          <t>P-HB-002</t>
        </is>
      </c>
      <c r="F550" s="46" t="inlineStr">
        <is>
          <t>C-HB-04</t>
        </is>
      </c>
      <c r="G550" s="48" t="inlineStr">
        <is>
          <t>캐나다</t>
        </is>
      </c>
      <c r="H550" s="46" t="inlineStr">
        <is>
          <t>CA</t>
        </is>
      </c>
      <c r="I550" s="49" t="n">
        <v>62</v>
      </c>
      <c r="J550" s="46" t="inlineStr">
        <is>
          <t>EA</t>
        </is>
      </c>
      <c r="K550" s="50" t="n">
        <v>0.14</v>
      </c>
      <c r="L550" s="50" t="n">
        <v>20118.83</v>
      </c>
      <c r="M550" s="46" t="inlineStr">
        <is>
          <t>USD</t>
        </is>
      </c>
      <c r="N550" s="46" t="inlineStr">
        <is>
          <t>FOB</t>
        </is>
      </c>
      <c r="O550" s="46" t="inlineStr">
        <is>
          <t>N</t>
        </is>
      </c>
      <c r="P550" s="50" t="n">
        <v>1367.8555</v>
      </c>
      <c r="Q550" s="49">
        <f>IF(OR(L550="",M550="",P550=""),"",L550*P550)</f>
        <v/>
      </c>
    </row>
    <row r="551" ht="15" customHeight="1" s="32">
      <c r="A551" s="46" t="inlineStr">
        <is>
          <t>R-HB-0550</t>
        </is>
      </c>
      <c r="B551" s="47" t="n">
        <v>45394</v>
      </c>
      <c r="C551" s="46" t="inlineStr">
        <is>
          <t>2024-04</t>
        </is>
      </c>
      <c r="D551" s="46" t="n">
        <v>2024</v>
      </c>
      <c r="E551" s="46" t="inlineStr">
        <is>
          <t>P-HB-002</t>
        </is>
      </c>
      <c r="F551" s="46" t="inlineStr">
        <is>
          <t>C-HB-02</t>
        </is>
      </c>
      <c r="G551" s="48" t="inlineStr">
        <is>
          <t>미국</t>
        </is>
      </c>
      <c r="H551" s="46" t="inlineStr">
        <is>
          <t>US</t>
        </is>
      </c>
      <c r="I551" s="49" t="n">
        <v>388</v>
      </c>
      <c r="J551" s="46" t="inlineStr">
        <is>
          <t>EA</t>
        </is>
      </c>
      <c r="K551" s="50" t="n">
        <v>0.85</v>
      </c>
      <c r="L551" s="50" t="n">
        <v>123097.99</v>
      </c>
      <c r="M551" s="46" t="inlineStr">
        <is>
          <t>USD</t>
        </is>
      </c>
      <c r="N551" s="46" t="inlineStr">
        <is>
          <t>FOB</t>
        </is>
      </c>
      <c r="O551" s="46" t="inlineStr">
        <is>
          <t>N</t>
        </is>
      </c>
      <c r="P551" s="50" t="n">
        <v>1367.8555</v>
      </c>
      <c r="Q551" s="49">
        <f>IF(OR(L551="",M551="",P551=""),"",L551*P551)</f>
        <v/>
      </c>
    </row>
    <row r="552" ht="15" customHeight="1" s="32">
      <c r="A552" s="46" t="inlineStr">
        <is>
          <t>R-HB-0551</t>
        </is>
      </c>
      <c r="B552" s="47" t="n">
        <v>45394</v>
      </c>
      <c r="C552" s="46" t="inlineStr">
        <is>
          <t>2024-04</t>
        </is>
      </c>
      <c r="D552" s="46" t="n">
        <v>2024</v>
      </c>
      <c r="E552" s="46" t="inlineStr">
        <is>
          <t>P-HB-003</t>
        </is>
      </c>
      <c r="F552" s="46" t="inlineStr">
        <is>
          <t>C-HB-07</t>
        </is>
      </c>
      <c r="G552" s="48" t="inlineStr">
        <is>
          <t>인도</t>
        </is>
      </c>
      <c r="H552" s="46" t="inlineStr">
        <is>
          <t>IN</t>
        </is>
      </c>
      <c r="I552" s="49" t="n">
        <v>27961</v>
      </c>
      <c r="J552" s="46" t="inlineStr">
        <is>
          <t>EA</t>
        </is>
      </c>
      <c r="K552" s="50" t="n">
        <v>18.17</v>
      </c>
      <c r="L552" s="50" t="n">
        <v>192252.35</v>
      </c>
      <c r="M552" s="46" t="inlineStr">
        <is>
          <t>USD</t>
        </is>
      </c>
      <c r="N552" s="46" t="inlineStr">
        <is>
          <t>FOB</t>
        </is>
      </c>
      <c r="O552" s="46" t="inlineStr">
        <is>
          <t>N</t>
        </is>
      </c>
      <c r="P552" s="50" t="n">
        <v>1367.8555</v>
      </c>
      <c r="Q552" s="49">
        <f>IF(OR(L552="",M552="",P552=""),"",L552*P552)</f>
        <v/>
      </c>
    </row>
    <row r="553" ht="15" customHeight="1" s="32">
      <c r="A553" s="46" t="inlineStr">
        <is>
          <t>R-HB-0552</t>
        </is>
      </c>
      <c r="B553" s="47" t="n">
        <v>45394</v>
      </c>
      <c r="C553" s="46" t="inlineStr">
        <is>
          <t>2024-04</t>
        </is>
      </c>
      <c r="D553" s="46" t="n">
        <v>2024</v>
      </c>
      <c r="E553" s="46" t="inlineStr">
        <is>
          <t>P-HB-003</t>
        </is>
      </c>
      <c r="F553" s="46" t="inlineStr">
        <is>
          <t>C-HB-09</t>
        </is>
      </c>
      <c r="G553" s="48" t="inlineStr">
        <is>
          <t>중국</t>
        </is>
      </c>
      <c r="H553" s="46" t="inlineStr">
        <is>
          <t>CN</t>
        </is>
      </c>
      <c r="I553" s="49" t="n">
        <v>56226</v>
      </c>
      <c r="J553" s="46" t="inlineStr">
        <is>
          <t>EA</t>
        </is>
      </c>
      <c r="K553" s="50" t="n">
        <v>36.55</v>
      </c>
      <c r="L553" s="50" t="n">
        <v>370367.46</v>
      </c>
      <c r="M553" s="46" t="inlineStr">
        <is>
          <t>USD</t>
        </is>
      </c>
      <c r="N553" s="46" t="inlineStr">
        <is>
          <t>FOB</t>
        </is>
      </c>
      <c r="O553" s="46" t="inlineStr">
        <is>
          <t>N</t>
        </is>
      </c>
      <c r="P553" s="50" t="n">
        <v>1367.8555</v>
      </c>
      <c r="Q553" s="49">
        <f>IF(OR(L553="",M553="",P553=""),"",L553*P553)</f>
        <v/>
      </c>
    </row>
    <row r="554" ht="15" customHeight="1" s="32">
      <c r="A554" s="46" t="inlineStr">
        <is>
          <t>R-HB-0553</t>
        </is>
      </c>
      <c r="B554" s="47" t="n">
        <v>45395</v>
      </c>
      <c r="C554" s="46" t="inlineStr">
        <is>
          <t>2024-04</t>
        </is>
      </c>
      <c r="D554" s="46" t="n">
        <v>2024</v>
      </c>
      <c r="E554" s="46" t="inlineStr">
        <is>
          <t>P-HB-003</t>
        </is>
      </c>
      <c r="F554" s="46" t="inlineStr">
        <is>
          <t>C-HB-06</t>
        </is>
      </c>
      <c r="G554" s="48" t="inlineStr">
        <is>
          <t>베트남</t>
        </is>
      </c>
      <c r="H554" s="46" t="inlineStr">
        <is>
          <t>VN</t>
        </is>
      </c>
      <c r="I554" s="49" t="n">
        <v>40548</v>
      </c>
      <c r="J554" s="46" t="inlineStr">
        <is>
          <t>EA</t>
        </is>
      </c>
      <c r="K554" s="50" t="n">
        <v>26.36</v>
      </c>
      <c r="L554" s="50" t="n">
        <v>268932.64</v>
      </c>
      <c r="M554" s="46" t="inlineStr">
        <is>
          <t>USD</t>
        </is>
      </c>
      <c r="N554" s="46" t="inlineStr">
        <is>
          <t>FOB</t>
        </is>
      </c>
      <c r="O554" s="46" t="inlineStr">
        <is>
          <t>N</t>
        </is>
      </c>
      <c r="P554" s="50" t="n">
        <v>1367.8555</v>
      </c>
      <c r="Q554" s="49">
        <f>IF(OR(L554="",M554="",P554=""),"",L554*P554)</f>
        <v/>
      </c>
    </row>
    <row r="555" ht="15" customHeight="1" s="32">
      <c r="A555" s="46" t="inlineStr">
        <is>
          <t>R-HB-0554</t>
        </is>
      </c>
      <c r="B555" s="47" t="n">
        <v>45395</v>
      </c>
      <c r="C555" s="46" t="inlineStr">
        <is>
          <t>2024-04</t>
        </is>
      </c>
      <c r="D555" s="46" t="n">
        <v>2024</v>
      </c>
      <c r="E555" s="46" t="inlineStr">
        <is>
          <t>P-HB-002</t>
        </is>
      </c>
      <c r="F555" s="46" t="inlineStr">
        <is>
          <t>C-HB-09</t>
        </is>
      </c>
      <c r="G555" s="48" t="inlineStr">
        <is>
          <t>중국</t>
        </is>
      </c>
      <c r="H555" s="46" t="inlineStr">
        <is>
          <t>CN</t>
        </is>
      </c>
      <c r="I555" s="49" t="n">
        <v>503</v>
      </c>
      <c r="J555" s="46" t="inlineStr">
        <is>
          <t>EA</t>
        </is>
      </c>
      <c r="K555" s="50" t="n">
        <v>1.11</v>
      </c>
      <c r="L555" s="50" t="n">
        <v>160335.17</v>
      </c>
      <c r="M555" s="46" t="inlineStr">
        <is>
          <t>USD</t>
        </is>
      </c>
      <c r="N555" s="46" t="inlineStr">
        <is>
          <t>FOB</t>
        </is>
      </c>
      <c r="O555" s="46" t="inlineStr">
        <is>
          <t>N</t>
        </is>
      </c>
      <c r="P555" s="50" t="n">
        <v>1367.8555</v>
      </c>
      <c r="Q555" s="49">
        <f>IF(OR(L555="",M555="",P555=""),"",L555*P555)</f>
        <v/>
      </c>
    </row>
    <row r="556" ht="15" customHeight="1" s="32">
      <c r="A556" s="46" t="inlineStr">
        <is>
          <t>R-HB-0555</t>
        </is>
      </c>
      <c r="B556" s="47" t="n">
        <v>45397</v>
      </c>
      <c r="C556" s="46" t="inlineStr">
        <is>
          <t>2024-04</t>
        </is>
      </c>
      <c r="D556" s="46" t="n">
        <v>2024</v>
      </c>
      <c r="E556" s="46" t="inlineStr">
        <is>
          <t>P-HB-004</t>
        </is>
      </c>
      <c r="F556" s="46" t="inlineStr">
        <is>
          <t>C-HB-09</t>
        </is>
      </c>
      <c r="G556" s="48" t="inlineStr">
        <is>
          <t>중국</t>
        </is>
      </c>
      <c r="H556" s="46" t="inlineStr">
        <is>
          <t>CN</t>
        </is>
      </c>
      <c r="I556" s="49" t="n">
        <v>14368</v>
      </c>
      <c r="J556" s="46" t="inlineStr">
        <is>
          <t>EA</t>
        </is>
      </c>
      <c r="K556" s="50" t="n">
        <v>15.8</v>
      </c>
      <c r="L556" s="50" t="n">
        <v>391779.01</v>
      </c>
      <c r="M556" s="46" t="inlineStr">
        <is>
          <t>USD</t>
        </is>
      </c>
      <c r="N556" s="46" t="inlineStr">
        <is>
          <t>FOB</t>
        </is>
      </c>
      <c r="O556" s="46" t="inlineStr">
        <is>
          <t>N</t>
        </is>
      </c>
      <c r="P556" s="50" t="n">
        <v>1367.8555</v>
      </c>
      <c r="Q556" s="49">
        <f>IF(OR(L556="",M556="",P556=""),"",L556*P556)</f>
        <v/>
      </c>
    </row>
    <row r="557" ht="15" customHeight="1" s="32">
      <c r="A557" s="46" t="inlineStr">
        <is>
          <t>R-HB-0556</t>
        </is>
      </c>
      <c r="B557" s="47" t="n">
        <v>45398</v>
      </c>
      <c r="C557" s="46" t="inlineStr">
        <is>
          <t>2024-04</t>
        </is>
      </c>
      <c r="D557" s="46" t="n">
        <v>2024</v>
      </c>
      <c r="E557" s="46" t="inlineStr">
        <is>
          <t>P-HB-002</t>
        </is>
      </c>
      <c r="F557" s="46" t="inlineStr">
        <is>
          <t>C-HB-03</t>
        </is>
      </c>
      <c r="G557" s="48" t="inlineStr">
        <is>
          <t>멕시코</t>
        </is>
      </c>
      <c r="H557" s="46" t="inlineStr">
        <is>
          <t>MX</t>
        </is>
      </c>
      <c r="I557" s="49" t="n">
        <v>132</v>
      </c>
      <c r="J557" s="46" t="inlineStr">
        <is>
          <t>EA</t>
        </is>
      </c>
      <c r="K557" s="50" t="n">
        <v>0.29</v>
      </c>
      <c r="L557" s="50" t="n">
        <v>41351.54</v>
      </c>
      <c r="M557" s="46" t="inlineStr">
        <is>
          <t>USD</t>
        </is>
      </c>
      <c r="N557" s="46" t="inlineStr">
        <is>
          <t>FOB</t>
        </is>
      </c>
      <c r="O557" s="46" t="inlineStr">
        <is>
          <t>N</t>
        </is>
      </c>
      <c r="P557" s="50" t="n">
        <v>1367.8555</v>
      </c>
      <c r="Q557" s="49">
        <f>IF(OR(L557="",M557="",P557=""),"",L557*P557)</f>
        <v/>
      </c>
    </row>
    <row r="558" ht="15" customHeight="1" s="32">
      <c r="A558" s="46" t="inlineStr">
        <is>
          <t>R-HB-0557</t>
        </is>
      </c>
      <c r="B558" s="47" t="n">
        <v>45399</v>
      </c>
      <c r="C558" s="46" t="inlineStr">
        <is>
          <t>2024-04</t>
        </is>
      </c>
      <c r="D558" s="46" t="n">
        <v>2024</v>
      </c>
      <c r="E558" s="46" t="inlineStr">
        <is>
          <t>P-HB-004</t>
        </is>
      </c>
      <c r="F558" s="46" t="inlineStr">
        <is>
          <t>C-HB-01</t>
        </is>
      </c>
      <c r="G558" s="48" t="inlineStr">
        <is>
          <t>미국</t>
        </is>
      </c>
      <c r="H558" s="46" t="inlineStr">
        <is>
          <t>US</t>
        </is>
      </c>
      <c r="I558" s="49" t="n">
        <v>17335</v>
      </c>
      <c r="J558" s="46" t="inlineStr">
        <is>
          <t>EA</t>
        </is>
      </c>
      <c r="K558" s="50" t="n">
        <v>19.07</v>
      </c>
      <c r="L558" s="50" t="n">
        <v>504726.81</v>
      </c>
      <c r="M558" s="46" t="inlineStr">
        <is>
          <t>USD</t>
        </is>
      </c>
      <c r="N558" s="46" t="inlineStr">
        <is>
          <t>FOB</t>
        </is>
      </c>
      <c r="O558" s="46" t="inlineStr">
        <is>
          <t>N</t>
        </is>
      </c>
      <c r="P558" s="50" t="n">
        <v>1367.8555</v>
      </c>
      <c r="Q558" s="49">
        <f>IF(OR(L558="",M558="",P558=""),"",L558*P558)</f>
        <v/>
      </c>
    </row>
    <row r="559" ht="15" customHeight="1" s="32">
      <c r="A559" s="46" t="inlineStr">
        <is>
          <t>R-HB-0558</t>
        </is>
      </c>
      <c r="B559" s="47" t="n">
        <v>45399</v>
      </c>
      <c r="C559" s="46" t="inlineStr">
        <is>
          <t>2024-04</t>
        </is>
      </c>
      <c r="D559" s="46" t="n">
        <v>2024</v>
      </c>
      <c r="E559" s="46" t="inlineStr">
        <is>
          <t>P-HB-002</t>
        </is>
      </c>
      <c r="F559" s="46" t="inlineStr">
        <is>
          <t>C-HB-08</t>
        </is>
      </c>
      <c r="G559" s="48" t="inlineStr">
        <is>
          <t>중국</t>
        </is>
      </c>
      <c r="H559" s="46" t="inlineStr">
        <is>
          <t>CN</t>
        </is>
      </c>
      <c r="I559" s="49" t="n">
        <v>723</v>
      </c>
      <c r="J559" s="46" t="inlineStr">
        <is>
          <t>EA</t>
        </is>
      </c>
      <c r="K559" s="50" t="n">
        <v>1.59</v>
      </c>
      <c r="L559" s="50" t="n">
        <v>232938.11</v>
      </c>
      <c r="M559" s="46" t="inlineStr">
        <is>
          <t>USD</t>
        </is>
      </c>
      <c r="N559" s="46" t="inlineStr">
        <is>
          <t>FOB</t>
        </is>
      </c>
      <c r="O559" s="46" t="inlineStr">
        <is>
          <t>N</t>
        </is>
      </c>
      <c r="P559" s="50" t="n">
        <v>1367.8555</v>
      </c>
      <c r="Q559" s="49">
        <f>IF(OR(L559="",M559="",P559=""),"",L559*P559)</f>
        <v/>
      </c>
    </row>
    <row r="560" ht="15" customHeight="1" s="32">
      <c r="A560" s="46" t="inlineStr">
        <is>
          <t>R-HB-0559</t>
        </is>
      </c>
      <c r="B560" s="47" t="n">
        <v>45400</v>
      </c>
      <c r="C560" s="46" t="inlineStr">
        <is>
          <t>2024-04</t>
        </is>
      </c>
      <c r="D560" s="46" t="n">
        <v>2024</v>
      </c>
      <c r="E560" s="46" t="inlineStr">
        <is>
          <t>P-HB-002</t>
        </is>
      </c>
      <c r="F560" s="46" t="inlineStr">
        <is>
          <t>C-HB-01</t>
        </is>
      </c>
      <c r="G560" s="48" t="inlineStr">
        <is>
          <t>미국</t>
        </is>
      </c>
      <c r="H560" s="46" t="inlineStr">
        <is>
          <t>US</t>
        </is>
      </c>
      <c r="I560" s="49" t="n">
        <v>601</v>
      </c>
      <c r="J560" s="46" t="inlineStr">
        <is>
          <t>EA</t>
        </is>
      </c>
      <c r="K560" s="50" t="n">
        <v>1.32</v>
      </c>
      <c r="L560" s="50" t="n">
        <v>196236.76</v>
      </c>
      <c r="M560" s="46" t="inlineStr">
        <is>
          <t>USD</t>
        </is>
      </c>
      <c r="N560" s="46" t="inlineStr">
        <is>
          <t>FOB</t>
        </is>
      </c>
      <c r="O560" s="46" t="inlineStr">
        <is>
          <t>N</t>
        </is>
      </c>
      <c r="P560" s="50" t="n">
        <v>1367.8555</v>
      </c>
      <c r="Q560" s="49">
        <f>IF(OR(L560="",M560="",P560=""),"",L560*P560)</f>
        <v/>
      </c>
    </row>
    <row r="561" ht="15" customHeight="1" s="32">
      <c r="A561" s="46" t="inlineStr">
        <is>
          <t>R-HB-0560</t>
        </is>
      </c>
      <c r="B561" s="47" t="n">
        <v>45400</v>
      </c>
      <c r="C561" s="46" t="inlineStr">
        <is>
          <t>2024-04</t>
        </is>
      </c>
      <c r="D561" s="46" t="n">
        <v>2024</v>
      </c>
      <c r="E561" s="46" t="inlineStr">
        <is>
          <t>P-HB-004</t>
        </is>
      </c>
      <c r="F561" s="46" t="inlineStr">
        <is>
          <t>C-HB-06</t>
        </is>
      </c>
      <c r="G561" s="48" t="inlineStr">
        <is>
          <t>베트남</t>
        </is>
      </c>
      <c r="H561" s="46" t="inlineStr">
        <is>
          <t>VN</t>
        </is>
      </c>
      <c r="I561" s="49" t="n">
        <v>9908</v>
      </c>
      <c r="J561" s="46" t="inlineStr">
        <is>
          <t>EA</t>
        </is>
      </c>
      <c r="K561" s="50" t="n">
        <v>10.9</v>
      </c>
      <c r="L561" s="50" t="n">
        <v>279466.87</v>
      </c>
      <c r="M561" s="46" t="inlineStr">
        <is>
          <t>USD</t>
        </is>
      </c>
      <c r="N561" s="46" t="inlineStr">
        <is>
          <t>FOB</t>
        </is>
      </c>
      <c r="O561" s="46" t="inlineStr">
        <is>
          <t>N</t>
        </is>
      </c>
      <c r="P561" s="50" t="n">
        <v>1367.8555</v>
      </c>
      <c r="Q561" s="49">
        <f>IF(OR(L561="",M561="",P561=""),"",L561*P561)</f>
        <v/>
      </c>
    </row>
    <row r="562" ht="15" customHeight="1" s="32">
      <c r="A562" s="46" t="inlineStr">
        <is>
          <t>R-HB-0561</t>
        </is>
      </c>
      <c r="B562" s="47" t="n">
        <v>45401</v>
      </c>
      <c r="C562" s="46" t="inlineStr">
        <is>
          <t>2024-04</t>
        </is>
      </c>
      <c r="D562" s="46" t="n">
        <v>2024</v>
      </c>
      <c r="E562" s="46" t="inlineStr">
        <is>
          <t>P-HB-003</t>
        </is>
      </c>
      <c r="F562" s="46" t="inlineStr">
        <is>
          <t>C-HB-04</t>
        </is>
      </c>
      <c r="G562" s="48" t="inlineStr">
        <is>
          <t>캐나다</t>
        </is>
      </c>
      <c r="H562" s="46" t="inlineStr">
        <is>
          <t>CA</t>
        </is>
      </c>
      <c r="I562" s="49" t="n">
        <v>6605</v>
      </c>
      <c r="J562" s="46" t="inlineStr">
        <is>
          <t>EA</t>
        </is>
      </c>
      <c r="K562" s="50" t="n">
        <v>4.29</v>
      </c>
      <c r="L562" s="50" t="n">
        <v>42061.81</v>
      </c>
      <c r="M562" s="46" t="inlineStr">
        <is>
          <t>USD</t>
        </is>
      </c>
      <c r="N562" s="46" t="inlineStr">
        <is>
          <t>FOB</t>
        </is>
      </c>
      <c r="O562" s="46" t="inlineStr">
        <is>
          <t>N</t>
        </is>
      </c>
      <c r="P562" s="50" t="n">
        <v>1367.8555</v>
      </c>
      <c r="Q562" s="49">
        <f>IF(OR(L562="",M562="",P562=""),"",L562*P562)</f>
        <v/>
      </c>
    </row>
    <row r="563" ht="15" customHeight="1" s="32">
      <c r="A563" s="46" t="inlineStr">
        <is>
          <t>R-HB-0562</t>
        </is>
      </c>
      <c r="B563" s="47" t="n">
        <v>45401</v>
      </c>
      <c r="C563" s="46" t="inlineStr">
        <is>
          <t>2024-04</t>
        </is>
      </c>
      <c r="D563" s="46" t="n">
        <v>2024</v>
      </c>
      <c r="E563" s="46" t="inlineStr">
        <is>
          <t>P-HB-004</t>
        </is>
      </c>
      <c r="F563" s="46" t="inlineStr">
        <is>
          <t>C-HB-04</t>
        </is>
      </c>
      <c r="G563" s="48" t="inlineStr">
        <is>
          <t>캐나다</t>
        </is>
      </c>
      <c r="H563" s="46" t="inlineStr">
        <is>
          <t>CA</t>
        </is>
      </c>
      <c r="I563" s="49" t="n">
        <v>1467</v>
      </c>
      <c r="J563" s="46" t="inlineStr">
        <is>
          <t>EA</t>
        </is>
      </c>
      <c r="K563" s="50" t="n">
        <v>1.61</v>
      </c>
      <c r="L563" s="50" t="n">
        <v>40667.69</v>
      </c>
      <c r="M563" s="46" t="inlineStr">
        <is>
          <t>USD</t>
        </is>
      </c>
      <c r="N563" s="46" t="inlineStr">
        <is>
          <t>FOB</t>
        </is>
      </c>
      <c r="O563" s="46" t="inlineStr">
        <is>
          <t>N</t>
        </is>
      </c>
      <c r="P563" s="50" t="n">
        <v>1367.8555</v>
      </c>
      <c r="Q563" s="49">
        <f>IF(OR(L563="",M563="",P563=""),"",L563*P563)</f>
        <v/>
      </c>
    </row>
    <row r="564" ht="15" customHeight="1" s="32">
      <c r="A564" s="46" t="inlineStr">
        <is>
          <t>R-HB-0563</t>
        </is>
      </c>
      <c r="B564" s="47" t="n">
        <v>45401</v>
      </c>
      <c r="C564" s="46" t="inlineStr">
        <is>
          <t>2024-04</t>
        </is>
      </c>
      <c r="D564" s="46" t="n">
        <v>2024</v>
      </c>
      <c r="E564" s="46" t="inlineStr">
        <is>
          <t>P-HB-001</t>
        </is>
      </c>
      <c r="F564" s="46" t="inlineStr">
        <is>
          <t>C-HB-09</t>
        </is>
      </c>
      <c r="G564" s="48" t="inlineStr">
        <is>
          <t>중국</t>
        </is>
      </c>
      <c r="H564" s="46" t="inlineStr">
        <is>
          <t>CN</t>
        </is>
      </c>
      <c r="I564" s="49" t="n">
        <v>147458</v>
      </c>
      <c r="J564" s="46" t="inlineStr">
        <is>
          <t>EA</t>
        </is>
      </c>
      <c r="K564" s="50" t="n">
        <v>66.36</v>
      </c>
      <c r="L564" s="50" t="n">
        <v>677298</v>
      </c>
      <c r="M564" s="46" t="inlineStr">
        <is>
          <t>USD</t>
        </is>
      </c>
      <c r="N564" s="46" t="inlineStr">
        <is>
          <t>FOB</t>
        </is>
      </c>
      <c r="O564" s="46" t="inlineStr">
        <is>
          <t>N</t>
        </is>
      </c>
      <c r="P564" s="50" t="n">
        <v>1367.8555</v>
      </c>
      <c r="Q564" s="49">
        <f>IF(OR(L564="",M564="",P564=""),"",L564*P564)</f>
        <v/>
      </c>
    </row>
    <row r="565" ht="15" customHeight="1" s="32">
      <c r="A565" s="46" t="inlineStr">
        <is>
          <t>R-HB-0564</t>
        </is>
      </c>
      <c r="B565" s="47" t="n">
        <v>45402</v>
      </c>
      <c r="C565" s="46" t="inlineStr">
        <is>
          <t>2024-04</t>
        </is>
      </c>
      <c r="D565" s="46" t="n">
        <v>2024</v>
      </c>
      <c r="E565" s="46" t="inlineStr">
        <is>
          <t>P-HB-001</t>
        </is>
      </c>
      <c r="F565" s="46" t="inlineStr">
        <is>
          <t>C-HB-02</t>
        </is>
      </c>
      <c r="G565" s="48" t="inlineStr">
        <is>
          <t>미국</t>
        </is>
      </c>
      <c r="H565" s="46" t="inlineStr">
        <is>
          <t>US</t>
        </is>
      </c>
      <c r="I565" s="49" t="n">
        <v>95822</v>
      </c>
      <c r="J565" s="46" t="inlineStr">
        <is>
          <t>EA</t>
        </is>
      </c>
      <c r="K565" s="50" t="n">
        <v>43.12</v>
      </c>
      <c r="L565" s="50" t="n">
        <v>456761.61</v>
      </c>
      <c r="M565" s="46" t="inlineStr">
        <is>
          <t>USD</t>
        </is>
      </c>
      <c r="N565" s="46" t="inlineStr">
        <is>
          <t>FOB</t>
        </is>
      </c>
      <c r="O565" s="46" t="inlineStr">
        <is>
          <t>N</t>
        </is>
      </c>
      <c r="P565" s="50" t="n">
        <v>1367.8555</v>
      </c>
      <c r="Q565" s="49">
        <f>IF(OR(L565="",M565="",P565=""),"",L565*P565)</f>
        <v/>
      </c>
    </row>
    <row r="566" ht="15" customHeight="1" s="32">
      <c r="A566" s="46" t="inlineStr">
        <is>
          <t>R-HB-0565</t>
        </is>
      </c>
      <c r="B566" s="47" t="n">
        <v>45402</v>
      </c>
      <c r="C566" s="46" t="inlineStr">
        <is>
          <t>2024-04</t>
        </is>
      </c>
      <c r="D566" s="46" t="n">
        <v>2024</v>
      </c>
      <c r="E566" s="46" t="inlineStr">
        <is>
          <t>P-HB-001</t>
        </is>
      </c>
      <c r="F566" s="46" t="inlineStr">
        <is>
          <t>C-HB-04</t>
        </is>
      </c>
      <c r="G566" s="48" t="inlineStr">
        <is>
          <t>캐나다</t>
        </is>
      </c>
      <c r="H566" s="46" t="inlineStr">
        <is>
          <t>CA</t>
        </is>
      </c>
      <c r="I566" s="49" t="n">
        <v>15496</v>
      </c>
      <c r="J566" s="46" t="inlineStr">
        <is>
          <t>EA</t>
        </is>
      </c>
      <c r="K566" s="50" t="n">
        <v>6.97</v>
      </c>
      <c r="L566" s="50" t="n">
        <v>72365.71000000001</v>
      </c>
      <c r="M566" s="46" t="inlineStr">
        <is>
          <t>USD</t>
        </is>
      </c>
      <c r="N566" s="46" t="inlineStr">
        <is>
          <t>FOB</t>
        </is>
      </c>
      <c r="O566" s="46" t="inlineStr">
        <is>
          <t>N</t>
        </is>
      </c>
      <c r="P566" s="50" t="n">
        <v>1367.8555</v>
      </c>
      <c r="Q566" s="49">
        <f>IF(OR(L566="",M566="",P566=""),"",L566*P566)</f>
        <v/>
      </c>
    </row>
    <row r="567" ht="15" customHeight="1" s="32">
      <c r="A567" s="46" t="inlineStr">
        <is>
          <t>R-HB-0566</t>
        </is>
      </c>
      <c r="B567" s="47" t="n">
        <v>45402</v>
      </c>
      <c r="C567" s="46" t="inlineStr">
        <is>
          <t>2024-04</t>
        </is>
      </c>
      <c r="D567" s="46" t="n">
        <v>2024</v>
      </c>
      <c r="E567" s="46" t="inlineStr">
        <is>
          <t>P-HB-001</t>
        </is>
      </c>
      <c r="F567" s="46" t="inlineStr">
        <is>
          <t>C-HB-05</t>
        </is>
      </c>
      <c r="G567" s="48" t="inlineStr">
        <is>
          <t>독일</t>
        </is>
      </c>
      <c r="H567" s="46" t="inlineStr">
        <is>
          <t>DE</t>
        </is>
      </c>
      <c r="I567" s="49" t="n">
        <v>156587</v>
      </c>
      <c r="J567" s="46" t="inlineStr">
        <is>
          <t>EA</t>
        </is>
      </c>
      <c r="K567" s="50" t="n">
        <v>70.45999999999999</v>
      </c>
      <c r="L567" s="50" t="n">
        <v>747252.61</v>
      </c>
      <c r="M567" s="46" t="inlineStr">
        <is>
          <t>USD</t>
        </is>
      </c>
      <c r="N567" s="46" t="inlineStr">
        <is>
          <t>FOB</t>
        </is>
      </c>
      <c r="O567" s="46" t="inlineStr">
        <is>
          <t>N</t>
        </is>
      </c>
      <c r="P567" s="50" t="n">
        <v>1367.8555</v>
      </c>
      <c r="Q567" s="49">
        <f>IF(OR(L567="",M567="",P567=""),"",L567*P567)</f>
        <v/>
      </c>
    </row>
    <row r="568" ht="15" customHeight="1" s="32">
      <c r="A568" s="46" t="inlineStr">
        <is>
          <t>R-HB-0567</t>
        </is>
      </c>
      <c r="B568" s="47" t="n">
        <v>45402</v>
      </c>
      <c r="C568" s="46" t="inlineStr">
        <is>
          <t>2024-04</t>
        </is>
      </c>
      <c r="D568" s="46" t="n">
        <v>2024</v>
      </c>
      <c r="E568" s="46" t="inlineStr">
        <is>
          <t>P-HB-003</t>
        </is>
      </c>
      <c r="F568" s="46" t="inlineStr">
        <is>
          <t>C-HB-05</t>
        </is>
      </c>
      <c r="G568" s="48" t="inlineStr">
        <is>
          <t>독일</t>
        </is>
      </c>
      <c r="H568" s="46" t="inlineStr">
        <is>
          <t>DE</t>
        </is>
      </c>
      <c r="I568" s="49" t="n">
        <v>66862</v>
      </c>
      <c r="J568" s="46" t="inlineStr">
        <is>
          <t>EA</t>
        </is>
      </c>
      <c r="K568" s="50" t="n">
        <v>43.46</v>
      </c>
      <c r="L568" s="50" t="n">
        <v>425862.2</v>
      </c>
      <c r="M568" s="46" t="inlineStr">
        <is>
          <t>USD</t>
        </is>
      </c>
      <c r="N568" s="46" t="inlineStr">
        <is>
          <t>FOB</t>
        </is>
      </c>
      <c r="O568" s="46" t="inlineStr">
        <is>
          <t>N</t>
        </is>
      </c>
      <c r="P568" s="50" t="n">
        <v>1367.8555</v>
      </c>
      <c r="Q568" s="49">
        <f>IF(OR(L568="",M568="",P568=""),"",L568*P568)</f>
        <v/>
      </c>
    </row>
    <row r="569" ht="15" customHeight="1" s="32">
      <c r="A569" s="46" t="inlineStr">
        <is>
          <t>R-HB-0568</t>
        </is>
      </c>
      <c r="B569" s="47" t="n">
        <v>45402</v>
      </c>
      <c r="C569" s="46" t="inlineStr">
        <is>
          <t>2024-04</t>
        </is>
      </c>
      <c r="D569" s="46" t="n">
        <v>2024</v>
      </c>
      <c r="E569" s="46" t="inlineStr">
        <is>
          <t>P-HB-002</t>
        </is>
      </c>
      <c r="F569" s="46" t="inlineStr">
        <is>
          <t>C-HB-07</t>
        </is>
      </c>
      <c r="G569" s="48" t="inlineStr">
        <is>
          <t>인도</t>
        </is>
      </c>
      <c r="H569" s="46" t="inlineStr">
        <is>
          <t>IN</t>
        </is>
      </c>
      <c r="I569" s="49" t="n">
        <v>260</v>
      </c>
      <c r="J569" s="46" t="inlineStr">
        <is>
          <t>EA</t>
        </is>
      </c>
      <c r="K569" s="50" t="n">
        <v>0.57</v>
      </c>
      <c r="L569" s="50" t="n">
        <v>86555.17</v>
      </c>
      <c r="M569" s="46" t="inlineStr">
        <is>
          <t>USD</t>
        </is>
      </c>
      <c r="N569" s="46" t="inlineStr">
        <is>
          <t>FOB</t>
        </is>
      </c>
      <c r="O569" s="46" t="inlineStr">
        <is>
          <t>N</t>
        </is>
      </c>
      <c r="P569" s="50" t="n">
        <v>1367.8555</v>
      </c>
      <c r="Q569" s="49">
        <f>IF(OR(L569="",M569="",P569=""),"",L569*P569)</f>
        <v/>
      </c>
    </row>
    <row r="570" ht="15" customHeight="1" s="32">
      <c r="A570" s="46" t="inlineStr">
        <is>
          <t>R-HB-0569</t>
        </is>
      </c>
      <c r="B570" s="47" t="n">
        <v>45404</v>
      </c>
      <c r="C570" s="46" t="inlineStr">
        <is>
          <t>2024-04</t>
        </is>
      </c>
      <c r="D570" s="46" t="n">
        <v>2024</v>
      </c>
      <c r="E570" s="46" t="inlineStr">
        <is>
          <t>P-HB-003</t>
        </is>
      </c>
      <c r="F570" s="46" t="inlineStr">
        <is>
          <t>C-HB-03</t>
        </is>
      </c>
      <c r="G570" s="48" t="inlineStr">
        <is>
          <t>멕시코</t>
        </is>
      </c>
      <c r="H570" s="46" t="inlineStr">
        <is>
          <t>MX</t>
        </is>
      </c>
      <c r="I570" s="49" t="n">
        <v>12638</v>
      </c>
      <c r="J570" s="46" t="inlineStr">
        <is>
          <t>EA</t>
        </is>
      </c>
      <c r="K570" s="50" t="n">
        <v>8.210000000000001</v>
      </c>
      <c r="L570" s="50" t="n">
        <v>85718.28</v>
      </c>
      <c r="M570" s="46" t="inlineStr">
        <is>
          <t>USD</t>
        </is>
      </c>
      <c r="N570" s="46" t="inlineStr">
        <is>
          <t>FOB</t>
        </is>
      </c>
      <c r="O570" s="46" t="inlineStr">
        <is>
          <t>N</t>
        </is>
      </c>
      <c r="P570" s="50" t="n">
        <v>1367.8555</v>
      </c>
      <c r="Q570" s="49">
        <f>IF(OR(L570="",M570="",P570=""),"",L570*P570)</f>
        <v/>
      </c>
    </row>
    <row r="571" ht="15" customHeight="1" s="32">
      <c r="A571" s="46" t="inlineStr">
        <is>
          <t>R-HB-0570</t>
        </is>
      </c>
      <c r="B571" s="47" t="n">
        <v>45404</v>
      </c>
      <c r="C571" s="46" t="inlineStr">
        <is>
          <t>2024-04</t>
        </is>
      </c>
      <c r="D571" s="46" t="n">
        <v>2024</v>
      </c>
      <c r="E571" s="46" t="inlineStr">
        <is>
          <t>P-HB-004</t>
        </is>
      </c>
      <c r="F571" s="46" t="inlineStr">
        <is>
          <t>C-HB-03</t>
        </is>
      </c>
      <c r="G571" s="48" t="inlineStr">
        <is>
          <t>멕시코</t>
        </is>
      </c>
      <c r="H571" s="46" t="inlineStr">
        <is>
          <t>MX</t>
        </is>
      </c>
      <c r="I571" s="49" t="n">
        <v>2861</v>
      </c>
      <c r="J571" s="46" t="inlineStr">
        <is>
          <t>EA</t>
        </is>
      </c>
      <c r="K571" s="50" t="n">
        <v>3.15</v>
      </c>
      <c r="L571" s="50" t="n">
        <v>83016.14999999999</v>
      </c>
      <c r="M571" s="46" t="inlineStr">
        <is>
          <t>USD</t>
        </is>
      </c>
      <c r="N571" s="46" t="inlineStr">
        <is>
          <t>FOB</t>
        </is>
      </c>
      <c r="O571" s="46" t="inlineStr">
        <is>
          <t>N</t>
        </is>
      </c>
      <c r="P571" s="50" t="n">
        <v>1367.8555</v>
      </c>
      <c r="Q571" s="49">
        <f>IF(OR(L571="",M571="",P571=""),"",L571*P571)</f>
        <v/>
      </c>
    </row>
    <row r="572" ht="15" customHeight="1" s="32">
      <c r="A572" s="46" t="inlineStr">
        <is>
          <t>R-HB-0571</t>
        </is>
      </c>
      <c r="B572" s="47" t="n">
        <v>45404</v>
      </c>
      <c r="C572" s="46" t="inlineStr">
        <is>
          <t>2024-04</t>
        </is>
      </c>
      <c r="D572" s="46" t="n">
        <v>2024</v>
      </c>
      <c r="E572" s="46" t="inlineStr">
        <is>
          <t>P-HB-002</t>
        </is>
      </c>
      <c r="F572" s="46" t="inlineStr">
        <is>
          <t>C-HB-05</t>
        </is>
      </c>
      <c r="G572" s="48" t="inlineStr">
        <is>
          <t>독일</t>
        </is>
      </c>
      <c r="H572" s="46" t="inlineStr">
        <is>
          <t>DE</t>
        </is>
      </c>
      <c r="I572" s="49" t="n">
        <v>555</v>
      </c>
      <c r="J572" s="46" t="inlineStr">
        <is>
          <t>EA</t>
        </is>
      </c>
      <c r="K572" s="50" t="n">
        <v>1.22</v>
      </c>
      <c r="L572" s="50" t="n">
        <v>175202.95</v>
      </c>
      <c r="M572" s="46" t="inlineStr">
        <is>
          <t>USD</t>
        </is>
      </c>
      <c r="N572" s="46" t="inlineStr">
        <is>
          <t>FOB</t>
        </is>
      </c>
      <c r="O572" s="46" t="inlineStr">
        <is>
          <t>N</t>
        </is>
      </c>
      <c r="P572" s="50" t="n">
        <v>1367.8555</v>
      </c>
      <c r="Q572" s="49">
        <f>IF(OR(L572="",M572="",P572=""),"",L572*P572)</f>
        <v/>
      </c>
    </row>
    <row r="573" ht="15" customHeight="1" s="32">
      <c r="A573" s="46" t="inlineStr">
        <is>
          <t>R-HB-0572</t>
        </is>
      </c>
      <c r="B573" s="47" t="n">
        <v>45404</v>
      </c>
      <c r="C573" s="46" t="inlineStr">
        <is>
          <t>2024-04</t>
        </is>
      </c>
      <c r="D573" s="46" t="n">
        <v>2024</v>
      </c>
      <c r="E573" s="46" t="inlineStr">
        <is>
          <t>P-HB-001</t>
        </is>
      </c>
      <c r="F573" s="46" t="inlineStr">
        <is>
          <t>C-HB-08</t>
        </is>
      </c>
      <c r="G573" s="48" t="inlineStr">
        <is>
          <t>중국</t>
        </is>
      </c>
      <c r="H573" s="46" t="inlineStr">
        <is>
          <t>CN</t>
        </is>
      </c>
      <c r="I573" s="49" t="n">
        <v>220276</v>
      </c>
      <c r="J573" s="46" t="inlineStr">
        <is>
          <t>EA</t>
        </is>
      </c>
      <c r="K573" s="50" t="n">
        <v>99.12</v>
      </c>
      <c r="L573" s="50" t="n">
        <v>1066611.43</v>
      </c>
      <c r="M573" s="46" t="inlineStr">
        <is>
          <t>USD</t>
        </is>
      </c>
      <c r="N573" s="46" t="inlineStr">
        <is>
          <t>FOB</t>
        </is>
      </c>
      <c r="O573" s="46" t="inlineStr">
        <is>
          <t>N</t>
        </is>
      </c>
      <c r="P573" s="50" t="n">
        <v>1367.8555</v>
      </c>
      <c r="Q573" s="49">
        <f>IF(OR(L573="",M573="",P573=""),"",L573*P573)</f>
        <v/>
      </c>
    </row>
    <row r="574" ht="15" customHeight="1" s="32">
      <c r="A574" s="46" t="inlineStr">
        <is>
          <t>R-HB-0573</t>
        </is>
      </c>
      <c r="B574" s="47" t="n">
        <v>45405</v>
      </c>
      <c r="C574" s="46" t="inlineStr">
        <is>
          <t>2024-04</t>
        </is>
      </c>
      <c r="D574" s="46" t="n">
        <v>2024</v>
      </c>
      <c r="E574" s="46" t="inlineStr">
        <is>
          <t>P-HB-004</t>
        </is>
      </c>
      <c r="F574" s="46" t="inlineStr">
        <is>
          <t>C-HB-05</t>
        </is>
      </c>
      <c r="G574" s="48" t="inlineStr">
        <is>
          <t>독일</t>
        </is>
      </c>
      <c r="H574" s="46" t="inlineStr">
        <is>
          <t>DE</t>
        </is>
      </c>
      <c r="I574" s="49" t="n">
        <v>14564</v>
      </c>
      <c r="J574" s="46" t="inlineStr">
        <is>
          <t>EA</t>
        </is>
      </c>
      <c r="K574" s="50" t="n">
        <v>16.02</v>
      </c>
      <c r="L574" s="50" t="n">
        <v>414206.29</v>
      </c>
      <c r="M574" s="46" t="inlineStr">
        <is>
          <t>USD</t>
        </is>
      </c>
      <c r="N574" s="46" t="inlineStr">
        <is>
          <t>FOB</t>
        </is>
      </c>
      <c r="O574" s="46" t="inlineStr">
        <is>
          <t>N</t>
        </is>
      </c>
      <c r="P574" s="50" t="n">
        <v>1367.8555</v>
      </c>
      <c r="Q574" s="49">
        <f>IF(OR(L574="",M574="",P574=""),"",L574*P574)</f>
        <v/>
      </c>
    </row>
    <row r="575" ht="15" customHeight="1" s="32">
      <c r="A575" s="46" t="inlineStr">
        <is>
          <t>R-HB-0574</t>
        </is>
      </c>
      <c r="B575" s="47" t="n">
        <v>45406</v>
      </c>
      <c r="C575" s="46" t="inlineStr">
        <is>
          <t>2024-04</t>
        </is>
      </c>
      <c r="D575" s="46" t="n">
        <v>2024</v>
      </c>
      <c r="E575" s="46" t="inlineStr">
        <is>
          <t>P-HB-003</t>
        </is>
      </c>
      <c r="F575" s="46" t="inlineStr">
        <is>
          <t>C-HB-08</t>
        </is>
      </c>
      <c r="G575" s="48" t="inlineStr">
        <is>
          <t>중국</t>
        </is>
      </c>
      <c r="H575" s="46" t="inlineStr">
        <is>
          <t>CN</t>
        </is>
      </c>
      <c r="I575" s="49" t="n">
        <v>77733</v>
      </c>
      <c r="J575" s="46" t="inlineStr">
        <is>
          <t>EA</t>
        </is>
      </c>
      <c r="K575" s="50" t="n">
        <v>50.53</v>
      </c>
      <c r="L575" s="50" t="n">
        <v>534644.98</v>
      </c>
      <c r="M575" s="46" t="inlineStr">
        <is>
          <t>USD</t>
        </is>
      </c>
      <c r="N575" s="46" t="inlineStr">
        <is>
          <t>FOB</t>
        </is>
      </c>
      <c r="O575" s="46" t="inlineStr">
        <is>
          <t>N</t>
        </is>
      </c>
      <c r="P575" s="50" t="n">
        <v>1367.8555</v>
      </c>
      <c r="Q575" s="49">
        <f>IF(OR(L575="",M575="",P575=""),"",L575*P575)</f>
        <v/>
      </c>
    </row>
    <row r="576" ht="15" customHeight="1" s="32">
      <c r="A576" s="46" t="inlineStr">
        <is>
          <t>R-HB-0575</t>
        </is>
      </c>
      <c r="B576" s="47" t="n">
        <v>45408</v>
      </c>
      <c r="C576" s="46" t="inlineStr">
        <is>
          <t>2024-04</t>
        </is>
      </c>
      <c r="D576" s="46" t="n">
        <v>2024</v>
      </c>
      <c r="E576" s="46" t="inlineStr">
        <is>
          <t>P-HB-001</t>
        </is>
      </c>
      <c r="F576" s="46" t="inlineStr">
        <is>
          <t>C-HB-01</t>
        </is>
      </c>
      <c r="G576" s="48" t="inlineStr">
        <is>
          <t>미국</t>
        </is>
      </c>
      <c r="H576" s="46" t="inlineStr">
        <is>
          <t>US</t>
        </is>
      </c>
      <c r="I576" s="49" t="n">
        <v>172777</v>
      </c>
      <c r="J576" s="46" t="inlineStr">
        <is>
          <t>EA</t>
        </is>
      </c>
      <c r="K576" s="50" t="n">
        <v>77.75</v>
      </c>
      <c r="L576" s="50" t="n">
        <v>823876.39</v>
      </c>
      <c r="M576" s="46" t="inlineStr">
        <is>
          <t>USD</t>
        </is>
      </c>
      <c r="N576" s="46" t="inlineStr">
        <is>
          <t>FOB</t>
        </is>
      </c>
      <c r="O576" s="46" t="inlineStr">
        <is>
          <t>N</t>
        </is>
      </c>
      <c r="P576" s="50" t="n">
        <v>1367.8555</v>
      </c>
      <c r="Q576" s="49">
        <f>IF(OR(L576="",M576="",P576=""),"",L576*P576)</f>
        <v/>
      </c>
    </row>
    <row r="577" ht="15" customHeight="1" s="32">
      <c r="A577" s="46" t="inlineStr">
        <is>
          <t>R-HB-0576</t>
        </is>
      </c>
      <c r="B577" s="47" t="n">
        <v>45408</v>
      </c>
      <c r="C577" s="46" t="inlineStr">
        <is>
          <t>2024-04</t>
        </is>
      </c>
      <c r="D577" s="46" t="n">
        <v>2024</v>
      </c>
      <c r="E577" s="46" t="inlineStr">
        <is>
          <t>P-HB-004</t>
        </is>
      </c>
      <c r="F577" s="46" t="inlineStr">
        <is>
          <t>C-HB-07</t>
        </is>
      </c>
      <c r="G577" s="48" t="inlineStr">
        <is>
          <t>인도</t>
        </is>
      </c>
      <c r="H577" s="46" t="inlineStr">
        <is>
          <t>IN</t>
        </is>
      </c>
      <c r="I577" s="49" t="n">
        <v>6784</v>
      </c>
      <c r="J577" s="46" t="inlineStr">
        <is>
          <t>EA</t>
        </is>
      </c>
      <c r="K577" s="50" t="n">
        <v>7.46</v>
      </c>
      <c r="L577" s="50" t="n">
        <v>195186.2</v>
      </c>
      <c r="M577" s="46" t="inlineStr">
        <is>
          <t>USD</t>
        </is>
      </c>
      <c r="N577" s="46" t="inlineStr">
        <is>
          <t>FOB</t>
        </is>
      </c>
      <c r="O577" s="46" t="inlineStr">
        <is>
          <t>N</t>
        </is>
      </c>
      <c r="P577" s="50" t="n">
        <v>1367.8555</v>
      </c>
      <c r="Q577" s="49">
        <f>IF(OR(L577="",M577="",P577=""),"",L577*P577)</f>
        <v/>
      </c>
    </row>
    <row r="578" ht="15" customHeight="1" s="32">
      <c r="A578" s="46" t="inlineStr">
        <is>
          <t>R-HB-0577</t>
        </is>
      </c>
      <c r="B578" s="47" t="n">
        <v>45415</v>
      </c>
      <c r="C578" s="46" t="inlineStr">
        <is>
          <t>2024-05</t>
        </is>
      </c>
      <c r="D578" s="46" t="n">
        <v>2024</v>
      </c>
      <c r="E578" s="46" t="inlineStr">
        <is>
          <t>P-HB-002</t>
        </is>
      </c>
      <c r="F578" s="46" t="inlineStr">
        <is>
          <t>C-HB-09</t>
        </is>
      </c>
      <c r="G578" s="48" t="inlineStr">
        <is>
          <t>중국</t>
        </is>
      </c>
      <c r="H578" s="46" t="inlineStr">
        <is>
          <t>CN</t>
        </is>
      </c>
      <c r="I578" s="49" t="n">
        <v>523</v>
      </c>
      <c r="J578" s="46" t="inlineStr">
        <is>
          <t>EA</t>
        </is>
      </c>
      <c r="K578" s="50" t="n">
        <v>1.15</v>
      </c>
      <c r="L578" s="50" t="n">
        <v>171003.48</v>
      </c>
      <c r="M578" s="46" t="inlineStr">
        <is>
          <t>USD</t>
        </is>
      </c>
      <c r="N578" s="46" t="inlineStr">
        <is>
          <t>FOB</t>
        </is>
      </c>
      <c r="O578" s="46" t="inlineStr">
        <is>
          <t>N</t>
        </is>
      </c>
      <c r="P578" s="50" t="n">
        <v>1364.7241</v>
      </c>
      <c r="Q578" s="49">
        <f>IF(OR(L578="",M578="",P578=""),"",L578*P578)</f>
        <v/>
      </c>
    </row>
    <row r="579" ht="15" customHeight="1" s="32">
      <c r="A579" s="46" t="inlineStr">
        <is>
          <t>R-HB-0578</t>
        </is>
      </c>
      <c r="B579" s="47" t="n">
        <v>45416</v>
      </c>
      <c r="C579" s="46" t="inlineStr">
        <is>
          <t>2024-05</t>
        </is>
      </c>
      <c r="D579" s="46" t="n">
        <v>2024</v>
      </c>
      <c r="E579" s="46" t="inlineStr">
        <is>
          <t>P-HB-002</t>
        </is>
      </c>
      <c r="F579" s="46" t="inlineStr">
        <is>
          <t>C-HB-07</t>
        </is>
      </c>
      <c r="G579" s="48" t="inlineStr">
        <is>
          <t>인도</t>
        </is>
      </c>
      <c r="H579" s="46" t="inlineStr">
        <is>
          <t>IN</t>
        </is>
      </c>
      <c r="I579" s="49" t="n">
        <v>265</v>
      </c>
      <c r="J579" s="46" t="inlineStr">
        <is>
          <t>EA</t>
        </is>
      </c>
      <c r="K579" s="50" t="n">
        <v>0.58</v>
      </c>
      <c r="L579" s="50" t="n">
        <v>88164.19</v>
      </c>
      <c r="M579" s="46" t="inlineStr">
        <is>
          <t>USD</t>
        </is>
      </c>
      <c r="N579" s="46" t="inlineStr">
        <is>
          <t>FOB</t>
        </is>
      </c>
      <c r="O579" s="46" t="inlineStr">
        <is>
          <t>N</t>
        </is>
      </c>
      <c r="P579" s="50" t="n">
        <v>1364.7241</v>
      </c>
      <c r="Q579" s="49">
        <f>IF(OR(L579="",M579="",P579=""),"",L579*P579)</f>
        <v/>
      </c>
    </row>
    <row r="580" ht="15" customHeight="1" s="32">
      <c r="A580" s="46" t="inlineStr">
        <is>
          <t>R-HB-0579</t>
        </is>
      </c>
      <c r="B580" s="47" t="n">
        <v>45417</v>
      </c>
      <c r="C580" s="46" t="inlineStr">
        <is>
          <t>2024-05</t>
        </is>
      </c>
      <c r="D580" s="46" t="n">
        <v>2024</v>
      </c>
      <c r="E580" s="46" t="inlineStr">
        <is>
          <t>P-HB-003</t>
        </is>
      </c>
      <c r="F580" s="46" t="inlineStr">
        <is>
          <t>C-HB-02</t>
        </is>
      </c>
      <c r="G580" s="48" t="inlineStr">
        <is>
          <t>미국</t>
        </is>
      </c>
      <c r="H580" s="46" t="inlineStr">
        <is>
          <t>US</t>
        </is>
      </c>
      <c r="I580" s="49" t="n">
        <v>40146</v>
      </c>
      <c r="J580" s="46" t="inlineStr">
        <is>
          <t>EA</t>
        </is>
      </c>
      <c r="K580" s="50" t="n">
        <v>26.09</v>
      </c>
      <c r="L580" s="50" t="n">
        <v>283712.64</v>
      </c>
      <c r="M580" s="46" t="inlineStr">
        <is>
          <t>USD</t>
        </is>
      </c>
      <c r="N580" s="46" t="inlineStr">
        <is>
          <t>FOB</t>
        </is>
      </c>
      <c r="O580" s="46" t="inlineStr">
        <is>
          <t>N</t>
        </is>
      </c>
      <c r="P580" s="50" t="n">
        <v>1364.7241</v>
      </c>
      <c r="Q580" s="49">
        <f>IF(OR(L580="",M580="",P580=""),"",L580*P580)</f>
        <v/>
      </c>
    </row>
    <row r="581" ht="15" customHeight="1" s="32">
      <c r="A581" s="46" t="inlineStr">
        <is>
          <t>R-HB-0580</t>
        </is>
      </c>
      <c r="B581" s="47" t="n">
        <v>45418</v>
      </c>
      <c r="C581" s="46" t="inlineStr">
        <is>
          <t>2024-05</t>
        </is>
      </c>
      <c r="D581" s="46" t="n">
        <v>2024</v>
      </c>
      <c r="E581" s="46" t="inlineStr">
        <is>
          <t>P-HB-001</t>
        </is>
      </c>
      <c r="F581" s="46" t="inlineStr">
        <is>
          <t>C-HB-01</t>
        </is>
      </c>
      <c r="G581" s="48" t="inlineStr">
        <is>
          <t>미국</t>
        </is>
      </c>
      <c r="H581" s="46" t="inlineStr">
        <is>
          <t>US</t>
        </is>
      </c>
      <c r="I581" s="49" t="n">
        <v>190208</v>
      </c>
      <c r="J581" s="46" t="inlineStr">
        <is>
          <t>EA</t>
        </is>
      </c>
      <c r="K581" s="50" t="n">
        <v>85.59</v>
      </c>
      <c r="L581" s="50" t="n">
        <v>954243.86</v>
      </c>
      <c r="M581" s="46" t="inlineStr">
        <is>
          <t>USD</t>
        </is>
      </c>
      <c r="N581" s="46" t="inlineStr">
        <is>
          <t>FOB</t>
        </is>
      </c>
      <c r="O581" s="46" t="inlineStr">
        <is>
          <t>N</t>
        </is>
      </c>
      <c r="P581" s="50" t="n">
        <v>1364.7241</v>
      </c>
      <c r="Q581" s="49">
        <f>IF(OR(L581="",M581="",P581=""),"",L581*P581)</f>
        <v/>
      </c>
    </row>
    <row r="582" ht="15" customHeight="1" s="32">
      <c r="A582" s="46" t="inlineStr">
        <is>
          <t>R-HB-0581</t>
        </is>
      </c>
      <c r="B582" s="47" t="n">
        <v>45419</v>
      </c>
      <c r="C582" s="46" t="inlineStr">
        <is>
          <t>2024-05</t>
        </is>
      </c>
      <c r="D582" s="46" t="n">
        <v>2024</v>
      </c>
      <c r="E582" s="46" t="inlineStr">
        <is>
          <t>P-HB-004</t>
        </is>
      </c>
      <c r="F582" s="46" t="inlineStr">
        <is>
          <t>C-HB-01</t>
        </is>
      </c>
      <c r="G582" s="48" t="inlineStr">
        <is>
          <t>미국</t>
        </is>
      </c>
      <c r="H582" s="46" t="inlineStr">
        <is>
          <t>US</t>
        </is>
      </c>
      <c r="I582" s="49" t="n">
        <v>18608</v>
      </c>
      <c r="J582" s="46" t="inlineStr">
        <is>
          <t>EA</t>
        </is>
      </c>
      <c r="K582" s="50" t="n">
        <v>20.47</v>
      </c>
      <c r="L582" s="50" t="n">
        <v>510175.74</v>
      </c>
      <c r="M582" s="46" t="inlineStr">
        <is>
          <t>USD</t>
        </is>
      </c>
      <c r="N582" s="46" t="inlineStr">
        <is>
          <t>FOB</t>
        </is>
      </c>
      <c r="O582" s="46" t="inlineStr">
        <is>
          <t>N</t>
        </is>
      </c>
      <c r="P582" s="50" t="n">
        <v>1364.7241</v>
      </c>
      <c r="Q582" s="49">
        <f>IF(OR(L582="",M582="",P582=""),"",L582*P582)</f>
        <v/>
      </c>
    </row>
    <row r="583" ht="15" customHeight="1" s="32">
      <c r="A583" s="46" t="inlineStr">
        <is>
          <t>R-HB-0582</t>
        </is>
      </c>
      <c r="B583" s="47" t="n">
        <v>45419</v>
      </c>
      <c r="C583" s="46" t="inlineStr">
        <is>
          <t>2024-05</t>
        </is>
      </c>
      <c r="D583" s="46" t="n">
        <v>2024</v>
      </c>
      <c r="E583" s="46" t="inlineStr">
        <is>
          <t>P-HB-001</t>
        </is>
      </c>
      <c r="F583" s="46" t="inlineStr">
        <is>
          <t>C-HB-08</t>
        </is>
      </c>
      <c r="G583" s="48" t="inlineStr">
        <is>
          <t>중국</t>
        </is>
      </c>
      <c r="H583" s="46" t="inlineStr">
        <is>
          <t>CN</t>
        </is>
      </c>
      <c r="I583" s="49" t="n">
        <v>227897</v>
      </c>
      <c r="J583" s="46" t="inlineStr">
        <is>
          <t>EA</t>
        </is>
      </c>
      <c r="K583" s="50" t="n">
        <v>102.55</v>
      </c>
      <c r="L583" s="50" t="n">
        <v>1118242.34</v>
      </c>
      <c r="M583" s="46" t="inlineStr">
        <is>
          <t>USD</t>
        </is>
      </c>
      <c r="N583" s="46" t="inlineStr">
        <is>
          <t>FOB</t>
        </is>
      </c>
      <c r="O583" s="46" t="inlineStr">
        <is>
          <t>N</t>
        </is>
      </c>
      <c r="P583" s="50" t="n">
        <v>1364.7241</v>
      </c>
      <c r="Q583" s="49">
        <f>IF(OR(L583="",M583="",P583=""),"",L583*P583)</f>
        <v/>
      </c>
    </row>
    <row r="584" ht="15" customHeight="1" s="32">
      <c r="A584" s="46" t="inlineStr">
        <is>
          <t>R-HB-0583</t>
        </is>
      </c>
      <c r="B584" s="47" t="n">
        <v>45420</v>
      </c>
      <c r="C584" s="46" t="inlineStr">
        <is>
          <t>2024-05</t>
        </is>
      </c>
      <c r="D584" s="46" t="n">
        <v>2024</v>
      </c>
      <c r="E584" s="46" t="inlineStr">
        <is>
          <t>P-HB-004</t>
        </is>
      </c>
      <c r="F584" s="46" t="inlineStr">
        <is>
          <t>C-HB-02</t>
        </is>
      </c>
      <c r="G584" s="48" t="inlineStr">
        <is>
          <t>미국</t>
        </is>
      </c>
      <c r="H584" s="46" t="inlineStr">
        <is>
          <t>US</t>
        </is>
      </c>
      <c r="I584" s="49" t="n">
        <v>9404</v>
      </c>
      <c r="J584" s="46" t="inlineStr">
        <is>
          <t>EA</t>
        </is>
      </c>
      <c r="K584" s="50" t="n">
        <v>10.34</v>
      </c>
      <c r="L584" s="50" t="n">
        <v>264217.95</v>
      </c>
      <c r="M584" s="46" t="inlineStr">
        <is>
          <t>USD</t>
        </is>
      </c>
      <c r="N584" s="46" t="inlineStr">
        <is>
          <t>FOB</t>
        </is>
      </c>
      <c r="O584" s="46" t="inlineStr">
        <is>
          <t>N</t>
        </is>
      </c>
      <c r="P584" s="50" t="n">
        <v>1364.7241</v>
      </c>
      <c r="Q584" s="49">
        <f>IF(OR(L584="",M584="",P584=""),"",L584*P584)</f>
        <v/>
      </c>
    </row>
    <row r="585" ht="15" customHeight="1" s="32">
      <c r="A585" s="46" t="inlineStr">
        <is>
          <t>R-HB-0584</t>
        </is>
      </c>
      <c r="B585" s="47" t="n">
        <v>45421</v>
      </c>
      <c r="C585" s="46" t="inlineStr">
        <is>
          <t>2024-05</t>
        </is>
      </c>
      <c r="D585" s="46" t="n">
        <v>2024</v>
      </c>
      <c r="E585" s="46" t="inlineStr">
        <is>
          <t>P-HB-001</t>
        </is>
      </c>
      <c r="F585" s="46" t="inlineStr">
        <is>
          <t>C-HB-03</t>
        </is>
      </c>
      <c r="G585" s="48" t="inlineStr">
        <is>
          <t>멕시코</t>
        </is>
      </c>
      <c r="H585" s="46" t="inlineStr">
        <is>
          <t>MX</t>
        </is>
      </c>
      <c r="I585" s="49" t="n">
        <v>30095</v>
      </c>
      <c r="J585" s="46" t="inlineStr">
        <is>
          <t>EA</t>
        </is>
      </c>
      <c r="K585" s="50" t="n">
        <v>13.54</v>
      </c>
      <c r="L585" s="50" t="n">
        <v>151095.51</v>
      </c>
      <c r="M585" s="46" t="inlineStr">
        <is>
          <t>USD</t>
        </is>
      </c>
      <c r="N585" s="46" t="inlineStr">
        <is>
          <t>FOB</t>
        </is>
      </c>
      <c r="O585" s="46" t="inlineStr">
        <is>
          <t>N</t>
        </is>
      </c>
      <c r="P585" s="50" t="n">
        <v>1364.7241</v>
      </c>
      <c r="Q585" s="49">
        <f>IF(OR(L585="",M585="",P585=""),"",L585*P585)</f>
        <v/>
      </c>
    </row>
    <row r="586" ht="15" customHeight="1" s="32">
      <c r="A586" s="46" t="inlineStr">
        <is>
          <t>R-HB-0585</t>
        </is>
      </c>
      <c r="B586" s="47" t="n">
        <v>45421</v>
      </c>
      <c r="C586" s="46" t="inlineStr">
        <is>
          <t>2024-05</t>
        </is>
      </c>
      <c r="D586" s="46" t="n">
        <v>2024</v>
      </c>
      <c r="E586" s="46" t="inlineStr">
        <is>
          <t>P-HB-002</t>
        </is>
      </c>
      <c r="F586" s="46" t="inlineStr">
        <is>
          <t>C-HB-05</t>
        </is>
      </c>
      <c r="G586" s="48" t="inlineStr">
        <is>
          <t>독일</t>
        </is>
      </c>
      <c r="H586" s="46" t="inlineStr">
        <is>
          <t>DE</t>
        </is>
      </c>
      <c r="I586" s="49" t="n">
        <v>611</v>
      </c>
      <c r="J586" s="46" t="inlineStr">
        <is>
          <t>EA</t>
        </is>
      </c>
      <c r="K586" s="50" t="n">
        <v>1.34</v>
      </c>
      <c r="L586" s="50" t="n">
        <v>209489.61</v>
      </c>
      <c r="M586" s="46" t="inlineStr">
        <is>
          <t>USD</t>
        </is>
      </c>
      <c r="N586" s="46" t="inlineStr">
        <is>
          <t>FOB</t>
        </is>
      </c>
      <c r="O586" s="46" t="inlineStr">
        <is>
          <t>N</t>
        </is>
      </c>
      <c r="P586" s="50" t="n">
        <v>1364.7241</v>
      </c>
      <c r="Q586" s="49">
        <f>IF(OR(L586="",M586="",P586=""),"",L586*P586)</f>
        <v/>
      </c>
    </row>
    <row r="587" ht="15" customHeight="1" s="32">
      <c r="A587" s="46" t="inlineStr">
        <is>
          <t>R-HB-0586</t>
        </is>
      </c>
      <c r="B587" s="47" t="n">
        <v>45421</v>
      </c>
      <c r="C587" s="46" t="inlineStr">
        <is>
          <t>2024-05</t>
        </is>
      </c>
      <c r="D587" s="46" t="n">
        <v>2024</v>
      </c>
      <c r="E587" s="46" t="inlineStr">
        <is>
          <t>P-HB-004</t>
        </is>
      </c>
      <c r="F587" s="46" t="inlineStr">
        <is>
          <t>C-HB-05</t>
        </is>
      </c>
      <c r="G587" s="48" t="inlineStr">
        <is>
          <t>독일</t>
        </is>
      </c>
      <c r="H587" s="46" t="inlineStr">
        <is>
          <t>DE</t>
        </is>
      </c>
      <c r="I587" s="49" t="n">
        <v>15625</v>
      </c>
      <c r="J587" s="46" t="inlineStr">
        <is>
          <t>EA</t>
        </is>
      </c>
      <c r="K587" s="50" t="n">
        <v>17.19</v>
      </c>
      <c r="L587" s="50" t="n">
        <v>425372.04</v>
      </c>
      <c r="M587" s="46" t="inlineStr">
        <is>
          <t>USD</t>
        </is>
      </c>
      <c r="N587" s="46" t="inlineStr">
        <is>
          <t>FOB</t>
        </is>
      </c>
      <c r="O587" s="46" t="inlineStr">
        <is>
          <t>N</t>
        </is>
      </c>
      <c r="P587" s="50" t="n">
        <v>1364.7241</v>
      </c>
      <c r="Q587" s="49">
        <f>IF(OR(L587="",M587="",P587=""),"",L587*P587)</f>
        <v/>
      </c>
    </row>
    <row r="588" ht="15" customHeight="1" s="32">
      <c r="A588" s="46" t="inlineStr">
        <is>
          <t>R-HB-0587</t>
        </is>
      </c>
      <c r="B588" s="47" t="n">
        <v>45422</v>
      </c>
      <c r="C588" s="46" t="inlineStr">
        <is>
          <t>2024-05</t>
        </is>
      </c>
      <c r="D588" s="46" t="n">
        <v>2024</v>
      </c>
      <c r="E588" s="46" t="inlineStr">
        <is>
          <t>P-HB-001</t>
        </is>
      </c>
      <c r="F588" s="46" t="inlineStr">
        <is>
          <t>C-HB-02</t>
        </is>
      </c>
      <c r="G588" s="48" t="inlineStr">
        <is>
          <t>미국</t>
        </is>
      </c>
      <c r="H588" s="46" t="inlineStr">
        <is>
          <t>US</t>
        </is>
      </c>
      <c r="I588" s="49" t="n">
        <v>102257</v>
      </c>
      <c r="J588" s="46" t="inlineStr">
        <is>
          <t>EA</t>
        </is>
      </c>
      <c r="K588" s="50" t="n">
        <v>46.02</v>
      </c>
      <c r="L588" s="50" t="n">
        <v>517984.81</v>
      </c>
      <c r="M588" s="46" t="inlineStr">
        <is>
          <t>USD</t>
        </is>
      </c>
      <c r="N588" s="46" t="inlineStr">
        <is>
          <t>FOB</t>
        </is>
      </c>
      <c r="O588" s="46" t="inlineStr">
        <is>
          <t>N</t>
        </is>
      </c>
      <c r="P588" s="50" t="n">
        <v>1364.7241</v>
      </c>
      <c r="Q588" s="49">
        <f>IF(OR(L588="",M588="",P588=""),"",L588*P588)</f>
        <v/>
      </c>
    </row>
    <row r="589" ht="15" customHeight="1" s="32">
      <c r="A589" s="46" t="inlineStr">
        <is>
          <t>R-HB-0588</t>
        </is>
      </c>
      <c r="B589" s="47" t="n">
        <v>45422</v>
      </c>
      <c r="C589" s="46" t="inlineStr">
        <is>
          <t>2024-05</t>
        </is>
      </c>
      <c r="D589" s="46" t="n">
        <v>2024</v>
      </c>
      <c r="E589" s="46" t="inlineStr">
        <is>
          <t>P-HB-002</t>
        </is>
      </c>
      <c r="F589" s="46" t="inlineStr">
        <is>
          <t>C-HB-06</t>
        </is>
      </c>
      <c r="G589" s="48" t="inlineStr">
        <is>
          <t>베트남</t>
        </is>
      </c>
      <c r="H589" s="46" t="inlineStr">
        <is>
          <t>VN</t>
        </is>
      </c>
      <c r="I589" s="49" t="n">
        <v>433</v>
      </c>
      <c r="J589" s="46" t="inlineStr">
        <is>
          <t>EA</t>
        </is>
      </c>
      <c r="K589" s="50" t="n">
        <v>0.95</v>
      </c>
      <c r="L589" s="50" t="n">
        <v>142242.7</v>
      </c>
      <c r="M589" s="46" t="inlineStr">
        <is>
          <t>USD</t>
        </is>
      </c>
      <c r="N589" s="46" t="inlineStr">
        <is>
          <t>FOB</t>
        </is>
      </c>
      <c r="O589" s="46" t="inlineStr">
        <is>
          <t>N</t>
        </is>
      </c>
      <c r="P589" s="50" t="n">
        <v>1364.7241</v>
      </c>
      <c r="Q589" s="49">
        <f>IF(OR(L589="",M589="",P589=""),"",L589*P589)</f>
        <v/>
      </c>
    </row>
    <row r="590" ht="15" customHeight="1" s="32">
      <c r="A590" s="46" t="inlineStr">
        <is>
          <t>R-HB-0589</t>
        </is>
      </c>
      <c r="B590" s="47" t="n">
        <v>45422</v>
      </c>
      <c r="C590" s="46" t="inlineStr">
        <is>
          <t>2024-05</t>
        </is>
      </c>
      <c r="D590" s="46" t="n">
        <v>2024</v>
      </c>
      <c r="E590" s="46" t="inlineStr">
        <is>
          <t>P-HB-004</t>
        </is>
      </c>
      <c r="F590" s="46" t="inlineStr">
        <is>
          <t>C-HB-07</t>
        </is>
      </c>
      <c r="G590" s="48" t="inlineStr">
        <is>
          <t>인도</t>
        </is>
      </c>
      <c r="H590" s="46" t="inlineStr">
        <is>
          <t>IN</t>
        </is>
      </c>
      <c r="I590" s="49" t="n">
        <v>7283</v>
      </c>
      <c r="J590" s="46" t="inlineStr">
        <is>
          <t>EA</t>
        </is>
      </c>
      <c r="K590" s="50" t="n">
        <v>8.01</v>
      </c>
      <c r="L590" s="50" t="n">
        <v>206815.01</v>
      </c>
      <c r="M590" s="46" t="inlineStr">
        <is>
          <t>USD</t>
        </is>
      </c>
      <c r="N590" s="46" t="inlineStr">
        <is>
          <t>FOB</t>
        </is>
      </c>
      <c r="O590" s="46" t="inlineStr">
        <is>
          <t>N</t>
        </is>
      </c>
      <c r="P590" s="50" t="n">
        <v>1364.7241</v>
      </c>
      <c r="Q590" s="49">
        <f>IF(OR(L590="",M590="",P590=""),"",L590*P590)</f>
        <v/>
      </c>
    </row>
    <row r="591" ht="15" customHeight="1" s="32">
      <c r="A591" s="46" t="inlineStr">
        <is>
          <t>R-HB-0590</t>
        </is>
      </c>
      <c r="B591" s="47" t="n">
        <v>45422</v>
      </c>
      <c r="C591" s="46" t="inlineStr">
        <is>
          <t>2024-05</t>
        </is>
      </c>
      <c r="D591" s="46" t="n">
        <v>2024</v>
      </c>
      <c r="E591" s="46" t="inlineStr">
        <is>
          <t>P-HB-003</t>
        </is>
      </c>
      <c r="F591" s="46" t="inlineStr">
        <is>
          <t>C-HB-08</t>
        </is>
      </c>
      <c r="G591" s="48" t="inlineStr">
        <is>
          <t>중국</t>
        </is>
      </c>
      <c r="H591" s="46" t="inlineStr">
        <is>
          <t>CN</t>
        </is>
      </c>
      <c r="I591" s="49" t="n">
        <v>80838</v>
      </c>
      <c r="J591" s="46" t="inlineStr">
        <is>
          <t>EA</t>
        </is>
      </c>
      <c r="K591" s="50" t="n">
        <v>52.54</v>
      </c>
      <c r="L591" s="50" t="n">
        <v>546744.55</v>
      </c>
      <c r="M591" s="46" t="inlineStr">
        <is>
          <t>USD</t>
        </is>
      </c>
      <c r="N591" s="46" t="inlineStr">
        <is>
          <t>FOB</t>
        </is>
      </c>
      <c r="O591" s="46" t="inlineStr">
        <is>
          <t>N</t>
        </is>
      </c>
      <c r="P591" s="50" t="n">
        <v>1364.7241</v>
      </c>
      <c r="Q591" s="49">
        <f>IF(OR(L591="",M591="",P591=""),"",L591*P591)</f>
        <v/>
      </c>
    </row>
    <row r="592" ht="15" customHeight="1" s="32">
      <c r="A592" s="46" t="inlineStr">
        <is>
          <t>R-HB-0591</t>
        </is>
      </c>
      <c r="B592" s="47" t="n">
        <v>45423</v>
      </c>
      <c r="C592" s="46" t="inlineStr">
        <is>
          <t>2024-05</t>
        </is>
      </c>
      <c r="D592" s="46" t="n">
        <v>2024</v>
      </c>
      <c r="E592" s="46" t="inlineStr">
        <is>
          <t>P-HB-002</t>
        </is>
      </c>
      <c r="F592" s="46" t="inlineStr">
        <is>
          <t>C-HB-02</t>
        </is>
      </c>
      <c r="G592" s="48" t="inlineStr">
        <is>
          <t>미국</t>
        </is>
      </c>
      <c r="H592" s="46" t="inlineStr">
        <is>
          <t>US</t>
        </is>
      </c>
      <c r="I592" s="49" t="n">
        <v>367</v>
      </c>
      <c r="J592" s="46" t="inlineStr">
        <is>
          <t>EA</t>
        </is>
      </c>
      <c r="K592" s="50" t="n">
        <v>0.8100000000000001</v>
      </c>
      <c r="L592" s="50" t="n">
        <v>122907.93</v>
      </c>
      <c r="M592" s="46" t="inlineStr">
        <is>
          <t>USD</t>
        </is>
      </c>
      <c r="N592" s="46" t="inlineStr">
        <is>
          <t>FOB</t>
        </is>
      </c>
      <c r="O592" s="46" t="inlineStr">
        <is>
          <t>N</t>
        </is>
      </c>
      <c r="P592" s="50" t="n">
        <v>1364.7241</v>
      </c>
      <c r="Q592" s="49">
        <f>IF(OR(L592="",M592="",P592=""),"",L592*P592)</f>
        <v/>
      </c>
    </row>
    <row r="593" ht="15" customHeight="1" s="32">
      <c r="A593" s="46" t="inlineStr">
        <is>
          <t>R-HB-0592</t>
        </is>
      </c>
      <c r="B593" s="47" t="n">
        <v>45423</v>
      </c>
      <c r="C593" s="46" t="inlineStr">
        <is>
          <t>2024-05</t>
        </is>
      </c>
      <c r="D593" s="46" t="n">
        <v>2024</v>
      </c>
      <c r="E593" s="46" t="inlineStr">
        <is>
          <t>P-HB-001</t>
        </is>
      </c>
      <c r="F593" s="46" t="inlineStr">
        <is>
          <t>C-HB-06</t>
        </is>
      </c>
      <c r="G593" s="48" t="inlineStr">
        <is>
          <t>베트남</t>
        </is>
      </c>
      <c r="H593" s="46" t="inlineStr">
        <is>
          <t>VN</t>
        </is>
      </c>
      <c r="I593" s="49" t="n">
        <v>116283</v>
      </c>
      <c r="J593" s="46" t="inlineStr">
        <is>
          <t>EA</t>
        </is>
      </c>
      <c r="K593" s="50" t="n">
        <v>52.33</v>
      </c>
      <c r="L593" s="50" t="n">
        <v>570822.33</v>
      </c>
      <c r="M593" s="46" t="inlineStr">
        <is>
          <t>USD</t>
        </is>
      </c>
      <c r="N593" s="46" t="inlineStr">
        <is>
          <t>FOB</t>
        </is>
      </c>
      <c r="O593" s="46" t="inlineStr">
        <is>
          <t>N</t>
        </is>
      </c>
      <c r="P593" s="50" t="n">
        <v>1364.7241</v>
      </c>
      <c r="Q593" s="49">
        <f>IF(OR(L593="",M593="",P593=""),"",L593*P593)</f>
        <v/>
      </c>
    </row>
    <row r="594" ht="15" customHeight="1" s="32">
      <c r="A594" s="46" t="inlineStr">
        <is>
          <t>R-HB-0593</t>
        </is>
      </c>
      <c r="B594" s="47" t="n">
        <v>45425</v>
      </c>
      <c r="C594" s="46" t="inlineStr">
        <is>
          <t>2024-05</t>
        </is>
      </c>
      <c r="D594" s="46" t="n">
        <v>2024</v>
      </c>
      <c r="E594" s="46" t="inlineStr">
        <is>
          <t>P-HB-001</t>
        </is>
      </c>
      <c r="F594" s="46" t="inlineStr">
        <is>
          <t>C-HB-07</t>
        </is>
      </c>
      <c r="G594" s="48" t="inlineStr">
        <is>
          <t>인도</t>
        </is>
      </c>
      <c r="H594" s="46" t="inlineStr">
        <is>
          <t>IN</t>
        </is>
      </c>
      <c r="I594" s="49" t="n">
        <v>69905</v>
      </c>
      <c r="J594" s="46" t="inlineStr">
        <is>
          <t>EA</t>
        </is>
      </c>
      <c r="K594" s="50" t="n">
        <v>31.46</v>
      </c>
      <c r="L594" s="50" t="n">
        <v>333567.86</v>
      </c>
      <c r="M594" s="46" t="inlineStr">
        <is>
          <t>USD</t>
        </is>
      </c>
      <c r="N594" s="46" t="inlineStr">
        <is>
          <t>FOB</t>
        </is>
      </c>
      <c r="O594" s="46" t="inlineStr">
        <is>
          <t>N</t>
        </is>
      </c>
      <c r="P594" s="50" t="n">
        <v>1364.7241</v>
      </c>
      <c r="Q594" s="49">
        <f>IF(OR(L594="",M594="",P594=""),"",L594*P594)</f>
        <v/>
      </c>
    </row>
    <row r="595" ht="15" customHeight="1" s="32">
      <c r="A595" s="46" t="inlineStr">
        <is>
          <t>R-HB-0594</t>
        </is>
      </c>
      <c r="B595" s="47" t="n">
        <v>45425</v>
      </c>
      <c r="C595" s="46" t="inlineStr">
        <is>
          <t>2024-05</t>
        </is>
      </c>
      <c r="D595" s="46" t="n">
        <v>2024</v>
      </c>
      <c r="E595" s="46" t="inlineStr">
        <is>
          <t>P-HB-002</t>
        </is>
      </c>
      <c r="F595" s="46" t="inlineStr">
        <is>
          <t>C-HB-08</t>
        </is>
      </c>
      <c r="G595" s="48" t="inlineStr">
        <is>
          <t>중국</t>
        </is>
      </c>
      <c r="H595" s="46" t="inlineStr">
        <is>
          <t>CN</t>
        </is>
      </c>
      <c r="I595" s="49" t="n">
        <v>744</v>
      </c>
      <c r="J595" s="46" t="inlineStr">
        <is>
          <t>EA</t>
        </is>
      </c>
      <c r="K595" s="50" t="n">
        <v>1.64</v>
      </c>
      <c r="L595" s="50" t="n">
        <v>246695.88</v>
      </c>
      <c r="M595" s="46" t="inlineStr">
        <is>
          <t>USD</t>
        </is>
      </c>
      <c r="N595" s="46" t="inlineStr">
        <is>
          <t>FOB</t>
        </is>
      </c>
      <c r="O595" s="46" t="inlineStr">
        <is>
          <t>N</t>
        </is>
      </c>
      <c r="P595" s="50" t="n">
        <v>1364.7241</v>
      </c>
      <c r="Q595" s="49">
        <f>IF(OR(L595="",M595="",P595=""),"",L595*P595)</f>
        <v/>
      </c>
    </row>
    <row r="596" ht="15" customHeight="1" s="32">
      <c r="A596" s="46" t="inlineStr">
        <is>
          <t>R-HB-0595</t>
        </is>
      </c>
      <c r="B596" s="47" t="n">
        <v>45425</v>
      </c>
      <c r="C596" s="46" t="inlineStr">
        <is>
          <t>2024-05</t>
        </is>
      </c>
      <c r="D596" s="46" t="n">
        <v>2024</v>
      </c>
      <c r="E596" s="46" t="inlineStr">
        <is>
          <t>P-HB-001</t>
        </is>
      </c>
      <c r="F596" s="46" t="inlineStr">
        <is>
          <t>C-HB-09</t>
        </is>
      </c>
      <c r="G596" s="48" t="inlineStr">
        <is>
          <t>중국</t>
        </is>
      </c>
      <c r="H596" s="46" t="inlineStr">
        <is>
          <t>CN</t>
        </is>
      </c>
      <c r="I596" s="49" t="n">
        <v>137515</v>
      </c>
      <c r="J596" s="46" t="inlineStr">
        <is>
          <t>EA</t>
        </is>
      </c>
      <c r="K596" s="50" t="n">
        <v>61.88</v>
      </c>
      <c r="L596" s="50" t="n">
        <v>663061.09</v>
      </c>
      <c r="M596" s="46" t="inlineStr">
        <is>
          <t>USD</t>
        </is>
      </c>
      <c r="N596" s="46" t="inlineStr">
        <is>
          <t>FOB</t>
        </is>
      </c>
      <c r="O596" s="46" t="inlineStr">
        <is>
          <t>N</t>
        </is>
      </c>
      <c r="P596" s="50" t="n">
        <v>1364.7241</v>
      </c>
      <c r="Q596" s="49">
        <f>IF(OR(L596="",M596="",P596=""),"",L596*P596)</f>
        <v/>
      </c>
    </row>
    <row r="597" ht="15" customHeight="1" s="32">
      <c r="A597" s="46" t="inlineStr">
        <is>
          <t>R-HB-0596</t>
        </is>
      </c>
      <c r="B597" s="47" t="n">
        <v>45427</v>
      </c>
      <c r="C597" s="46" t="inlineStr">
        <is>
          <t>2024-05</t>
        </is>
      </c>
      <c r="D597" s="46" t="n">
        <v>2024</v>
      </c>
      <c r="E597" s="46" t="inlineStr">
        <is>
          <t>P-HB-003</t>
        </is>
      </c>
      <c r="F597" s="46" t="inlineStr">
        <is>
          <t>C-HB-03</t>
        </is>
      </c>
      <c r="G597" s="48" t="inlineStr">
        <is>
          <t>멕시코</t>
        </is>
      </c>
      <c r="H597" s="46" t="inlineStr">
        <is>
          <t>MX</t>
        </is>
      </c>
      <c r="I597" s="49" t="n">
        <v>12487</v>
      </c>
      <c r="J597" s="46" t="inlineStr">
        <is>
          <t>EA</t>
        </is>
      </c>
      <c r="K597" s="50" t="n">
        <v>8.119999999999999</v>
      </c>
      <c r="L597" s="50" t="n">
        <v>82933.28</v>
      </c>
      <c r="M597" s="46" t="inlineStr">
        <is>
          <t>USD</t>
        </is>
      </c>
      <c r="N597" s="46" t="inlineStr">
        <is>
          <t>FOB</t>
        </is>
      </c>
      <c r="O597" s="46" t="inlineStr">
        <is>
          <t>N</t>
        </is>
      </c>
      <c r="P597" s="50" t="n">
        <v>1364.7241</v>
      </c>
      <c r="Q597" s="49">
        <f>IF(OR(L597="",M597="",P597=""),"",L597*P597)</f>
        <v/>
      </c>
    </row>
    <row r="598" ht="15" customHeight="1" s="32">
      <c r="A598" s="46" t="inlineStr">
        <is>
          <t>R-HB-0597</t>
        </is>
      </c>
      <c r="B598" s="47" t="n">
        <v>45427</v>
      </c>
      <c r="C598" s="46" t="inlineStr">
        <is>
          <t>2024-05</t>
        </is>
      </c>
      <c r="D598" s="46" t="n">
        <v>2024</v>
      </c>
      <c r="E598" s="46" t="inlineStr">
        <is>
          <t>P-HB-003</t>
        </is>
      </c>
      <c r="F598" s="46" t="inlineStr">
        <is>
          <t>C-HB-09</t>
        </is>
      </c>
      <c r="G598" s="48" t="inlineStr">
        <is>
          <t>중국</t>
        </is>
      </c>
      <c r="H598" s="46" t="inlineStr">
        <is>
          <t>CN</t>
        </is>
      </c>
      <c r="I598" s="49" t="n">
        <v>52451</v>
      </c>
      <c r="J598" s="46" t="inlineStr">
        <is>
          <t>EA</t>
        </is>
      </c>
      <c r="K598" s="50" t="n">
        <v>34.09</v>
      </c>
      <c r="L598" s="50" t="n">
        <v>357870.34</v>
      </c>
      <c r="M598" s="46" t="inlineStr">
        <is>
          <t>USD</t>
        </is>
      </c>
      <c r="N598" s="46" t="inlineStr">
        <is>
          <t>FOB</t>
        </is>
      </c>
      <c r="O598" s="46" t="inlineStr">
        <is>
          <t>N</t>
        </is>
      </c>
      <c r="P598" s="50" t="n">
        <v>1364.7241</v>
      </c>
      <c r="Q598" s="49">
        <f>IF(OR(L598="",M598="",P598=""),"",L598*P598)</f>
        <v/>
      </c>
    </row>
    <row r="599" ht="15" customHeight="1" s="32">
      <c r="A599" s="46" t="inlineStr">
        <is>
          <t>R-HB-0598</t>
        </is>
      </c>
      <c r="B599" s="47" t="n">
        <v>45427</v>
      </c>
      <c r="C599" s="46" t="inlineStr">
        <is>
          <t>2024-05</t>
        </is>
      </c>
      <c r="D599" s="46" t="n">
        <v>2024</v>
      </c>
      <c r="E599" s="46" t="inlineStr">
        <is>
          <t>P-HB-004</t>
        </is>
      </c>
      <c r="F599" s="46" t="inlineStr">
        <is>
          <t>C-HB-09</t>
        </is>
      </c>
      <c r="G599" s="48" t="inlineStr">
        <is>
          <t>중국</t>
        </is>
      </c>
      <c r="H599" s="46" t="inlineStr">
        <is>
          <t>CN</t>
        </is>
      </c>
      <c r="I599" s="49" t="n">
        <v>14991</v>
      </c>
      <c r="J599" s="46" t="inlineStr">
        <is>
          <t>EA</t>
        </is>
      </c>
      <c r="K599" s="50" t="n">
        <v>16.49</v>
      </c>
      <c r="L599" s="50" t="n">
        <v>411889.25</v>
      </c>
      <c r="M599" s="46" t="inlineStr">
        <is>
          <t>USD</t>
        </is>
      </c>
      <c r="N599" s="46" t="inlineStr">
        <is>
          <t>FOB</t>
        </is>
      </c>
      <c r="O599" s="46" t="inlineStr">
        <is>
          <t>N</t>
        </is>
      </c>
      <c r="P599" s="50" t="n">
        <v>1364.7241</v>
      </c>
      <c r="Q599" s="49">
        <f>IF(OR(L599="",M599="",P599=""),"",L599*P599)</f>
        <v/>
      </c>
    </row>
    <row r="600" ht="15" customHeight="1" s="32">
      <c r="A600" s="46" t="inlineStr">
        <is>
          <t>R-HB-0599</t>
        </is>
      </c>
      <c r="B600" s="47" t="n">
        <v>45429</v>
      </c>
      <c r="C600" s="46" t="inlineStr">
        <is>
          <t>2024-05</t>
        </is>
      </c>
      <c r="D600" s="46" t="n">
        <v>2024</v>
      </c>
      <c r="E600" s="46" t="inlineStr">
        <is>
          <t>P-HB-002</t>
        </is>
      </c>
      <c r="F600" s="46" t="inlineStr">
        <is>
          <t>C-HB-03</t>
        </is>
      </c>
      <c r="G600" s="48" t="inlineStr">
        <is>
          <t>멕시코</t>
        </is>
      </c>
      <c r="H600" s="46" t="inlineStr">
        <is>
          <t>MX</t>
        </is>
      </c>
      <c r="I600" s="49" t="n">
        <v>113</v>
      </c>
      <c r="J600" s="46" t="inlineStr">
        <is>
          <t>EA</t>
        </is>
      </c>
      <c r="K600" s="50" t="n">
        <v>0.25</v>
      </c>
      <c r="L600" s="50" t="n">
        <v>39324.73</v>
      </c>
      <c r="M600" s="46" t="inlineStr">
        <is>
          <t>USD</t>
        </is>
      </c>
      <c r="N600" s="46" t="inlineStr">
        <is>
          <t>FOB</t>
        </is>
      </c>
      <c r="O600" s="46" t="inlineStr">
        <is>
          <t>N</t>
        </is>
      </c>
      <c r="P600" s="50" t="n">
        <v>1364.7241</v>
      </c>
      <c r="Q600" s="49">
        <f>IF(OR(L600="",M600="",P600=""),"",L600*P600)</f>
        <v/>
      </c>
    </row>
    <row r="601" ht="15" customHeight="1" s="32">
      <c r="A601" s="46" t="inlineStr">
        <is>
          <t>R-HB-0600</t>
        </is>
      </c>
      <c r="B601" s="47" t="n">
        <v>45429</v>
      </c>
      <c r="C601" s="46" t="inlineStr">
        <is>
          <t>2024-05</t>
        </is>
      </c>
      <c r="D601" s="46" t="n">
        <v>2024</v>
      </c>
      <c r="E601" s="46" t="inlineStr">
        <is>
          <t>P-HB-001</t>
        </is>
      </c>
      <c r="F601" s="46" t="inlineStr">
        <is>
          <t>C-HB-04</t>
        </is>
      </c>
      <c r="G601" s="48" t="inlineStr">
        <is>
          <t>캐나다</t>
        </is>
      </c>
      <c r="H601" s="46" t="inlineStr">
        <is>
          <t>CA</t>
        </is>
      </c>
      <c r="I601" s="49" t="n">
        <v>18625</v>
      </c>
      <c r="J601" s="46" t="inlineStr">
        <is>
          <t>EA</t>
        </is>
      </c>
      <c r="K601" s="50" t="n">
        <v>8.380000000000001</v>
      </c>
      <c r="L601" s="50" t="n">
        <v>88807.69</v>
      </c>
      <c r="M601" s="46" t="inlineStr">
        <is>
          <t>USD</t>
        </is>
      </c>
      <c r="N601" s="46" t="inlineStr">
        <is>
          <t>FOB</t>
        </is>
      </c>
      <c r="O601" s="46" t="inlineStr">
        <is>
          <t>N</t>
        </is>
      </c>
      <c r="P601" s="50" t="n">
        <v>1364.7241</v>
      </c>
      <c r="Q601" s="49">
        <f>IF(OR(L601="",M601="",P601=""),"",L601*P601)</f>
        <v/>
      </c>
    </row>
    <row r="602" ht="15" customHeight="1" s="32">
      <c r="A602" s="46" t="inlineStr">
        <is>
          <t>R-HB-0601</t>
        </is>
      </c>
      <c r="B602" s="47" t="n">
        <v>45430</v>
      </c>
      <c r="C602" s="46" t="inlineStr">
        <is>
          <t>2024-05</t>
        </is>
      </c>
      <c r="D602" s="46" t="n">
        <v>2024</v>
      </c>
      <c r="E602" s="46" t="inlineStr">
        <is>
          <t>P-HB-003</t>
        </is>
      </c>
      <c r="F602" s="46" t="inlineStr">
        <is>
          <t>C-HB-06</t>
        </is>
      </c>
      <c r="G602" s="48" t="inlineStr">
        <is>
          <t>베트남</t>
        </is>
      </c>
      <c r="H602" s="46" t="inlineStr">
        <is>
          <t>VN</t>
        </is>
      </c>
      <c r="I602" s="49" t="n">
        <v>46281</v>
      </c>
      <c r="J602" s="46" t="inlineStr">
        <is>
          <t>EA</t>
        </is>
      </c>
      <c r="K602" s="50" t="n">
        <v>30.08</v>
      </c>
      <c r="L602" s="50" t="n">
        <v>320555.44</v>
      </c>
      <c r="M602" s="46" t="inlineStr">
        <is>
          <t>USD</t>
        </is>
      </c>
      <c r="N602" s="46" t="inlineStr">
        <is>
          <t>FOB</t>
        </is>
      </c>
      <c r="O602" s="46" t="inlineStr">
        <is>
          <t>N</t>
        </is>
      </c>
      <c r="P602" s="50" t="n">
        <v>1364.7241</v>
      </c>
      <c r="Q602" s="49">
        <f>IF(OR(L602="",M602="",P602=""),"",L602*P602)</f>
        <v/>
      </c>
    </row>
    <row r="603" ht="15" customHeight="1" s="32">
      <c r="A603" s="46" t="inlineStr">
        <is>
          <t>R-HB-0602</t>
        </is>
      </c>
      <c r="B603" s="47" t="n">
        <v>45432</v>
      </c>
      <c r="C603" s="46" t="inlineStr">
        <is>
          <t>2024-05</t>
        </is>
      </c>
      <c r="D603" s="46" t="n">
        <v>2024</v>
      </c>
      <c r="E603" s="46" t="inlineStr">
        <is>
          <t>P-HB-003</t>
        </is>
      </c>
      <c r="F603" s="46" t="inlineStr">
        <is>
          <t>C-HB-04</t>
        </is>
      </c>
      <c r="G603" s="48" t="inlineStr">
        <is>
          <t>캐나다</t>
        </is>
      </c>
      <c r="H603" s="46" t="inlineStr">
        <is>
          <t>CA</t>
        </is>
      </c>
      <c r="I603" s="49" t="n">
        <v>6293</v>
      </c>
      <c r="J603" s="46" t="inlineStr">
        <is>
          <t>EA</t>
        </is>
      </c>
      <c r="K603" s="50" t="n">
        <v>4.09</v>
      </c>
      <c r="L603" s="50" t="n">
        <v>42283.31</v>
      </c>
      <c r="M603" s="46" t="inlineStr">
        <is>
          <t>USD</t>
        </is>
      </c>
      <c r="N603" s="46" t="inlineStr">
        <is>
          <t>FOB</t>
        </is>
      </c>
      <c r="O603" s="46" t="inlineStr">
        <is>
          <t>N</t>
        </is>
      </c>
      <c r="P603" s="50" t="n">
        <v>1364.7241</v>
      </c>
      <c r="Q603" s="49">
        <f>IF(OR(L603="",M603="",P603=""),"",L603*P603)</f>
        <v/>
      </c>
    </row>
    <row r="604" ht="15" customHeight="1" s="32">
      <c r="A604" s="46" t="inlineStr">
        <is>
          <t>R-HB-0603</t>
        </is>
      </c>
      <c r="B604" s="47" t="n">
        <v>45432</v>
      </c>
      <c r="C604" s="46" t="inlineStr">
        <is>
          <t>2024-05</t>
        </is>
      </c>
      <c r="D604" s="46" t="n">
        <v>2024</v>
      </c>
      <c r="E604" s="46" t="inlineStr">
        <is>
          <t>P-HB-004</t>
        </is>
      </c>
      <c r="F604" s="46" t="inlineStr">
        <is>
          <t>C-HB-04</t>
        </is>
      </c>
      <c r="G604" s="48" t="inlineStr">
        <is>
          <t>캐나다</t>
        </is>
      </c>
      <c r="H604" s="46" t="inlineStr">
        <is>
          <t>CA</t>
        </is>
      </c>
      <c r="I604" s="49" t="n">
        <v>1826</v>
      </c>
      <c r="J604" s="46" t="inlineStr">
        <is>
          <t>EA</t>
        </is>
      </c>
      <c r="K604" s="50" t="n">
        <v>2.01</v>
      </c>
      <c r="L604" s="50" t="n">
        <v>50961.09</v>
      </c>
      <c r="M604" s="46" t="inlineStr">
        <is>
          <t>USD</t>
        </is>
      </c>
      <c r="N604" s="46" t="inlineStr">
        <is>
          <t>FOB</t>
        </is>
      </c>
      <c r="O604" s="46" t="inlineStr">
        <is>
          <t>N</t>
        </is>
      </c>
      <c r="P604" s="50" t="n">
        <v>1364.7241</v>
      </c>
      <c r="Q604" s="49">
        <f>IF(OR(L604="",M604="",P604=""),"",L604*P604)</f>
        <v/>
      </c>
    </row>
    <row r="605" ht="15" customHeight="1" s="32">
      <c r="A605" s="46" t="inlineStr">
        <is>
          <t>R-HB-0604</t>
        </is>
      </c>
      <c r="B605" s="47" t="n">
        <v>45432</v>
      </c>
      <c r="C605" s="46" t="inlineStr">
        <is>
          <t>2024-05</t>
        </is>
      </c>
      <c r="D605" s="46" t="n">
        <v>2024</v>
      </c>
      <c r="E605" s="46" t="inlineStr">
        <is>
          <t>P-HB-003</t>
        </is>
      </c>
      <c r="F605" s="46" t="inlineStr">
        <is>
          <t>C-HB-07</t>
        </is>
      </c>
      <c r="G605" s="48" t="inlineStr">
        <is>
          <t>인도</t>
        </is>
      </c>
      <c r="H605" s="46" t="inlineStr">
        <is>
          <t>IN</t>
        </is>
      </c>
      <c r="I605" s="49" t="n">
        <v>28310</v>
      </c>
      <c r="J605" s="46" t="inlineStr">
        <is>
          <t>EA</t>
        </is>
      </c>
      <c r="K605" s="50" t="n">
        <v>18.4</v>
      </c>
      <c r="L605" s="50" t="n">
        <v>189168.35</v>
      </c>
      <c r="M605" s="46" t="inlineStr">
        <is>
          <t>USD</t>
        </is>
      </c>
      <c r="N605" s="46" t="inlineStr">
        <is>
          <t>FOB</t>
        </is>
      </c>
      <c r="O605" s="46" t="inlineStr">
        <is>
          <t>N</t>
        </is>
      </c>
      <c r="P605" s="50" t="n">
        <v>1364.7241</v>
      </c>
      <c r="Q605" s="49">
        <f>IF(OR(L605="",M605="",P605=""),"",L605*P605)</f>
        <v/>
      </c>
    </row>
    <row r="606" ht="15" customHeight="1" s="32">
      <c r="A606" s="46" t="inlineStr">
        <is>
          <t>R-HB-0605</t>
        </is>
      </c>
      <c r="B606" s="47" t="n">
        <v>45433</v>
      </c>
      <c r="C606" s="46" t="inlineStr">
        <is>
          <t>2024-05</t>
        </is>
      </c>
      <c r="D606" s="46" t="n">
        <v>2024</v>
      </c>
      <c r="E606" s="46" t="inlineStr">
        <is>
          <t>P-HB-003</t>
        </is>
      </c>
      <c r="F606" s="46" t="inlineStr">
        <is>
          <t>C-HB-05</t>
        </is>
      </c>
      <c r="G606" s="48" t="inlineStr">
        <is>
          <t>독일</t>
        </is>
      </c>
      <c r="H606" s="46" t="inlineStr">
        <is>
          <t>DE</t>
        </is>
      </c>
      <c r="I606" s="49" t="n">
        <v>58436</v>
      </c>
      <c r="J606" s="46" t="inlineStr">
        <is>
          <t>EA</t>
        </is>
      </c>
      <c r="K606" s="50" t="n">
        <v>37.98</v>
      </c>
      <c r="L606" s="50" t="n">
        <v>408964.06</v>
      </c>
      <c r="M606" s="46" t="inlineStr">
        <is>
          <t>USD</t>
        </is>
      </c>
      <c r="N606" s="46" t="inlineStr">
        <is>
          <t>FOB</t>
        </is>
      </c>
      <c r="O606" s="46" t="inlineStr">
        <is>
          <t>N</t>
        </is>
      </c>
      <c r="P606" s="50" t="n">
        <v>1364.7241</v>
      </c>
      <c r="Q606" s="49">
        <f>IF(OR(L606="",M606="",P606=""),"",L606*P606)</f>
        <v/>
      </c>
    </row>
    <row r="607" ht="15" customHeight="1" s="32">
      <c r="A607" s="46" t="inlineStr">
        <is>
          <t>R-HB-0606</t>
        </is>
      </c>
      <c r="B607" s="47" t="n">
        <v>45435</v>
      </c>
      <c r="C607" s="46" t="inlineStr">
        <is>
          <t>2024-05</t>
        </is>
      </c>
      <c r="D607" s="46" t="n">
        <v>2024</v>
      </c>
      <c r="E607" s="46" t="inlineStr">
        <is>
          <t>P-HB-004</t>
        </is>
      </c>
      <c r="F607" s="46" t="inlineStr">
        <is>
          <t>C-HB-06</t>
        </is>
      </c>
      <c r="G607" s="48" t="inlineStr">
        <is>
          <t>베트남</t>
        </is>
      </c>
      <c r="H607" s="46" t="inlineStr">
        <is>
          <t>VN</t>
        </is>
      </c>
      <c r="I607" s="49" t="n">
        <v>10039</v>
      </c>
      <c r="J607" s="46" t="inlineStr">
        <is>
          <t>EA</t>
        </is>
      </c>
      <c r="K607" s="50" t="n">
        <v>11.04</v>
      </c>
      <c r="L607" s="50" t="n">
        <v>290625.23</v>
      </c>
      <c r="M607" s="46" t="inlineStr">
        <is>
          <t>USD</t>
        </is>
      </c>
      <c r="N607" s="46" t="inlineStr">
        <is>
          <t>FOB</t>
        </is>
      </c>
      <c r="O607" s="46" t="inlineStr">
        <is>
          <t>N</t>
        </is>
      </c>
      <c r="P607" s="50" t="n">
        <v>1364.7241</v>
      </c>
      <c r="Q607" s="49">
        <f>IF(OR(L607="",M607="",P607=""),"",L607*P607)</f>
        <v/>
      </c>
    </row>
    <row r="608" ht="15" customHeight="1" s="32">
      <c r="A608" s="46" t="inlineStr">
        <is>
          <t>R-HB-0607</t>
        </is>
      </c>
      <c r="B608" s="47" t="n">
        <v>45435</v>
      </c>
      <c r="C608" s="46" t="inlineStr">
        <is>
          <t>2024-05</t>
        </is>
      </c>
      <c r="D608" s="46" t="n">
        <v>2024</v>
      </c>
      <c r="E608" s="46" t="inlineStr">
        <is>
          <t>P-HB-004</t>
        </is>
      </c>
      <c r="F608" s="46" t="inlineStr">
        <is>
          <t>C-HB-08</t>
        </is>
      </c>
      <c r="G608" s="48" t="inlineStr">
        <is>
          <t>중국</t>
        </is>
      </c>
      <c r="H608" s="46" t="inlineStr">
        <is>
          <t>CN</t>
        </is>
      </c>
      <c r="I608" s="49" t="n">
        <v>20875</v>
      </c>
      <c r="J608" s="46" t="inlineStr">
        <is>
          <t>EA</t>
        </is>
      </c>
      <c r="K608" s="50" t="n">
        <v>22.96</v>
      </c>
      <c r="L608" s="50" t="n">
        <v>597241.3199999999</v>
      </c>
      <c r="M608" s="46" t="inlineStr">
        <is>
          <t>USD</t>
        </is>
      </c>
      <c r="N608" s="46" t="inlineStr">
        <is>
          <t>FOB</t>
        </is>
      </c>
      <c r="O608" s="46" t="inlineStr">
        <is>
          <t>N</t>
        </is>
      </c>
      <c r="P608" s="50" t="n">
        <v>1364.7241</v>
      </c>
      <c r="Q608" s="49">
        <f>IF(OR(L608="",M608="",P608=""),"",L608*P608)</f>
        <v/>
      </c>
    </row>
    <row r="609" ht="15" customHeight="1" s="32">
      <c r="A609" s="46" t="inlineStr">
        <is>
          <t>R-HB-0608</t>
        </is>
      </c>
      <c r="B609" s="47" t="n">
        <v>45436</v>
      </c>
      <c r="C609" s="46" t="inlineStr">
        <is>
          <t>2024-05</t>
        </is>
      </c>
      <c r="D609" s="46" t="n">
        <v>2024</v>
      </c>
      <c r="E609" s="46" t="inlineStr">
        <is>
          <t>P-HB-001</t>
        </is>
      </c>
      <c r="F609" s="46" t="inlineStr">
        <is>
          <t>C-HB-05</t>
        </is>
      </c>
      <c r="G609" s="48" t="inlineStr">
        <is>
          <t>독일</t>
        </is>
      </c>
      <c r="H609" s="46" t="inlineStr">
        <is>
          <t>DE</t>
        </is>
      </c>
      <c r="I609" s="49" t="n">
        <v>156522</v>
      </c>
      <c r="J609" s="46" t="inlineStr">
        <is>
          <t>EA</t>
        </is>
      </c>
      <c r="K609" s="50" t="n">
        <v>70.43000000000001</v>
      </c>
      <c r="L609" s="50" t="n">
        <v>746258.87</v>
      </c>
      <c r="M609" s="46" t="inlineStr">
        <is>
          <t>USD</t>
        </is>
      </c>
      <c r="N609" s="46" t="inlineStr">
        <is>
          <t>FOB</t>
        </is>
      </c>
      <c r="O609" s="46" t="inlineStr">
        <is>
          <t>N</t>
        </is>
      </c>
      <c r="P609" s="50" t="n">
        <v>1364.7241</v>
      </c>
      <c r="Q609" s="49">
        <f>IF(OR(L609="",M609="",P609=""),"",L609*P609)</f>
        <v/>
      </c>
    </row>
    <row r="610" ht="15" customHeight="1" s="32">
      <c r="A610" s="46" t="inlineStr">
        <is>
          <t>R-HB-0609</t>
        </is>
      </c>
      <c r="B610" s="47" t="n">
        <v>45437</v>
      </c>
      <c r="C610" s="46" t="inlineStr">
        <is>
          <t>2024-05</t>
        </is>
      </c>
      <c r="D610" s="46" t="n">
        <v>2024</v>
      </c>
      <c r="E610" s="46" t="inlineStr">
        <is>
          <t>P-HB-003</t>
        </is>
      </c>
      <c r="F610" s="46" t="inlineStr">
        <is>
          <t>C-HB-01</t>
        </is>
      </c>
      <c r="G610" s="48" t="inlineStr">
        <is>
          <t>미국</t>
        </is>
      </c>
      <c r="H610" s="46" t="inlineStr">
        <is>
          <t>US</t>
        </is>
      </c>
      <c r="I610" s="49" t="n">
        <v>75441</v>
      </c>
      <c r="J610" s="46" t="inlineStr">
        <is>
          <t>EA</t>
        </is>
      </c>
      <c r="K610" s="50" t="n">
        <v>49.04</v>
      </c>
      <c r="L610" s="50" t="n">
        <v>534883.49</v>
      </c>
      <c r="M610" s="46" t="inlineStr">
        <is>
          <t>USD</t>
        </is>
      </c>
      <c r="N610" s="46" t="inlineStr">
        <is>
          <t>FOB</t>
        </is>
      </c>
      <c r="O610" s="46" t="inlineStr">
        <is>
          <t>N</t>
        </is>
      </c>
      <c r="P610" s="50" t="n">
        <v>1364.7241</v>
      </c>
      <c r="Q610" s="49">
        <f>IF(OR(L610="",M610="",P610=""),"",L610*P610)</f>
        <v/>
      </c>
    </row>
    <row r="611" ht="15" customHeight="1" s="32">
      <c r="A611" s="46" t="inlineStr">
        <is>
          <t>R-HB-0610</t>
        </is>
      </c>
      <c r="B611" s="47" t="n">
        <v>45438</v>
      </c>
      <c r="C611" s="46" t="inlineStr">
        <is>
          <t>2024-05</t>
        </is>
      </c>
      <c r="D611" s="46" t="n">
        <v>2024</v>
      </c>
      <c r="E611" s="46" t="inlineStr">
        <is>
          <t>P-HB-002</t>
        </is>
      </c>
      <c r="F611" s="46" t="inlineStr">
        <is>
          <t>C-HB-01</t>
        </is>
      </c>
      <c r="G611" s="48" t="inlineStr">
        <is>
          <t>미국</t>
        </is>
      </c>
      <c r="H611" s="46" t="inlineStr">
        <is>
          <t>US</t>
        </is>
      </c>
      <c r="I611" s="49" t="n">
        <v>734</v>
      </c>
      <c r="J611" s="46" t="inlineStr">
        <is>
          <t>EA</t>
        </is>
      </c>
      <c r="K611" s="50" t="n">
        <v>1.61</v>
      </c>
      <c r="L611" s="50" t="n">
        <v>245487</v>
      </c>
      <c r="M611" s="46" t="inlineStr">
        <is>
          <t>USD</t>
        </is>
      </c>
      <c r="N611" s="46" t="inlineStr">
        <is>
          <t>FOB</t>
        </is>
      </c>
      <c r="O611" s="46" t="inlineStr">
        <is>
          <t>N</t>
        </is>
      </c>
      <c r="P611" s="50" t="n">
        <v>1364.7241</v>
      </c>
      <c r="Q611" s="49">
        <f>IF(OR(L611="",M611="",P611=""),"",L611*P611)</f>
        <v/>
      </c>
    </row>
    <row r="612" ht="15" customHeight="1" s="32">
      <c r="A612" s="46" t="inlineStr">
        <is>
          <t>R-HB-0611</t>
        </is>
      </c>
      <c r="B612" s="47" t="n">
        <v>45438</v>
      </c>
      <c r="C612" s="46" t="inlineStr">
        <is>
          <t>2024-05</t>
        </is>
      </c>
      <c r="D612" s="46" t="n">
        <v>2024</v>
      </c>
      <c r="E612" s="46" t="inlineStr">
        <is>
          <t>P-HB-004</t>
        </is>
      </c>
      <c r="F612" s="46" t="inlineStr">
        <is>
          <t>C-HB-03</t>
        </is>
      </c>
      <c r="G612" s="48" t="inlineStr">
        <is>
          <t>멕시코</t>
        </is>
      </c>
      <c r="H612" s="46" t="inlineStr">
        <is>
          <t>MX</t>
        </is>
      </c>
      <c r="I612" s="49" t="n">
        <v>3394</v>
      </c>
      <c r="J612" s="46" t="inlineStr">
        <is>
          <t>EA</t>
        </is>
      </c>
      <c r="K612" s="50" t="n">
        <v>3.73</v>
      </c>
      <c r="L612" s="50" t="n">
        <v>93170.53999999999</v>
      </c>
      <c r="M612" s="46" t="inlineStr">
        <is>
          <t>USD</t>
        </is>
      </c>
      <c r="N612" s="46" t="inlineStr">
        <is>
          <t>FOB</t>
        </is>
      </c>
      <c r="O612" s="46" t="inlineStr">
        <is>
          <t>N</t>
        </is>
      </c>
      <c r="P612" s="50" t="n">
        <v>1364.7241</v>
      </c>
      <c r="Q612" s="49">
        <f>IF(OR(L612="",M612="",P612=""),"",L612*P612)</f>
        <v/>
      </c>
    </row>
    <row r="613" ht="15" customHeight="1" s="32">
      <c r="A613" s="46" t="inlineStr">
        <is>
          <t>R-HB-0612</t>
        </is>
      </c>
      <c r="B613" s="47" t="n">
        <v>45438</v>
      </c>
      <c r="C613" s="46" t="inlineStr">
        <is>
          <t>2024-05</t>
        </is>
      </c>
      <c r="D613" s="46" t="n">
        <v>2024</v>
      </c>
      <c r="E613" s="46" t="inlineStr">
        <is>
          <t>P-HB-002</t>
        </is>
      </c>
      <c r="F613" s="46" t="inlineStr">
        <is>
          <t>C-HB-04</t>
        </is>
      </c>
      <c r="G613" s="48" t="inlineStr">
        <is>
          <t>캐나다</t>
        </is>
      </c>
      <c r="H613" s="46" t="inlineStr">
        <is>
          <t>CA</t>
        </is>
      </c>
      <c r="I613" s="49" t="n">
        <v>63</v>
      </c>
      <c r="J613" s="46" t="inlineStr">
        <is>
          <t>EA</t>
        </is>
      </c>
      <c r="K613" s="50" t="n">
        <v>0.14</v>
      </c>
      <c r="L613" s="50" t="n">
        <v>21608.34</v>
      </c>
      <c r="M613" s="46" t="inlineStr">
        <is>
          <t>USD</t>
        </is>
      </c>
      <c r="N613" s="46" t="inlineStr">
        <is>
          <t>FOB</t>
        </is>
      </c>
      <c r="O613" s="46" t="inlineStr">
        <is>
          <t>N</t>
        </is>
      </c>
      <c r="P613" s="50" t="n">
        <v>1364.7241</v>
      </c>
      <c r="Q613" s="49">
        <f>IF(OR(L613="",M613="",P613=""),"",L613*P613)</f>
        <v/>
      </c>
    </row>
    <row r="614" ht="15" customHeight="1" s="32">
      <c r="A614" s="46" t="inlineStr">
        <is>
          <t>R-HB-0613</t>
        </is>
      </c>
      <c r="B614" s="47" t="n">
        <v>45446</v>
      </c>
      <c r="C614" s="46" t="inlineStr">
        <is>
          <t>2024-06</t>
        </is>
      </c>
      <c r="D614" s="46" t="n">
        <v>2024</v>
      </c>
      <c r="E614" s="46" t="inlineStr">
        <is>
          <t>P-HB-002</t>
        </is>
      </c>
      <c r="F614" s="46" t="inlineStr">
        <is>
          <t>C-HB-02</t>
        </is>
      </c>
      <c r="G614" s="48" t="inlineStr">
        <is>
          <t>미국</t>
        </is>
      </c>
      <c r="H614" s="46" t="inlineStr">
        <is>
          <t>US</t>
        </is>
      </c>
      <c r="I614" s="49" t="n">
        <v>352</v>
      </c>
      <c r="J614" s="46" t="inlineStr">
        <is>
          <t>EA</t>
        </is>
      </c>
      <c r="K614" s="50" t="n">
        <v>0.77</v>
      </c>
      <c r="L614" s="50" t="n">
        <v>123897.48</v>
      </c>
      <c r="M614" s="46" t="inlineStr">
        <is>
          <t>USD</t>
        </is>
      </c>
      <c r="N614" s="46" t="inlineStr">
        <is>
          <t>FOB</t>
        </is>
      </c>
      <c r="O614" s="46" t="inlineStr">
        <is>
          <t>N</t>
        </is>
      </c>
      <c r="P614" s="50" t="n">
        <v>1379.0526</v>
      </c>
      <c r="Q614" s="49">
        <f>IF(OR(L614="",M614="",P614=""),"",L614*P614)</f>
        <v/>
      </c>
    </row>
    <row r="615" ht="15" customHeight="1" s="32">
      <c r="A615" s="46" t="inlineStr">
        <is>
          <t>R-HB-0614</t>
        </is>
      </c>
      <c r="B615" s="47" t="n">
        <v>45447</v>
      </c>
      <c r="C615" s="46" t="inlineStr">
        <is>
          <t>2024-06</t>
        </is>
      </c>
      <c r="D615" s="46" t="n">
        <v>2024</v>
      </c>
      <c r="E615" s="46" t="inlineStr">
        <is>
          <t>P-HB-004</t>
        </is>
      </c>
      <c r="F615" s="46" t="inlineStr">
        <is>
          <t>C-HB-06</t>
        </is>
      </c>
      <c r="G615" s="48" t="inlineStr">
        <is>
          <t>베트남</t>
        </is>
      </c>
      <c r="H615" s="46" t="inlineStr">
        <is>
          <t>VN</t>
        </is>
      </c>
      <c r="I615" s="49" t="n">
        <v>12228</v>
      </c>
      <c r="J615" s="46" t="inlineStr">
        <is>
          <t>EA</t>
        </is>
      </c>
      <c r="K615" s="50" t="n">
        <v>13.45</v>
      </c>
      <c r="L615" s="50" t="n">
        <v>337690.4</v>
      </c>
      <c r="M615" s="46" t="inlineStr">
        <is>
          <t>USD</t>
        </is>
      </c>
      <c r="N615" s="46" t="inlineStr">
        <is>
          <t>FOB</t>
        </is>
      </c>
      <c r="O615" s="46" t="inlineStr">
        <is>
          <t>N</t>
        </is>
      </c>
      <c r="P615" s="50" t="n">
        <v>1379.0526</v>
      </c>
      <c r="Q615" s="49">
        <f>IF(OR(L615="",M615="",P615=""),"",L615*P615)</f>
        <v/>
      </c>
    </row>
    <row r="616" ht="15" customHeight="1" s="32">
      <c r="A616" s="46" t="inlineStr">
        <is>
          <t>R-HB-0615</t>
        </is>
      </c>
      <c r="B616" s="47" t="n">
        <v>45448</v>
      </c>
      <c r="C616" s="46" t="inlineStr">
        <is>
          <t>2024-06</t>
        </is>
      </c>
      <c r="D616" s="46" t="n">
        <v>2024</v>
      </c>
      <c r="E616" s="46" t="inlineStr">
        <is>
          <t>P-HB-001</t>
        </is>
      </c>
      <c r="F616" s="46" t="inlineStr">
        <is>
          <t>C-HB-02</t>
        </is>
      </c>
      <c r="G616" s="48" t="inlineStr">
        <is>
          <t>미국</t>
        </is>
      </c>
      <c r="H616" s="46" t="inlineStr">
        <is>
          <t>US</t>
        </is>
      </c>
      <c r="I616" s="49" t="n">
        <v>103834</v>
      </c>
      <c r="J616" s="46" t="inlineStr">
        <is>
          <t>EA</t>
        </is>
      </c>
      <c r="K616" s="50" t="n">
        <v>46.73</v>
      </c>
      <c r="L616" s="50" t="n">
        <v>527775.37</v>
      </c>
      <c r="M616" s="46" t="inlineStr">
        <is>
          <t>USD</t>
        </is>
      </c>
      <c r="N616" s="46" t="inlineStr">
        <is>
          <t>FOB</t>
        </is>
      </c>
      <c r="O616" s="46" t="inlineStr">
        <is>
          <t>N</t>
        </is>
      </c>
      <c r="P616" s="50" t="n">
        <v>1379.0526</v>
      </c>
      <c r="Q616" s="49">
        <f>IF(OR(L616="",M616="",P616=""),"",L616*P616)</f>
        <v/>
      </c>
    </row>
    <row r="617" ht="15" customHeight="1" s="32">
      <c r="A617" s="46" t="inlineStr">
        <is>
          <t>R-HB-0616</t>
        </is>
      </c>
      <c r="B617" s="47" t="n">
        <v>45449</v>
      </c>
      <c r="C617" s="46" t="inlineStr">
        <is>
          <t>2024-06</t>
        </is>
      </c>
      <c r="D617" s="46" t="n">
        <v>2024</v>
      </c>
      <c r="E617" s="46" t="inlineStr">
        <is>
          <t>P-HB-003</t>
        </is>
      </c>
      <c r="F617" s="46" t="inlineStr">
        <is>
          <t>C-HB-02</t>
        </is>
      </c>
      <c r="G617" s="48" t="inlineStr">
        <is>
          <t>미국</t>
        </is>
      </c>
      <c r="H617" s="46" t="inlineStr">
        <is>
          <t>US</t>
        </is>
      </c>
      <c r="I617" s="49" t="n">
        <v>35918</v>
      </c>
      <c r="J617" s="46" t="inlineStr">
        <is>
          <t>EA</t>
        </is>
      </c>
      <c r="K617" s="50" t="n">
        <v>23.35</v>
      </c>
      <c r="L617" s="50" t="n">
        <v>261794.96</v>
      </c>
      <c r="M617" s="46" t="inlineStr">
        <is>
          <t>USD</t>
        </is>
      </c>
      <c r="N617" s="46" t="inlineStr">
        <is>
          <t>FOB</t>
        </is>
      </c>
      <c r="O617" s="46" t="inlineStr">
        <is>
          <t>N</t>
        </is>
      </c>
      <c r="P617" s="50" t="n">
        <v>1379.0526</v>
      </c>
      <c r="Q617" s="49">
        <f>IF(OR(L617="",M617="",P617=""),"",L617*P617)</f>
        <v/>
      </c>
    </row>
    <row r="618" ht="15" customHeight="1" s="32">
      <c r="A618" s="46" t="inlineStr">
        <is>
          <t>R-HB-0617</t>
        </is>
      </c>
      <c r="B618" s="47" t="n">
        <v>45449</v>
      </c>
      <c r="C618" s="46" t="inlineStr">
        <is>
          <t>2024-06</t>
        </is>
      </c>
      <c r="D618" s="46" t="n">
        <v>2024</v>
      </c>
      <c r="E618" s="46" t="inlineStr">
        <is>
          <t>P-HB-001</t>
        </is>
      </c>
      <c r="F618" s="46" t="inlineStr">
        <is>
          <t>C-HB-03</t>
        </is>
      </c>
      <c r="G618" s="48" t="inlineStr">
        <is>
          <t>멕시코</t>
        </is>
      </c>
      <c r="H618" s="46" t="inlineStr">
        <is>
          <t>MX</t>
        </is>
      </c>
      <c r="I618" s="49" t="n">
        <v>38501</v>
      </c>
      <c r="J618" s="46" t="inlineStr">
        <is>
          <t>EA</t>
        </is>
      </c>
      <c r="K618" s="50" t="n">
        <v>17.33</v>
      </c>
      <c r="L618" s="50" t="n">
        <v>189074.72</v>
      </c>
      <c r="M618" s="46" t="inlineStr">
        <is>
          <t>USD</t>
        </is>
      </c>
      <c r="N618" s="46" t="inlineStr">
        <is>
          <t>FOB</t>
        </is>
      </c>
      <c r="O618" s="46" t="inlineStr">
        <is>
          <t>N</t>
        </is>
      </c>
      <c r="P618" s="50" t="n">
        <v>1379.0526</v>
      </c>
      <c r="Q618" s="49">
        <f>IF(OR(L618="",M618="",P618=""),"",L618*P618)</f>
        <v/>
      </c>
    </row>
    <row r="619" ht="15" customHeight="1" s="32">
      <c r="A619" s="46" t="inlineStr">
        <is>
          <t>R-HB-0618</t>
        </is>
      </c>
      <c r="B619" s="47" t="n">
        <v>45449</v>
      </c>
      <c r="C619" s="46" t="inlineStr">
        <is>
          <t>2024-06</t>
        </is>
      </c>
      <c r="D619" s="46" t="n">
        <v>2024</v>
      </c>
      <c r="E619" s="46" t="inlineStr">
        <is>
          <t>P-HB-001</t>
        </is>
      </c>
      <c r="F619" s="46" t="inlineStr">
        <is>
          <t>C-HB-06</t>
        </is>
      </c>
      <c r="G619" s="48" t="inlineStr">
        <is>
          <t>베트남</t>
        </is>
      </c>
      <c r="H619" s="46" t="inlineStr">
        <is>
          <t>VN</t>
        </is>
      </c>
      <c r="I619" s="49" t="n">
        <v>115609</v>
      </c>
      <c r="J619" s="46" t="inlineStr">
        <is>
          <t>EA</t>
        </is>
      </c>
      <c r="K619" s="50" t="n">
        <v>52.02</v>
      </c>
      <c r="L619" s="50" t="n">
        <v>570331.71</v>
      </c>
      <c r="M619" s="46" t="inlineStr">
        <is>
          <t>USD</t>
        </is>
      </c>
      <c r="N619" s="46" t="inlineStr">
        <is>
          <t>FOB</t>
        </is>
      </c>
      <c r="O619" s="46" t="inlineStr">
        <is>
          <t>N</t>
        </is>
      </c>
      <c r="P619" s="50" t="n">
        <v>1379.0526</v>
      </c>
      <c r="Q619" s="49">
        <f>IF(OR(L619="",M619="",P619=""),"",L619*P619)</f>
        <v/>
      </c>
    </row>
    <row r="620" ht="15" customHeight="1" s="32">
      <c r="A620" s="46" t="inlineStr">
        <is>
          <t>R-HB-0619</t>
        </is>
      </c>
      <c r="B620" s="47" t="n">
        <v>45449</v>
      </c>
      <c r="C620" s="46" t="inlineStr">
        <is>
          <t>2024-06</t>
        </is>
      </c>
      <c r="D620" s="46" t="n">
        <v>2024</v>
      </c>
      <c r="E620" s="46" t="inlineStr">
        <is>
          <t>P-HB-001</t>
        </is>
      </c>
      <c r="F620" s="46" t="inlineStr">
        <is>
          <t>C-HB-08</t>
        </is>
      </c>
      <c r="G620" s="48" t="inlineStr">
        <is>
          <t>중국</t>
        </is>
      </c>
      <c r="H620" s="46" t="inlineStr">
        <is>
          <t>CN</t>
        </is>
      </c>
      <c r="I620" s="49" t="n">
        <v>237730</v>
      </c>
      <c r="J620" s="46" t="inlineStr">
        <is>
          <t>EA</t>
        </is>
      </c>
      <c r="K620" s="50" t="n">
        <v>106.98</v>
      </c>
      <c r="L620" s="50" t="n">
        <v>1205994.32</v>
      </c>
      <c r="M620" s="46" t="inlineStr">
        <is>
          <t>USD</t>
        </is>
      </c>
      <c r="N620" s="46" t="inlineStr">
        <is>
          <t>FOB</t>
        </is>
      </c>
      <c r="O620" s="46" t="inlineStr">
        <is>
          <t>N</t>
        </is>
      </c>
      <c r="P620" s="50" t="n">
        <v>1379.0526</v>
      </c>
      <c r="Q620" s="49">
        <f>IF(OR(L620="",M620="",P620=""),"",L620*P620)</f>
        <v/>
      </c>
    </row>
    <row r="621" ht="15" customHeight="1" s="32">
      <c r="A621" s="46" t="inlineStr">
        <is>
          <t>R-HB-0620</t>
        </is>
      </c>
      <c r="B621" s="47" t="n">
        <v>45449</v>
      </c>
      <c r="C621" s="46" t="inlineStr">
        <is>
          <t>2024-06</t>
        </is>
      </c>
      <c r="D621" s="46" t="n">
        <v>2024</v>
      </c>
      <c r="E621" s="46" t="inlineStr">
        <is>
          <t>P-HB-003</t>
        </is>
      </c>
      <c r="F621" s="46" t="inlineStr">
        <is>
          <t>C-HB-09</t>
        </is>
      </c>
      <c r="G621" s="48" t="inlineStr">
        <is>
          <t>중국</t>
        </is>
      </c>
      <c r="H621" s="46" t="inlineStr">
        <is>
          <t>CN</t>
        </is>
      </c>
      <c r="I621" s="49" t="n">
        <v>55972</v>
      </c>
      <c r="J621" s="46" t="inlineStr">
        <is>
          <t>EA</t>
        </is>
      </c>
      <c r="K621" s="50" t="n">
        <v>36.38</v>
      </c>
      <c r="L621" s="50" t="n">
        <v>406640.65</v>
      </c>
      <c r="M621" s="46" t="inlineStr">
        <is>
          <t>USD</t>
        </is>
      </c>
      <c r="N621" s="46" t="inlineStr">
        <is>
          <t>FOB</t>
        </is>
      </c>
      <c r="O621" s="46" t="inlineStr">
        <is>
          <t>N</t>
        </is>
      </c>
      <c r="P621" s="50" t="n">
        <v>1379.0526</v>
      </c>
      <c r="Q621" s="49">
        <f>IF(OR(L621="",M621="",P621=""),"",L621*P621)</f>
        <v/>
      </c>
    </row>
    <row r="622" ht="15" customHeight="1" s="32">
      <c r="A622" s="46" t="inlineStr">
        <is>
          <t>R-HB-0621</t>
        </is>
      </c>
      <c r="B622" s="47" t="n">
        <v>45450</v>
      </c>
      <c r="C622" s="46" t="inlineStr">
        <is>
          <t>2024-06</t>
        </is>
      </c>
      <c r="D622" s="46" t="n">
        <v>2024</v>
      </c>
      <c r="E622" s="46" t="inlineStr">
        <is>
          <t>P-HB-004</t>
        </is>
      </c>
      <c r="F622" s="46" t="inlineStr">
        <is>
          <t>C-HB-01</t>
        </is>
      </c>
      <c r="G622" s="48" t="inlineStr">
        <is>
          <t>미국</t>
        </is>
      </c>
      <c r="H622" s="46" t="inlineStr">
        <is>
          <t>US</t>
        </is>
      </c>
      <c r="I622" s="49" t="n">
        <v>19979</v>
      </c>
      <c r="J622" s="46" t="inlineStr">
        <is>
          <t>EA</t>
        </is>
      </c>
      <c r="K622" s="50" t="n">
        <v>21.98</v>
      </c>
      <c r="L622" s="50" t="n">
        <v>556449.6800000001</v>
      </c>
      <c r="M622" s="46" t="inlineStr">
        <is>
          <t>USD</t>
        </is>
      </c>
      <c r="N622" s="46" t="inlineStr">
        <is>
          <t>FOB</t>
        </is>
      </c>
      <c r="O622" s="46" t="inlineStr">
        <is>
          <t>N</t>
        </is>
      </c>
      <c r="P622" s="50" t="n">
        <v>1379.0526</v>
      </c>
      <c r="Q622" s="49">
        <f>IF(OR(L622="",M622="",P622=""),"",L622*P622)</f>
        <v/>
      </c>
    </row>
    <row r="623" ht="15" customHeight="1" s="32">
      <c r="A623" s="46" t="inlineStr">
        <is>
          <t>R-HB-0622</t>
        </is>
      </c>
      <c r="B623" s="47" t="n">
        <v>45451</v>
      </c>
      <c r="C623" s="46" t="inlineStr">
        <is>
          <t>2024-06</t>
        </is>
      </c>
      <c r="D623" s="46" t="n">
        <v>2024</v>
      </c>
      <c r="E623" s="46" t="inlineStr">
        <is>
          <t>P-HB-004</t>
        </is>
      </c>
      <c r="F623" s="46" t="inlineStr">
        <is>
          <t>C-HB-07</t>
        </is>
      </c>
      <c r="G623" s="48" t="inlineStr">
        <is>
          <t>인도</t>
        </is>
      </c>
      <c r="H623" s="46" t="inlineStr">
        <is>
          <t>IN</t>
        </is>
      </c>
      <c r="I623" s="49" t="n">
        <v>7387</v>
      </c>
      <c r="J623" s="46" t="inlineStr">
        <is>
          <t>EA</t>
        </is>
      </c>
      <c r="K623" s="50" t="n">
        <v>8.130000000000001</v>
      </c>
      <c r="L623" s="50" t="n">
        <v>214507.14</v>
      </c>
      <c r="M623" s="46" t="inlineStr">
        <is>
          <t>USD</t>
        </is>
      </c>
      <c r="N623" s="46" t="inlineStr">
        <is>
          <t>FOB</t>
        </is>
      </c>
      <c r="O623" s="46" t="inlineStr">
        <is>
          <t>N</t>
        </is>
      </c>
      <c r="P623" s="50" t="n">
        <v>1379.0526</v>
      </c>
      <c r="Q623" s="49">
        <f>IF(OR(L623="",M623="",P623=""),"",L623*P623)</f>
        <v/>
      </c>
    </row>
    <row r="624" ht="15" customHeight="1" s="32">
      <c r="A624" s="46" t="inlineStr">
        <is>
          <t>R-HB-0623</t>
        </is>
      </c>
      <c r="B624" s="47" t="n">
        <v>45452</v>
      </c>
      <c r="C624" s="46" t="inlineStr">
        <is>
          <t>2024-06</t>
        </is>
      </c>
      <c r="D624" s="46" t="n">
        <v>2024</v>
      </c>
      <c r="E624" s="46" t="inlineStr">
        <is>
          <t>P-HB-004</t>
        </is>
      </c>
      <c r="F624" s="46" t="inlineStr">
        <is>
          <t>C-HB-02</t>
        </is>
      </c>
      <c r="G624" s="48" t="inlineStr">
        <is>
          <t>미국</t>
        </is>
      </c>
      <c r="H624" s="46" t="inlineStr">
        <is>
          <t>US</t>
        </is>
      </c>
      <c r="I624" s="49" t="n">
        <v>11332</v>
      </c>
      <c r="J624" s="46" t="inlineStr">
        <is>
          <t>EA</t>
        </is>
      </c>
      <c r="K624" s="50" t="n">
        <v>12.47</v>
      </c>
      <c r="L624" s="50" t="n">
        <v>314500.74</v>
      </c>
      <c r="M624" s="46" t="inlineStr">
        <is>
          <t>USD</t>
        </is>
      </c>
      <c r="N624" s="46" t="inlineStr">
        <is>
          <t>FOB</t>
        </is>
      </c>
      <c r="O624" s="46" t="inlineStr">
        <is>
          <t>N</t>
        </is>
      </c>
      <c r="P624" s="50" t="n">
        <v>1379.0526</v>
      </c>
      <c r="Q624" s="49">
        <f>IF(OR(L624="",M624="",P624=""),"",L624*P624)</f>
        <v/>
      </c>
    </row>
    <row r="625" ht="15" customHeight="1" s="32">
      <c r="A625" s="46" t="inlineStr">
        <is>
          <t>R-HB-0624</t>
        </is>
      </c>
      <c r="B625" s="47" t="n">
        <v>45452</v>
      </c>
      <c r="C625" s="46" t="inlineStr">
        <is>
          <t>2024-06</t>
        </is>
      </c>
      <c r="D625" s="46" t="n">
        <v>2024</v>
      </c>
      <c r="E625" s="46" t="inlineStr">
        <is>
          <t>P-HB-002</t>
        </is>
      </c>
      <c r="F625" s="46" t="inlineStr">
        <is>
          <t>C-HB-04</t>
        </is>
      </c>
      <c r="G625" s="48" t="inlineStr">
        <is>
          <t>캐나다</t>
        </is>
      </c>
      <c r="H625" s="46" t="inlineStr">
        <is>
          <t>CA</t>
        </is>
      </c>
      <c r="I625" s="49" t="n">
        <v>60</v>
      </c>
      <c r="J625" s="46" t="inlineStr">
        <is>
          <t>EA</t>
        </is>
      </c>
      <c r="K625" s="50" t="n">
        <v>0.13</v>
      </c>
      <c r="L625" s="50" t="n">
        <v>20559.55</v>
      </c>
      <c r="M625" s="46" t="inlineStr">
        <is>
          <t>USD</t>
        </is>
      </c>
      <c r="N625" s="46" t="inlineStr">
        <is>
          <t>FOB</t>
        </is>
      </c>
      <c r="O625" s="46" t="inlineStr">
        <is>
          <t>N</t>
        </is>
      </c>
      <c r="P625" s="50" t="n">
        <v>1379.0526</v>
      </c>
      <c r="Q625" s="49">
        <f>IF(OR(L625="",M625="",P625=""),"",L625*P625)</f>
        <v/>
      </c>
    </row>
    <row r="626" ht="15" customHeight="1" s="32">
      <c r="A626" s="46" t="inlineStr">
        <is>
          <t>R-HB-0625</t>
        </is>
      </c>
      <c r="B626" s="47" t="n">
        <v>45452</v>
      </c>
      <c r="C626" s="46" t="inlineStr">
        <is>
          <t>2024-06</t>
        </is>
      </c>
      <c r="D626" s="46" t="n">
        <v>2024</v>
      </c>
      <c r="E626" s="46" t="inlineStr">
        <is>
          <t>P-HB-003</t>
        </is>
      </c>
      <c r="F626" s="46" t="inlineStr">
        <is>
          <t>C-HB-06</t>
        </is>
      </c>
      <c r="G626" s="48" t="inlineStr">
        <is>
          <t>베트남</t>
        </is>
      </c>
      <c r="H626" s="46" t="inlineStr">
        <is>
          <t>VN</t>
        </is>
      </c>
      <c r="I626" s="49" t="n">
        <v>38928</v>
      </c>
      <c r="J626" s="46" t="inlineStr">
        <is>
          <t>EA</t>
        </is>
      </c>
      <c r="K626" s="50" t="n">
        <v>25.3</v>
      </c>
      <c r="L626" s="50" t="n">
        <v>290310.15</v>
      </c>
      <c r="M626" s="46" t="inlineStr">
        <is>
          <t>USD</t>
        </is>
      </c>
      <c r="N626" s="46" t="inlineStr">
        <is>
          <t>FOB</t>
        </is>
      </c>
      <c r="O626" s="46" t="inlineStr">
        <is>
          <t>N</t>
        </is>
      </c>
      <c r="P626" s="50" t="n">
        <v>1379.0526</v>
      </c>
      <c r="Q626" s="49">
        <f>IF(OR(L626="",M626="",P626=""),"",L626*P626)</f>
        <v/>
      </c>
    </row>
    <row r="627" ht="15" customHeight="1" s="32">
      <c r="A627" s="46" t="inlineStr">
        <is>
          <t>R-HB-0626</t>
        </is>
      </c>
      <c r="B627" s="47" t="n">
        <v>45453</v>
      </c>
      <c r="C627" s="46" t="inlineStr">
        <is>
          <t>2024-06</t>
        </is>
      </c>
      <c r="D627" s="46" t="n">
        <v>2024</v>
      </c>
      <c r="E627" s="46" t="inlineStr">
        <is>
          <t>P-HB-002</t>
        </is>
      </c>
      <c r="F627" s="46" t="inlineStr">
        <is>
          <t>C-HB-01</t>
        </is>
      </c>
      <c r="G627" s="48" t="inlineStr">
        <is>
          <t>미국</t>
        </is>
      </c>
      <c r="H627" s="46" t="inlineStr">
        <is>
          <t>US</t>
        </is>
      </c>
      <c r="I627" s="49" t="n">
        <v>774</v>
      </c>
      <c r="J627" s="46" t="inlineStr">
        <is>
          <t>EA</t>
        </is>
      </c>
      <c r="K627" s="50" t="n">
        <v>1.7</v>
      </c>
      <c r="L627" s="50" t="n">
        <v>262854.68</v>
      </c>
      <c r="M627" s="46" t="inlineStr">
        <is>
          <t>USD</t>
        </is>
      </c>
      <c r="N627" s="46" t="inlineStr">
        <is>
          <t>FOB</t>
        </is>
      </c>
      <c r="O627" s="46" t="inlineStr">
        <is>
          <t>N</t>
        </is>
      </c>
      <c r="P627" s="50" t="n">
        <v>1379.0526</v>
      </c>
      <c r="Q627" s="49">
        <f>IF(OR(L627="",M627="",P627=""),"",L627*P627)</f>
        <v/>
      </c>
    </row>
    <row r="628" ht="15" customHeight="1" s="32">
      <c r="A628" s="46" t="inlineStr">
        <is>
          <t>R-HB-0627</t>
        </is>
      </c>
      <c r="B628" s="47" t="n">
        <v>45453</v>
      </c>
      <c r="C628" s="46" t="inlineStr">
        <is>
          <t>2024-06</t>
        </is>
      </c>
      <c r="D628" s="46" t="n">
        <v>2024</v>
      </c>
      <c r="E628" s="46" t="inlineStr">
        <is>
          <t>P-HB-004</t>
        </is>
      </c>
      <c r="F628" s="46" t="inlineStr">
        <is>
          <t>C-HB-05</t>
        </is>
      </c>
      <c r="G628" s="48" t="inlineStr">
        <is>
          <t>독일</t>
        </is>
      </c>
      <c r="H628" s="46" t="inlineStr">
        <is>
          <t>DE</t>
        </is>
      </c>
      <c r="I628" s="49" t="n">
        <v>16734</v>
      </c>
      <c r="J628" s="46" t="inlineStr">
        <is>
          <t>EA</t>
        </is>
      </c>
      <c r="K628" s="50" t="n">
        <v>18.41</v>
      </c>
      <c r="L628" s="50" t="n">
        <v>485255.03</v>
      </c>
      <c r="M628" s="46" t="inlineStr">
        <is>
          <t>USD</t>
        </is>
      </c>
      <c r="N628" s="46" t="inlineStr">
        <is>
          <t>FOB</t>
        </is>
      </c>
      <c r="O628" s="46" t="inlineStr">
        <is>
          <t>N</t>
        </is>
      </c>
      <c r="P628" s="50" t="n">
        <v>1379.0526</v>
      </c>
      <c r="Q628" s="49">
        <f>IF(OR(L628="",M628="",P628=""),"",L628*P628)</f>
        <v/>
      </c>
    </row>
    <row r="629" ht="15" customHeight="1" s="32">
      <c r="A629" s="46" t="inlineStr">
        <is>
          <t>R-HB-0628</t>
        </is>
      </c>
      <c r="B629" s="47" t="n">
        <v>45454</v>
      </c>
      <c r="C629" s="46" t="inlineStr">
        <is>
          <t>2024-06</t>
        </is>
      </c>
      <c r="D629" s="46" t="n">
        <v>2024</v>
      </c>
      <c r="E629" s="46" t="inlineStr">
        <is>
          <t>P-HB-003</t>
        </is>
      </c>
      <c r="F629" s="46" t="inlineStr">
        <is>
          <t>C-HB-08</t>
        </is>
      </c>
      <c r="G629" s="48" t="inlineStr">
        <is>
          <t>중국</t>
        </is>
      </c>
      <c r="H629" s="46" t="inlineStr">
        <is>
          <t>CN</t>
        </is>
      </c>
      <c r="I629" s="49" t="n">
        <v>77570</v>
      </c>
      <c r="J629" s="46" t="inlineStr">
        <is>
          <t>EA</t>
        </is>
      </c>
      <c r="K629" s="50" t="n">
        <v>50.42</v>
      </c>
      <c r="L629" s="50" t="n">
        <v>567400.98</v>
      </c>
      <c r="M629" s="46" t="inlineStr">
        <is>
          <t>USD</t>
        </is>
      </c>
      <c r="N629" s="46" t="inlineStr">
        <is>
          <t>FOB</t>
        </is>
      </c>
      <c r="O629" s="46" t="inlineStr">
        <is>
          <t>N</t>
        </is>
      </c>
      <c r="P629" s="50" t="n">
        <v>1379.0526</v>
      </c>
      <c r="Q629" s="49">
        <f>IF(OR(L629="",M629="",P629=""),"",L629*P629)</f>
        <v/>
      </c>
    </row>
    <row r="630" ht="15" customHeight="1" s="32">
      <c r="A630" s="46" t="inlineStr">
        <is>
          <t>R-HB-0629</t>
        </is>
      </c>
      <c r="B630" s="47" t="n">
        <v>45455</v>
      </c>
      <c r="C630" s="46" t="inlineStr">
        <is>
          <t>2024-06</t>
        </is>
      </c>
      <c r="D630" s="46" t="n">
        <v>2024</v>
      </c>
      <c r="E630" s="46" t="inlineStr">
        <is>
          <t>P-HB-003</t>
        </is>
      </c>
      <c r="F630" s="46" t="inlineStr">
        <is>
          <t>C-HB-01</t>
        </is>
      </c>
      <c r="G630" s="48" t="inlineStr">
        <is>
          <t>미국</t>
        </is>
      </c>
      <c r="H630" s="46" t="inlineStr">
        <is>
          <t>US</t>
        </is>
      </c>
      <c r="I630" s="49" t="n">
        <v>75036</v>
      </c>
      <c r="J630" s="46" t="inlineStr">
        <is>
          <t>EA</t>
        </is>
      </c>
      <c r="K630" s="50" t="n">
        <v>48.77</v>
      </c>
      <c r="L630" s="50" t="n">
        <v>540844.14</v>
      </c>
      <c r="M630" s="46" t="inlineStr">
        <is>
          <t>USD</t>
        </is>
      </c>
      <c r="N630" s="46" t="inlineStr">
        <is>
          <t>FOB</t>
        </is>
      </c>
      <c r="O630" s="46" t="inlineStr">
        <is>
          <t>N</t>
        </is>
      </c>
      <c r="P630" s="50" t="n">
        <v>1379.0526</v>
      </c>
      <c r="Q630" s="49">
        <f>IF(OR(L630="",M630="",P630=""),"",L630*P630)</f>
        <v/>
      </c>
    </row>
    <row r="631" ht="15" customHeight="1" s="32">
      <c r="A631" s="46" t="inlineStr">
        <is>
          <t>R-HB-0630</t>
        </is>
      </c>
      <c r="B631" s="47" t="n">
        <v>45455</v>
      </c>
      <c r="C631" s="46" t="inlineStr">
        <is>
          <t>2024-06</t>
        </is>
      </c>
      <c r="D631" s="46" t="n">
        <v>2024</v>
      </c>
      <c r="E631" s="46" t="inlineStr">
        <is>
          <t>P-HB-002</t>
        </is>
      </c>
      <c r="F631" s="46" t="inlineStr">
        <is>
          <t>C-HB-03</t>
        </is>
      </c>
      <c r="G631" s="48" t="inlineStr">
        <is>
          <t>멕시코</t>
        </is>
      </c>
      <c r="H631" s="46" t="inlineStr">
        <is>
          <t>MX</t>
        </is>
      </c>
      <c r="I631" s="49" t="n">
        <v>123</v>
      </c>
      <c r="J631" s="46" t="inlineStr">
        <is>
          <t>EA</t>
        </is>
      </c>
      <c r="K631" s="50" t="n">
        <v>0.27</v>
      </c>
      <c r="L631" s="50" t="n">
        <v>42629.28</v>
      </c>
      <c r="M631" s="46" t="inlineStr">
        <is>
          <t>USD</t>
        </is>
      </c>
      <c r="N631" s="46" t="inlineStr">
        <is>
          <t>FOB</t>
        </is>
      </c>
      <c r="O631" s="46" t="inlineStr">
        <is>
          <t>N</t>
        </is>
      </c>
      <c r="P631" s="50" t="n">
        <v>1379.0526</v>
      </c>
      <c r="Q631" s="49">
        <f>IF(OR(L631="",M631="",P631=""),"",L631*P631)</f>
        <v/>
      </c>
    </row>
    <row r="632" ht="15" customHeight="1" s="32">
      <c r="A632" s="46" t="inlineStr">
        <is>
          <t>R-HB-0631</t>
        </is>
      </c>
      <c r="B632" s="47" t="n">
        <v>45457</v>
      </c>
      <c r="C632" s="46" t="inlineStr">
        <is>
          <t>2024-06</t>
        </is>
      </c>
      <c r="D632" s="46" t="n">
        <v>2024</v>
      </c>
      <c r="E632" s="46" t="inlineStr">
        <is>
          <t>P-HB-003</t>
        </is>
      </c>
      <c r="F632" s="46" t="inlineStr">
        <is>
          <t>C-HB-03</t>
        </is>
      </c>
      <c r="G632" s="48" t="inlineStr">
        <is>
          <t>멕시코</t>
        </is>
      </c>
      <c r="H632" s="46" t="inlineStr">
        <is>
          <t>MX</t>
        </is>
      </c>
      <c r="I632" s="49" t="n">
        <v>12966</v>
      </c>
      <c r="J632" s="46" t="inlineStr">
        <is>
          <t>EA</t>
        </is>
      </c>
      <c r="K632" s="50" t="n">
        <v>8.43</v>
      </c>
      <c r="L632" s="50" t="n">
        <v>93988.31</v>
      </c>
      <c r="M632" s="46" t="inlineStr">
        <is>
          <t>USD</t>
        </is>
      </c>
      <c r="N632" s="46" t="inlineStr">
        <is>
          <t>FOB</t>
        </is>
      </c>
      <c r="O632" s="46" t="inlineStr">
        <is>
          <t>N</t>
        </is>
      </c>
      <c r="P632" s="50" t="n">
        <v>1379.0526</v>
      </c>
      <c r="Q632" s="49">
        <f>IF(OR(L632="",M632="",P632=""),"",L632*P632)</f>
        <v/>
      </c>
    </row>
    <row r="633" ht="15" customHeight="1" s="32">
      <c r="A633" s="46" t="inlineStr">
        <is>
          <t>R-HB-0632</t>
        </is>
      </c>
      <c r="B633" s="47" t="n">
        <v>45457</v>
      </c>
      <c r="C633" s="46" t="inlineStr">
        <is>
          <t>2024-06</t>
        </is>
      </c>
      <c r="D633" s="46" t="n">
        <v>2024</v>
      </c>
      <c r="E633" s="46" t="inlineStr">
        <is>
          <t>P-HB-004</t>
        </is>
      </c>
      <c r="F633" s="46" t="inlineStr">
        <is>
          <t>C-HB-03</t>
        </is>
      </c>
      <c r="G633" s="48" t="inlineStr">
        <is>
          <t>멕시코</t>
        </is>
      </c>
      <c r="H633" s="46" t="inlineStr">
        <is>
          <t>MX</t>
        </is>
      </c>
      <c r="I633" s="49" t="n">
        <v>3452</v>
      </c>
      <c r="J633" s="46" t="inlineStr">
        <is>
          <t>EA</t>
        </is>
      </c>
      <c r="K633" s="50" t="n">
        <v>3.8</v>
      </c>
      <c r="L633" s="50" t="n">
        <v>96637.47</v>
      </c>
      <c r="M633" s="46" t="inlineStr">
        <is>
          <t>USD</t>
        </is>
      </c>
      <c r="N633" s="46" t="inlineStr">
        <is>
          <t>FOB</t>
        </is>
      </c>
      <c r="O633" s="46" t="inlineStr">
        <is>
          <t>N</t>
        </is>
      </c>
      <c r="P633" s="50" t="n">
        <v>1379.0526</v>
      </c>
      <c r="Q633" s="49">
        <f>IF(OR(L633="",M633="",P633=""),"",L633*P633)</f>
        <v/>
      </c>
    </row>
    <row r="634" ht="15" customHeight="1" s="32">
      <c r="A634" s="46" t="inlineStr">
        <is>
          <t>R-HB-0633</t>
        </is>
      </c>
      <c r="B634" s="47" t="n">
        <v>45458</v>
      </c>
      <c r="C634" s="46" t="inlineStr">
        <is>
          <t>2024-06</t>
        </is>
      </c>
      <c r="D634" s="46" t="n">
        <v>2024</v>
      </c>
      <c r="E634" s="46" t="inlineStr">
        <is>
          <t>P-HB-001</t>
        </is>
      </c>
      <c r="F634" s="46" t="inlineStr">
        <is>
          <t>C-HB-07</t>
        </is>
      </c>
      <c r="G634" s="48" t="inlineStr">
        <is>
          <t>인도</t>
        </is>
      </c>
      <c r="H634" s="46" t="inlineStr">
        <is>
          <t>IN</t>
        </is>
      </c>
      <c r="I634" s="49" t="n">
        <v>78801</v>
      </c>
      <c r="J634" s="46" t="inlineStr">
        <is>
          <t>EA</t>
        </is>
      </c>
      <c r="K634" s="50" t="n">
        <v>35.46</v>
      </c>
      <c r="L634" s="50" t="n">
        <v>413839.29</v>
      </c>
      <c r="M634" s="46" t="inlineStr">
        <is>
          <t>USD</t>
        </is>
      </c>
      <c r="N634" s="46" t="inlineStr">
        <is>
          <t>FOB</t>
        </is>
      </c>
      <c r="O634" s="46" t="inlineStr">
        <is>
          <t>N</t>
        </is>
      </c>
      <c r="P634" s="50" t="n">
        <v>1379.0526</v>
      </c>
      <c r="Q634" s="49">
        <f>IF(OR(L634="",M634="",P634=""),"",L634*P634)</f>
        <v/>
      </c>
    </row>
    <row r="635" ht="15" customHeight="1" s="32">
      <c r="A635" s="46" t="inlineStr">
        <is>
          <t>R-HB-0634</t>
        </is>
      </c>
      <c r="B635" s="47" t="n">
        <v>45458</v>
      </c>
      <c r="C635" s="46" t="inlineStr">
        <is>
          <t>2024-06</t>
        </is>
      </c>
      <c r="D635" s="46" t="n">
        <v>2024</v>
      </c>
      <c r="E635" s="46" t="inlineStr">
        <is>
          <t>P-HB-004</t>
        </is>
      </c>
      <c r="F635" s="46" t="inlineStr">
        <is>
          <t>C-HB-09</t>
        </is>
      </c>
      <c r="G635" s="48" t="inlineStr">
        <is>
          <t>중국</t>
        </is>
      </c>
      <c r="H635" s="46" t="inlineStr">
        <is>
          <t>CN</t>
        </is>
      </c>
      <c r="I635" s="49" t="n">
        <v>13674</v>
      </c>
      <c r="J635" s="46" t="inlineStr">
        <is>
          <t>EA</t>
        </is>
      </c>
      <c r="K635" s="50" t="n">
        <v>15.04</v>
      </c>
      <c r="L635" s="50" t="n">
        <v>391442.09</v>
      </c>
      <c r="M635" s="46" t="inlineStr">
        <is>
          <t>USD</t>
        </is>
      </c>
      <c r="N635" s="46" t="inlineStr">
        <is>
          <t>FOB</t>
        </is>
      </c>
      <c r="O635" s="46" t="inlineStr">
        <is>
          <t>N</t>
        </is>
      </c>
      <c r="P635" s="50" t="n">
        <v>1379.0526</v>
      </c>
      <c r="Q635" s="49">
        <f>IF(OR(L635="",M635="",P635=""),"",L635*P635)</f>
        <v/>
      </c>
    </row>
    <row r="636" ht="15" customHeight="1" s="32">
      <c r="A636" s="46" t="inlineStr">
        <is>
          <t>R-HB-0635</t>
        </is>
      </c>
      <c r="B636" s="47" t="n">
        <v>45459</v>
      </c>
      <c r="C636" s="46" t="inlineStr">
        <is>
          <t>2024-06</t>
        </is>
      </c>
      <c r="D636" s="46" t="n">
        <v>2024</v>
      </c>
      <c r="E636" s="46" t="inlineStr">
        <is>
          <t>P-HB-001</t>
        </is>
      </c>
      <c r="F636" s="46" t="inlineStr">
        <is>
          <t>C-HB-09</t>
        </is>
      </c>
      <c r="G636" s="48" t="inlineStr">
        <is>
          <t>중국</t>
        </is>
      </c>
      <c r="H636" s="46" t="inlineStr">
        <is>
          <t>CN</t>
        </is>
      </c>
      <c r="I636" s="49" t="n">
        <v>140374</v>
      </c>
      <c r="J636" s="46" t="inlineStr">
        <is>
          <t>EA</t>
        </is>
      </c>
      <c r="K636" s="50" t="n">
        <v>63.17</v>
      </c>
      <c r="L636" s="50" t="n">
        <v>692102.26</v>
      </c>
      <c r="M636" s="46" t="inlineStr">
        <is>
          <t>USD</t>
        </is>
      </c>
      <c r="N636" s="46" t="inlineStr">
        <is>
          <t>FOB</t>
        </is>
      </c>
      <c r="O636" s="46" t="inlineStr">
        <is>
          <t>N</t>
        </is>
      </c>
      <c r="P636" s="50" t="n">
        <v>1379.0526</v>
      </c>
      <c r="Q636" s="49">
        <f>IF(OR(L636="",M636="",P636=""),"",L636*P636)</f>
        <v/>
      </c>
    </row>
    <row r="637" ht="15" customHeight="1" s="32">
      <c r="A637" s="46" t="inlineStr">
        <is>
          <t>R-HB-0636</t>
        </is>
      </c>
      <c r="B637" s="47" t="n">
        <v>45461</v>
      </c>
      <c r="C637" s="46" t="inlineStr">
        <is>
          <t>2024-06</t>
        </is>
      </c>
      <c r="D637" s="46" t="n">
        <v>2024</v>
      </c>
      <c r="E637" s="46" t="inlineStr">
        <is>
          <t>P-HB-001</t>
        </is>
      </c>
      <c r="F637" s="46" t="inlineStr">
        <is>
          <t>C-HB-04</t>
        </is>
      </c>
      <c r="G637" s="48" t="inlineStr">
        <is>
          <t>캐나다</t>
        </is>
      </c>
      <c r="H637" s="46" t="inlineStr">
        <is>
          <t>CA</t>
        </is>
      </c>
      <c r="I637" s="49" t="n">
        <v>17210</v>
      </c>
      <c r="J637" s="46" t="inlineStr">
        <is>
          <t>EA</t>
        </is>
      </c>
      <c r="K637" s="50" t="n">
        <v>7.74</v>
      </c>
      <c r="L637" s="50" t="n">
        <v>87797.21000000001</v>
      </c>
      <c r="M637" s="46" t="inlineStr">
        <is>
          <t>USD</t>
        </is>
      </c>
      <c r="N637" s="46" t="inlineStr">
        <is>
          <t>FOB</t>
        </is>
      </c>
      <c r="O637" s="46" t="inlineStr">
        <is>
          <t>N</t>
        </is>
      </c>
      <c r="P637" s="50" t="n">
        <v>1379.0526</v>
      </c>
      <c r="Q637" s="49">
        <f>IF(OR(L637="",M637="",P637=""),"",L637*P637)</f>
        <v/>
      </c>
    </row>
    <row r="638" ht="15" customHeight="1" s="32">
      <c r="A638" s="46" t="inlineStr">
        <is>
          <t>R-HB-0637</t>
        </is>
      </c>
      <c r="B638" s="47" t="n">
        <v>45461</v>
      </c>
      <c r="C638" s="46" t="inlineStr">
        <is>
          <t>2024-06</t>
        </is>
      </c>
      <c r="D638" s="46" t="n">
        <v>2024</v>
      </c>
      <c r="E638" s="46" t="inlineStr">
        <is>
          <t>P-HB-002</t>
        </is>
      </c>
      <c r="F638" s="46" t="inlineStr">
        <is>
          <t>C-HB-07</t>
        </is>
      </c>
      <c r="G638" s="48" t="inlineStr">
        <is>
          <t>인도</t>
        </is>
      </c>
      <c r="H638" s="46" t="inlineStr">
        <is>
          <t>IN</t>
        </is>
      </c>
      <c r="I638" s="49" t="n">
        <v>262</v>
      </c>
      <c r="J638" s="46" t="inlineStr">
        <is>
          <t>EA</t>
        </is>
      </c>
      <c r="K638" s="50" t="n">
        <v>0.58</v>
      </c>
      <c r="L638" s="50" t="n">
        <v>93932.64999999999</v>
      </c>
      <c r="M638" s="46" t="inlineStr">
        <is>
          <t>USD</t>
        </is>
      </c>
      <c r="N638" s="46" t="inlineStr">
        <is>
          <t>FOB</t>
        </is>
      </c>
      <c r="O638" s="46" t="inlineStr">
        <is>
          <t>N</t>
        </is>
      </c>
      <c r="P638" s="50" t="n">
        <v>1379.0526</v>
      </c>
      <c r="Q638" s="49">
        <f>IF(OR(L638="",M638="",P638=""),"",L638*P638)</f>
        <v/>
      </c>
    </row>
    <row r="639" ht="15" customHeight="1" s="32">
      <c r="A639" s="46" t="inlineStr">
        <is>
          <t>R-HB-0638</t>
        </is>
      </c>
      <c r="B639" s="47" t="n">
        <v>45461</v>
      </c>
      <c r="C639" s="46" t="inlineStr">
        <is>
          <t>2024-06</t>
        </is>
      </c>
      <c r="D639" s="46" t="n">
        <v>2024</v>
      </c>
      <c r="E639" s="46" t="inlineStr">
        <is>
          <t>P-HB-003</t>
        </is>
      </c>
      <c r="F639" s="46" t="inlineStr">
        <is>
          <t>C-HB-07</t>
        </is>
      </c>
      <c r="G639" s="48" t="inlineStr">
        <is>
          <t>인도</t>
        </is>
      </c>
      <c r="H639" s="46" t="inlineStr">
        <is>
          <t>IN</t>
        </is>
      </c>
      <c r="I639" s="49" t="n">
        <v>25411</v>
      </c>
      <c r="J639" s="46" t="inlineStr">
        <is>
          <t>EA</t>
        </is>
      </c>
      <c r="K639" s="50" t="n">
        <v>16.52</v>
      </c>
      <c r="L639" s="50" t="n">
        <v>188584.51</v>
      </c>
      <c r="M639" s="46" t="inlineStr">
        <is>
          <t>USD</t>
        </is>
      </c>
      <c r="N639" s="46" t="inlineStr">
        <is>
          <t>FOB</t>
        </is>
      </c>
      <c r="O639" s="46" t="inlineStr">
        <is>
          <t>N</t>
        </is>
      </c>
      <c r="P639" s="50" t="n">
        <v>1379.0526</v>
      </c>
      <c r="Q639" s="49">
        <f>IF(OR(L639="",M639="",P639=""),"",L639*P639)</f>
        <v/>
      </c>
    </row>
    <row r="640" ht="15" customHeight="1" s="32">
      <c r="A640" s="46" t="inlineStr">
        <is>
          <t>R-HB-0639</t>
        </is>
      </c>
      <c r="B640" s="47" t="n">
        <v>45461</v>
      </c>
      <c r="C640" s="46" t="inlineStr">
        <is>
          <t>2024-06</t>
        </is>
      </c>
      <c r="D640" s="46" t="n">
        <v>2024</v>
      </c>
      <c r="E640" s="46" t="inlineStr">
        <is>
          <t>P-HB-002</t>
        </is>
      </c>
      <c r="F640" s="46" t="inlineStr">
        <is>
          <t>C-HB-09</t>
        </is>
      </c>
      <c r="G640" s="48" t="inlineStr">
        <is>
          <t>중국</t>
        </is>
      </c>
      <c r="H640" s="46" t="inlineStr">
        <is>
          <t>CN</t>
        </is>
      </c>
      <c r="I640" s="49" t="n">
        <v>506</v>
      </c>
      <c r="J640" s="46" t="inlineStr">
        <is>
          <t>EA</t>
        </is>
      </c>
      <c r="K640" s="50" t="n">
        <v>1.11</v>
      </c>
      <c r="L640" s="50" t="n">
        <v>178891.44</v>
      </c>
      <c r="M640" s="46" t="inlineStr">
        <is>
          <t>USD</t>
        </is>
      </c>
      <c r="N640" s="46" t="inlineStr">
        <is>
          <t>FOB</t>
        </is>
      </c>
      <c r="O640" s="46" t="inlineStr">
        <is>
          <t>N</t>
        </is>
      </c>
      <c r="P640" s="50" t="n">
        <v>1379.0526</v>
      </c>
      <c r="Q640" s="49">
        <f>IF(OR(L640="",M640="",P640=""),"",L640*P640)</f>
        <v/>
      </c>
    </row>
    <row r="641" ht="15" customHeight="1" s="32">
      <c r="A641" s="46" t="inlineStr">
        <is>
          <t>R-HB-0640</t>
        </is>
      </c>
      <c r="B641" s="47" t="n">
        <v>45462</v>
      </c>
      <c r="C641" s="46" t="inlineStr">
        <is>
          <t>2024-06</t>
        </is>
      </c>
      <c r="D641" s="46" t="n">
        <v>2024</v>
      </c>
      <c r="E641" s="46" t="inlineStr">
        <is>
          <t>P-HB-002</t>
        </is>
      </c>
      <c r="F641" s="46" t="inlineStr">
        <is>
          <t>C-HB-06</t>
        </is>
      </c>
      <c r="G641" s="48" t="inlineStr">
        <is>
          <t>베트남</t>
        </is>
      </c>
      <c r="H641" s="46" t="inlineStr">
        <is>
          <t>VN</t>
        </is>
      </c>
      <c r="I641" s="49" t="n">
        <v>386</v>
      </c>
      <c r="J641" s="46" t="inlineStr">
        <is>
          <t>EA</t>
        </is>
      </c>
      <c r="K641" s="50" t="n">
        <v>0.85</v>
      </c>
      <c r="L641" s="50" t="n">
        <v>131026.26</v>
      </c>
      <c r="M641" s="46" t="inlineStr">
        <is>
          <t>USD</t>
        </is>
      </c>
      <c r="N641" s="46" t="inlineStr">
        <is>
          <t>FOB</t>
        </is>
      </c>
      <c r="O641" s="46" t="inlineStr">
        <is>
          <t>N</t>
        </is>
      </c>
      <c r="P641" s="50" t="n">
        <v>1379.0526</v>
      </c>
      <c r="Q641" s="49">
        <f>IF(OR(L641="",M641="",P641=""),"",L641*P641)</f>
        <v/>
      </c>
    </row>
    <row r="642" ht="15" customHeight="1" s="32">
      <c r="A642" s="46" t="inlineStr">
        <is>
          <t>R-HB-0641</t>
        </is>
      </c>
      <c r="B642" s="47" t="n">
        <v>45463</v>
      </c>
      <c r="C642" s="46" t="inlineStr">
        <is>
          <t>2024-06</t>
        </is>
      </c>
      <c r="D642" s="46" t="n">
        <v>2024</v>
      </c>
      <c r="E642" s="46" t="inlineStr">
        <is>
          <t>P-HB-001</t>
        </is>
      </c>
      <c r="F642" s="46" t="inlineStr">
        <is>
          <t>C-HB-05</t>
        </is>
      </c>
      <c r="G642" s="48" t="inlineStr">
        <is>
          <t>독일</t>
        </is>
      </c>
      <c r="H642" s="46" t="inlineStr">
        <is>
          <t>DE</t>
        </is>
      </c>
      <c r="I642" s="49" t="n">
        <v>177124</v>
      </c>
      <c r="J642" s="46" t="inlineStr">
        <is>
          <t>EA</t>
        </is>
      </c>
      <c r="K642" s="50" t="n">
        <v>79.70999999999999</v>
      </c>
      <c r="L642" s="50" t="n">
        <v>882499.67</v>
      </c>
      <c r="M642" s="46" t="inlineStr">
        <is>
          <t>USD</t>
        </is>
      </c>
      <c r="N642" s="46" t="inlineStr">
        <is>
          <t>FOB</t>
        </is>
      </c>
      <c r="O642" s="46" t="inlineStr">
        <is>
          <t>N</t>
        </is>
      </c>
      <c r="P642" s="50" t="n">
        <v>1379.0526</v>
      </c>
      <c r="Q642" s="49">
        <f>IF(OR(L642="",M642="",P642=""),"",L642*P642)</f>
        <v/>
      </c>
    </row>
    <row r="643" ht="15" customHeight="1" s="32">
      <c r="A643" s="46" t="inlineStr">
        <is>
          <t>R-HB-0642</t>
        </is>
      </c>
      <c r="B643" s="47" t="n">
        <v>45464</v>
      </c>
      <c r="C643" s="46" t="inlineStr">
        <is>
          <t>2024-06</t>
        </is>
      </c>
      <c r="D643" s="46" t="n">
        <v>2024</v>
      </c>
      <c r="E643" s="46" t="inlineStr">
        <is>
          <t>P-HB-002</t>
        </is>
      </c>
      <c r="F643" s="46" t="inlineStr">
        <is>
          <t>C-HB-05</t>
        </is>
      </c>
      <c r="G643" s="48" t="inlineStr">
        <is>
          <t>독일</t>
        </is>
      </c>
      <c r="H643" s="46" t="inlineStr">
        <is>
          <t>DE</t>
        </is>
      </c>
      <c r="I643" s="49" t="n">
        <v>560</v>
      </c>
      <c r="J643" s="46" t="inlineStr">
        <is>
          <t>EA</t>
        </is>
      </c>
      <c r="K643" s="50" t="n">
        <v>1.23</v>
      </c>
      <c r="L643" s="50" t="n">
        <v>204394.83</v>
      </c>
      <c r="M643" s="46" t="inlineStr">
        <is>
          <t>USD</t>
        </is>
      </c>
      <c r="N643" s="46" t="inlineStr">
        <is>
          <t>FOB</t>
        </is>
      </c>
      <c r="O643" s="46" t="inlineStr">
        <is>
          <t>N</t>
        </is>
      </c>
      <c r="P643" s="50" t="n">
        <v>1379.0526</v>
      </c>
      <c r="Q643" s="49">
        <f>IF(OR(L643="",M643="",P643=""),"",L643*P643)</f>
        <v/>
      </c>
    </row>
    <row r="644" ht="15" customHeight="1" s="32">
      <c r="A644" s="46" t="inlineStr">
        <is>
          <t>R-HB-0643</t>
        </is>
      </c>
      <c r="B644" s="47" t="n">
        <v>45466</v>
      </c>
      <c r="C644" s="46" t="inlineStr">
        <is>
          <t>2024-06</t>
        </is>
      </c>
      <c r="D644" s="46" t="n">
        <v>2024</v>
      </c>
      <c r="E644" s="46" t="inlineStr">
        <is>
          <t>P-HB-003</t>
        </is>
      </c>
      <c r="F644" s="46" t="inlineStr">
        <is>
          <t>C-HB-05</t>
        </is>
      </c>
      <c r="G644" s="48" t="inlineStr">
        <is>
          <t>독일</t>
        </is>
      </c>
      <c r="H644" s="46" t="inlineStr">
        <is>
          <t>DE</t>
        </is>
      </c>
      <c r="I644" s="49" t="n">
        <v>59408</v>
      </c>
      <c r="J644" s="46" t="inlineStr">
        <is>
          <t>EA</t>
        </is>
      </c>
      <c r="K644" s="50" t="n">
        <v>38.62</v>
      </c>
      <c r="L644" s="50" t="n">
        <v>424060.95</v>
      </c>
      <c r="M644" s="46" t="inlineStr">
        <is>
          <t>USD</t>
        </is>
      </c>
      <c r="N644" s="46" t="inlineStr">
        <is>
          <t>FOB</t>
        </is>
      </c>
      <c r="O644" s="46" t="inlineStr">
        <is>
          <t>N</t>
        </is>
      </c>
      <c r="P644" s="50" t="n">
        <v>1379.0526</v>
      </c>
      <c r="Q644" s="49">
        <f>IF(OR(L644="",M644="",P644=""),"",L644*P644)</f>
        <v/>
      </c>
    </row>
    <row r="645" ht="15" customHeight="1" s="32">
      <c r="A645" s="46" t="inlineStr">
        <is>
          <t>R-HB-0644</t>
        </is>
      </c>
      <c r="B645" s="47" t="n">
        <v>45466</v>
      </c>
      <c r="C645" s="46" t="inlineStr">
        <is>
          <t>2024-06</t>
        </is>
      </c>
      <c r="D645" s="46" t="n">
        <v>2024</v>
      </c>
      <c r="E645" s="46" t="inlineStr">
        <is>
          <t>P-HB-004</t>
        </is>
      </c>
      <c r="F645" s="46" t="inlineStr">
        <is>
          <t>C-HB-08</t>
        </is>
      </c>
      <c r="G645" s="48" t="inlineStr">
        <is>
          <t>중국</t>
        </is>
      </c>
      <c r="H645" s="46" t="inlineStr">
        <is>
          <t>CN</t>
        </is>
      </c>
      <c r="I645" s="49" t="n">
        <v>23631</v>
      </c>
      <c r="J645" s="46" t="inlineStr">
        <is>
          <t>EA</t>
        </is>
      </c>
      <c r="K645" s="50" t="n">
        <v>25.99</v>
      </c>
      <c r="L645" s="50" t="n">
        <v>663671.58</v>
      </c>
      <c r="M645" s="46" t="inlineStr">
        <is>
          <t>USD</t>
        </is>
      </c>
      <c r="N645" s="46" t="inlineStr">
        <is>
          <t>FOB</t>
        </is>
      </c>
      <c r="O645" s="46" t="inlineStr">
        <is>
          <t>N</t>
        </is>
      </c>
      <c r="P645" s="50" t="n">
        <v>1379.0526</v>
      </c>
      <c r="Q645" s="49">
        <f>IF(OR(L645="",M645="",P645=""),"",L645*P645)</f>
        <v/>
      </c>
    </row>
    <row r="646" ht="15" customHeight="1" s="32">
      <c r="A646" s="46" t="inlineStr">
        <is>
          <t>R-HB-0645</t>
        </is>
      </c>
      <c r="B646" s="47" t="n">
        <v>45469</v>
      </c>
      <c r="C646" s="46" t="inlineStr">
        <is>
          <t>2024-06</t>
        </is>
      </c>
      <c r="D646" s="46" t="n">
        <v>2024</v>
      </c>
      <c r="E646" s="46" t="inlineStr">
        <is>
          <t>P-HB-003</t>
        </is>
      </c>
      <c r="F646" s="46" t="inlineStr">
        <is>
          <t>C-HB-04</t>
        </is>
      </c>
      <c r="G646" s="48" t="inlineStr">
        <is>
          <t>캐나다</t>
        </is>
      </c>
      <c r="H646" s="46" t="inlineStr">
        <is>
          <t>CA</t>
        </is>
      </c>
      <c r="I646" s="49" t="n">
        <v>5838</v>
      </c>
      <c r="J646" s="46" t="inlineStr">
        <is>
          <t>EA</t>
        </is>
      </c>
      <c r="K646" s="50" t="n">
        <v>3.79</v>
      </c>
      <c r="L646" s="50" t="n">
        <v>43594.75</v>
      </c>
      <c r="M646" s="46" t="inlineStr">
        <is>
          <t>USD</t>
        </is>
      </c>
      <c r="N646" s="46" t="inlineStr">
        <is>
          <t>FOB</t>
        </is>
      </c>
      <c r="O646" s="46" t="inlineStr">
        <is>
          <t>N</t>
        </is>
      </c>
      <c r="P646" s="50" t="n">
        <v>1379.0526</v>
      </c>
      <c r="Q646" s="49">
        <f>IF(OR(L646="",M646="",P646=""),"",L646*P646)</f>
        <v/>
      </c>
    </row>
    <row r="647" ht="15" customHeight="1" s="32">
      <c r="A647" s="46" t="inlineStr">
        <is>
          <t>R-HB-0646</t>
        </is>
      </c>
      <c r="B647" s="47" t="n">
        <v>45469</v>
      </c>
      <c r="C647" s="46" t="inlineStr">
        <is>
          <t>2024-06</t>
        </is>
      </c>
      <c r="D647" s="46" t="n">
        <v>2024</v>
      </c>
      <c r="E647" s="46" t="inlineStr">
        <is>
          <t>P-HB-002</t>
        </is>
      </c>
      <c r="F647" s="46" t="inlineStr">
        <is>
          <t>C-HB-08</t>
        </is>
      </c>
      <c r="G647" s="48" t="inlineStr">
        <is>
          <t>중국</t>
        </is>
      </c>
      <c r="H647" s="46" t="inlineStr">
        <is>
          <t>CN</t>
        </is>
      </c>
      <c r="I647" s="49" t="n">
        <v>817</v>
      </c>
      <c r="J647" s="46" t="inlineStr">
        <is>
          <t>EA</t>
        </is>
      </c>
      <c r="K647" s="50" t="n">
        <v>1.8</v>
      </c>
      <c r="L647" s="50" t="n">
        <v>276606.56</v>
      </c>
      <c r="M647" s="46" t="inlineStr">
        <is>
          <t>USD</t>
        </is>
      </c>
      <c r="N647" s="46" t="inlineStr">
        <is>
          <t>FOB</t>
        </is>
      </c>
      <c r="O647" s="46" t="inlineStr">
        <is>
          <t>N</t>
        </is>
      </c>
      <c r="P647" s="50" t="n">
        <v>1379.0526</v>
      </c>
      <c r="Q647" s="49">
        <f>IF(OR(L647="",M647="",P647=""),"",L647*P647)</f>
        <v/>
      </c>
    </row>
    <row r="648" ht="15" customHeight="1" s="32">
      <c r="A648" s="46" t="inlineStr">
        <is>
          <t>R-HB-0647</t>
        </is>
      </c>
      <c r="B648" s="47" t="n">
        <v>45470</v>
      </c>
      <c r="C648" s="46" t="inlineStr">
        <is>
          <t>2024-06</t>
        </is>
      </c>
      <c r="D648" s="46" t="n">
        <v>2024</v>
      </c>
      <c r="E648" s="46" t="inlineStr">
        <is>
          <t>P-HB-001</t>
        </is>
      </c>
      <c r="F648" s="46" t="inlineStr">
        <is>
          <t>C-HB-01</t>
        </is>
      </c>
      <c r="G648" s="48" t="inlineStr">
        <is>
          <t>미국</t>
        </is>
      </c>
      <c r="H648" s="46" t="inlineStr">
        <is>
          <t>US</t>
        </is>
      </c>
      <c r="I648" s="49" t="n">
        <v>191588</v>
      </c>
      <c r="J648" s="46" t="inlineStr">
        <is>
          <t>EA</t>
        </is>
      </c>
      <c r="K648" s="50" t="n">
        <v>86.20999999999999</v>
      </c>
      <c r="L648" s="50" t="n">
        <v>1012776.18</v>
      </c>
      <c r="M648" s="46" t="inlineStr">
        <is>
          <t>USD</t>
        </is>
      </c>
      <c r="N648" s="46" t="inlineStr">
        <is>
          <t>FOB</t>
        </is>
      </c>
      <c r="O648" s="46" t="inlineStr">
        <is>
          <t>N</t>
        </is>
      </c>
      <c r="P648" s="50" t="n">
        <v>1379.0526</v>
      </c>
      <c r="Q648" s="49">
        <f>IF(OR(L648="",M648="",P648=""),"",L648*P648)</f>
        <v/>
      </c>
    </row>
    <row r="649" ht="15" customHeight="1" s="32">
      <c r="A649" s="46" t="inlineStr">
        <is>
          <t>R-HB-0648</t>
        </is>
      </c>
      <c r="B649" s="47" t="n">
        <v>45470</v>
      </c>
      <c r="C649" s="46" t="inlineStr">
        <is>
          <t>2024-06</t>
        </is>
      </c>
      <c r="D649" s="46" t="n">
        <v>2024</v>
      </c>
      <c r="E649" s="46" t="inlineStr">
        <is>
          <t>P-HB-004</t>
        </is>
      </c>
      <c r="F649" s="46" t="inlineStr">
        <is>
          <t>C-HB-04</t>
        </is>
      </c>
      <c r="G649" s="48" t="inlineStr">
        <is>
          <t>캐나다</t>
        </is>
      </c>
      <c r="H649" s="46" t="inlineStr">
        <is>
          <t>CA</t>
        </is>
      </c>
      <c r="I649" s="49" t="n">
        <v>1641</v>
      </c>
      <c r="J649" s="46" t="inlineStr">
        <is>
          <t>EA</t>
        </is>
      </c>
      <c r="K649" s="50" t="n">
        <v>1.81</v>
      </c>
      <c r="L649" s="50" t="n">
        <v>46459.72</v>
      </c>
      <c r="M649" s="46" t="inlineStr">
        <is>
          <t>USD</t>
        </is>
      </c>
      <c r="N649" s="46" t="inlineStr">
        <is>
          <t>FOB</t>
        </is>
      </c>
      <c r="O649" s="46" t="inlineStr">
        <is>
          <t>N</t>
        </is>
      </c>
      <c r="P649" s="50" t="n">
        <v>1379.0526</v>
      </c>
      <c r="Q649" s="49">
        <f>IF(OR(L649="",M649="",P649=""),"",L649*P649)</f>
        <v/>
      </c>
    </row>
    <row r="650" ht="15" customHeight="1" s="32">
      <c r="A650" s="46" t="inlineStr">
        <is>
          <t>R-HB-0649</t>
        </is>
      </c>
      <c r="B650" s="47" t="n">
        <v>45476</v>
      </c>
      <c r="C650" s="46" t="inlineStr">
        <is>
          <t>2024-07</t>
        </is>
      </c>
      <c r="D650" s="46" t="n">
        <v>2024</v>
      </c>
      <c r="E650" s="46" t="inlineStr">
        <is>
          <t>P-HB-002</t>
        </is>
      </c>
      <c r="F650" s="46" t="inlineStr">
        <is>
          <t>C-HB-04</t>
        </is>
      </c>
      <c r="G650" s="48" t="inlineStr">
        <is>
          <t>캐나다</t>
        </is>
      </c>
      <c r="H650" s="46" t="inlineStr">
        <is>
          <t>CA</t>
        </is>
      </c>
      <c r="I650" s="49" t="n">
        <v>61</v>
      </c>
      <c r="J650" s="46" t="inlineStr">
        <is>
          <t>EA</t>
        </is>
      </c>
      <c r="K650" s="50" t="n">
        <v>0.13</v>
      </c>
      <c r="L650" s="50" t="n">
        <v>21463.77</v>
      </c>
      <c r="M650" s="46" t="inlineStr">
        <is>
          <t>USD</t>
        </is>
      </c>
      <c r="N650" s="46" t="inlineStr">
        <is>
          <t>FOB</t>
        </is>
      </c>
      <c r="O650" s="46" t="inlineStr">
        <is>
          <t>N</t>
        </is>
      </c>
      <c r="P650" s="50" t="n">
        <v>1382.0473</v>
      </c>
      <c r="Q650" s="49">
        <f>IF(OR(L650="",M650="",P650=""),"",L650*P650)</f>
        <v/>
      </c>
    </row>
    <row r="651" ht="15" customHeight="1" s="32">
      <c r="A651" s="46" t="inlineStr">
        <is>
          <t>R-HB-0650</t>
        </is>
      </c>
      <c r="B651" s="47" t="n">
        <v>45476</v>
      </c>
      <c r="C651" s="46" t="inlineStr">
        <is>
          <t>2024-07</t>
        </is>
      </c>
      <c r="D651" s="46" t="n">
        <v>2024</v>
      </c>
      <c r="E651" s="46" t="inlineStr">
        <is>
          <t>P-HB-004</t>
        </is>
      </c>
      <c r="F651" s="46" t="inlineStr">
        <is>
          <t>C-HB-04</t>
        </is>
      </c>
      <c r="G651" s="48" t="inlineStr">
        <is>
          <t>캐나다</t>
        </is>
      </c>
      <c r="H651" s="46" t="inlineStr">
        <is>
          <t>CA</t>
        </is>
      </c>
      <c r="I651" s="49" t="n">
        <v>1894</v>
      </c>
      <c r="J651" s="46" t="inlineStr">
        <is>
          <t>EA</t>
        </is>
      </c>
      <c r="K651" s="50" t="n">
        <v>2.08</v>
      </c>
      <c r="L651" s="50" t="n">
        <v>53587.39</v>
      </c>
      <c r="M651" s="46" t="inlineStr">
        <is>
          <t>USD</t>
        </is>
      </c>
      <c r="N651" s="46" t="inlineStr">
        <is>
          <t>FOB</t>
        </is>
      </c>
      <c r="O651" s="46" t="inlineStr">
        <is>
          <t>N</t>
        </is>
      </c>
      <c r="P651" s="50" t="n">
        <v>1382.0473</v>
      </c>
      <c r="Q651" s="49">
        <f>IF(OR(L651="",M651="",P651=""),"",L651*P651)</f>
        <v/>
      </c>
    </row>
    <row r="652" ht="15" customHeight="1" s="32">
      <c r="A652" s="46" t="inlineStr">
        <is>
          <t>R-HB-0651</t>
        </is>
      </c>
      <c r="B652" s="47" t="n">
        <v>45479</v>
      </c>
      <c r="C652" s="46" t="inlineStr">
        <is>
          <t>2024-07</t>
        </is>
      </c>
      <c r="D652" s="46" t="n">
        <v>2024</v>
      </c>
      <c r="E652" s="46" t="inlineStr">
        <is>
          <t>P-HB-004</t>
        </is>
      </c>
      <c r="F652" s="46" t="inlineStr">
        <is>
          <t>C-HB-05</t>
        </is>
      </c>
      <c r="G652" s="48" t="inlineStr">
        <is>
          <t>독일</t>
        </is>
      </c>
      <c r="H652" s="46" t="inlineStr">
        <is>
          <t>DE</t>
        </is>
      </c>
      <c r="I652" s="49" t="n">
        <v>17353</v>
      </c>
      <c r="J652" s="46" t="inlineStr">
        <is>
          <t>EA</t>
        </is>
      </c>
      <c r="K652" s="50" t="n">
        <v>19.09</v>
      </c>
      <c r="L652" s="50" t="n">
        <v>482202.01</v>
      </c>
      <c r="M652" s="46" t="inlineStr">
        <is>
          <t>USD</t>
        </is>
      </c>
      <c r="N652" s="46" t="inlineStr">
        <is>
          <t>FOB</t>
        </is>
      </c>
      <c r="O652" s="46" t="inlineStr">
        <is>
          <t>N</t>
        </is>
      </c>
      <c r="P652" s="50" t="n">
        <v>1382.0473</v>
      </c>
      <c r="Q652" s="49">
        <f>IF(OR(L652="",M652="",P652=""),"",L652*P652)</f>
        <v/>
      </c>
    </row>
    <row r="653" ht="15" customHeight="1" s="32">
      <c r="A653" s="46" t="inlineStr">
        <is>
          <t>R-HB-0652</t>
        </is>
      </c>
      <c r="B653" s="47" t="n">
        <v>45481</v>
      </c>
      <c r="C653" s="46" t="inlineStr">
        <is>
          <t>2024-07</t>
        </is>
      </c>
      <c r="D653" s="46" t="n">
        <v>2024</v>
      </c>
      <c r="E653" s="46" t="inlineStr">
        <is>
          <t>P-HB-002</t>
        </is>
      </c>
      <c r="F653" s="46" t="inlineStr">
        <is>
          <t>C-HB-07</t>
        </is>
      </c>
      <c r="G653" s="48" t="inlineStr">
        <is>
          <t>인도</t>
        </is>
      </c>
      <c r="H653" s="46" t="inlineStr">
        <is>
          <t>IN</t>
        </is>
      </c>
      <c r="I653" s="49" t="n">
        <v>282</v>
      </c>
      <c r="J653" s="46" t="inlineStr">
        <is>
          <t>EA</t>
        </is>
      </c>
      <c r="K653" s="50" t="n">
        <v>0.62</v>
      </c>
      <c r="L653" s="50" t="n">
        <v>105367.46</v>
      </c>
      <c r="M653" s="46" t="inlineStr">
        <is>
          <t>USD</t>
        </is>
      </c>
      <c r="N653" s="46" t="inlineStr">
        <is>
          <t>FOB</t>
        </is>
      </c>
      <c r="O653" s="46" t="inlineStr">
        <is>
          <t>N</t>
        </is>
      </c>
      <c r="P653" s="50" t="n">
        <v>1382.0473</v>
      </c>
      <c r="Q653" s="49">
        <f>IF(OR(L653="",M653="",P653=""),"",L653*P653)</f>
        <v/>
      </c>
    </row>
    <row r="654" ht="15" customHeight="1" s="32">
      <c r="A654" s="46" t="inlineStr">
        <is>
          <t>R-HB-0653</t>
        </is>
      </c>
      <c r="B654" s="47" t="n">
        <v>45483</v>
      </c>
      <c r="C654" s="46" t="inlineStr">
        <is>
          <t>2024-07</t>
        </is>
      </c>
      <c r="D654" s="46" t="n">
        <v>2024</v>
      </c>
      <c r="E654" s="46" t="inlineStr">
        <is>
          <t>P-HB-003</t>
        </is>
      </c>
      <c r="F654" s="46" t="inlineStr">
        <is>
          <t>C-HB-09</t>
        </is>
      </c>
      <c r="G654" s="48" t="inlineStr">
        <is>
          <t>중국</t>
        </is>
      </c>
      <c r="H654" s="46" t="inlineStr">
        <is>
          <t>CN</t>
        </is>
      </c>
      <c r="I654" s="49" t="n">
        <v>57205</v>
      </c>
      <c r="J654" s="46" t="inlineStr">
        <is>
          <t>EA</t>
        </is>
      </c>
      <c r="K654" s="50" t="n">
        <v>37.18</v>
      </c>
      <c r="L654" s="50" t="n">
        <v>438306.37</v>
      </c>
      <c r="M654" s="46" t="inlineStr">
        <is>
          <t>USD</t>
        </is>
      </c>
      <c r="N654" s="46" t="inlineStr">
        <is>
          <t>FOB</t>
        </is>
      </c>
      <c r="O654" s="46" t="inlineStr">
        <is>
          <t>N</t>
        </is>
      </c>
      <c r="P654" s="50" t="n">
        <v>1382.0473</v>
      </c>
      <c r="Q654" s="49">
        <f>IF(OR(L654="",M654="",P654=""),"",L654*P654)</f>
        <v/>
      </c>
    </row>
    <row r="655" ht="15" customHeight="1" s="32">
      <c r="A655" s="46" t="inlineStr">
        <is>
          <t>R-HB-0654</t>
        </is>
      </c>
      <c r="B655" s="47" t="n">
        <v>45484</v>
      </c>
      <c r="C655" s="46" t="inlineStr">
        <is>
          <t>2024-07</t>
        </is>
      </c>
      <c r="D655" s="46" t="n">
        <v>2024</v>
      </c>
      <c r="E655" s="46" t="inlineStr">
        <is>
          <t>P-HB-002</t>
        </is>
      </c>
      <c r="F655" s="46" t="inlineStr">
        <is>
          <t>C-HB-02</t>
        </is>
      </c>
      <c r="G655" s="48" t="inlineStr">
        <is>
          <t>미국</t>
        </is>
      </c>
      <c r="H655" s="46" t="inlineStr">
        <is>
          <t>US</t>
        </is>
      </c>
      <c r="I655" s="49" t="n">
        <v>402</v>
      </c>
      <c r="J655" s="46" t="inlineStr">
        <is>
          <t>EA</t>
        </is>
      </c>
      <c r="K655" s="50" t="n">
        <v>0.88</v>
      </c>
      <c r="L655" s="50" t="n">
        <v>143546.2</v>
      </c>
      <c r="M655" s="46" t="inlineStr">
        <is>
          <t>USD</t>
        </is>
      </c>
      <c r="N655" s="46" t="inlineStr">
        <is>
          <t>FOB</t>
        </is>
      </c>
      <c r="O655" s="46" t="inlineStr">
        <is>
          <t>N</t>
        </is>
      </c>
      <c r="P655" s="50" t="n">
        <v>1382.0473</v>
      </c>
      <c r="Q655" s="49">
        <f>IF(OR(L655="",M655="",P655=""),"",L655*P655)</f>
        <v/>
      </c>
    </row>
    <row r="656" ht="15" customHeight="1" s="32">
      <c r="A656" s="46" t="inlineStr">
        <is>
          <t>R-HB-0655</t>
        </is>
      </c>
      <c r="B656" s="47" t="n">
        <v>45485</v>
      </c>
      <c r="C656" s="46" t="inlineStr">
        <is>
          <t>2024-07</t>
        </is>
      </c>
      <c r="D656" s="46" t="n">
        <v>2024</v>
      </c>
      <c r="E656" s="46" t="inlineStr">
        <is>
          <t>P-HB-003</t>
        </is>
      </c>
      <c r="F656" s="46" t="inlineStr">
        <is>
          <t>C-HB-05</t>
        </is>
      </c>
      <c r="G656" s="48" t="inlineStr">
        <is>
          <t>독일</t>
        </is>
      </c>
      <c r="H656" s="46" t="inlineStr">
        <is>
          <t>DE</t>
        </is>
      </c>
      <c r="I656" s="49" t="n">
        <v>58708</v>
      </c>
      <c r="J656" s="46" t="inlineStr">
        <is>
          <t>EA</t>
        </is>
      </c>
      <c r="K656" s="50" t="n">
        <v>38.16</v>
      </c>
      <c r="L656" s="50" t="n">
        <v>446406.67</v>
      </c>
      <c r="M656" s="46" t="inlineStr">
        <is>
          <t>USD</t>
        </is>
      </c>
      <c r="N656" s="46" t="inlineStr">
        <is>
          <t>FOB</t>
        </is>
      </c>
      <c r="O656" s="46" t="inlineStr">
        <is>
          <t>N</t>
        </is>
      </c>
      <c r="P656" s="50" t="n">
        <v>1382.0473</v>
      </c>
      <c r="Q656" s="49">
        <f>IF(OR(L656="",M656="",P656=""),"",L656*P656)</f>
        <v/>
      </c>
    </row>
    <row r="657" ht="15" customHeight="1" s="32">
      <c r="A657" s="46" t="inlineStr">
        <is>
          <t>R-HB-0656</t>
        </is>
      </c>
      <c r="B657" s="47" t="n">
        <v>45486</v>
      </c>
      <c r="C657" s="46" t="inlineStr">
        <is>
          <t>2024-07</t>
        </is>
      </c>
      <c r="D657" s="46" t="n">
        <v>2024</v>
      </c>
      <c r="E657" s="46" t="inlineStr">
        <is>
          <t>P-HB-003</t>
        </is>
      </c>
      <c r="F657" s="46" t="inlineStr">
        <is>
          <t>C-HB-01</t>
        </is>
      </c>
      <c r="G657" s="48" t="inlineStr">
        <is>
          <t>미국</t>
        </is>
      </c>
      <c r="H657" s="46" t="inlineStr">
        <is>
          <t>US</t>
        </is>
      </c>
      <c r="I657" s="49" t="n">
        <v>70431</v>
      </c>
      <c r="J657" s="46" t="inlineStr">
        <is>
          <t>EA</t>
        </is>
      </c>
      <c r="K657" s="50" t="n">
        <v>45.78</v>
      </c>
      <c r="L657" s="50" t="n">
        <v>525318.62</v>
      </c>
      <c r="M657" s="46" t="inlineStr">
        <is>
          <t>USD</t>
        </is>
      </c>
      <c r="N657" s="46" t="inlineStr">
        <is>
          <t>FOB</t>
        </is>
      </c>
      <c r="O657" s="46" t="inlineStr">
        <is>
          <t>N</t>
        </is>
      </c>
      <c r="P657" s="50" t="n">
        <v>1382.0473</v>
      </c>
      <c r="Q657" s="49">
        <f>IF(OR(L657="",M657="",P657=""),"",L657*P657)</f>
        <v/>
      </c>
    </row>
    <row r="658" ht="15" customHeight="1" s="32">
      <c r="A658" s="46" t="inlineStr">
        <is>
          <t>R-HB-0657</t>
        </is>
      </c>
      <c r="B658" s="47" t="n">
        <v>45488</v>
      </c>
      <c r="C658" s="46" t="inlineStr">
        <is>
          <t>2024-07</t>
        </is>
      </c>
      <c r="D658" s="46" t="n">
        <v>2024</v>
      </c>
      <c r="E658" s="46" t="inlineStr">
        <is>
          <t>P-HB-003</t>
        </is>
      </c>
      <c r="F658" s="46" t="inlineStr">
        <is>
          <t>C-HB-04</t>
        </is>
      </c>
      <c r="G658" s="48" t="inlineStr">
        <is>
          <t>캐나다</t>
        </is>
      </c>
      <c r="H658" s="46" t="inlineStr">
        <is>
          <t>CA</t>
        </is>
      </c>
      <c r="I658" s="49" t="n">
        <v>6729</v>
      </c>
      <c r="J658" s="46" t="inlineStr">
        <is>
          <t>EA</t>
        </is>
      </c>
      <c r="K658" s="50" t="n">
        <v>4.37</v>
      </c>
      <c r="L658" s="50" t="n">
        <v>50625.96</v>
      </c>
      <c r="M658" s="46" t="inlineStr">
        <is>
          <t>USD</t>
        </is>
      </c>
      <c r="N658" s="46" t="inlineStr">
        <is>
          <t>FOB</t>
        </is>
      </c>
      <c r="O658" s="46" t="inlineStr">
        <is>
          <t>N</t>
        </is>
      </c>
      <c r="P658" s="50" t="n">
        <v>1382.0473</v>
      </c>
      <c r="Q658" s="49">
        <f>IF(OR(L658="",M658="",P658=""),"",L658*P658)</f>
        <v/>
      </c>
    </row>
    <row r="659" ht="15" customHeight="1" s="32">
      <c r="A659" s="46" t="inlineStr">
        <is>
          <t>R-HB-0658</t>
        </is>
      </c>
      <c r="B659" s="47" t="n">
        <v>45488</v>
      </c>
      <c r="C659" s="46" t="inlineStr">
        <is>
          <t>2024-07</t>
        </is>
      </c>
      <c r="D659" s="46" t="n">
        <v>2024</v>
      </c>
      <c r="E659" s="46" t="inlineStr">
        <is>
          <t>P-HB-001</t>
        </is>
      </c>
      <c r="F659" s="46" t="inlineStr">
        <is>
          <t>C-HB-05</t>
        </is>
      </c>
      <c r="G659" s="48" t="inlineStr">
        <is>
          <t>독일</t>
        </is>
      </c>
      <c r="H659" s="46" t="inlineStr">
        <is>
          <t>DE</t>
        </is>
      </c>
      <c r="I659" s="49" t="n">
        <v>155096</v>
      </c>
      <c r="J659" s="46" t="inlineStr">
        <is>
          <t>EA</t>
        </is>
      </c>
      <c r="K659" s="50" t="n">
        <v>69.79000000000001</v>
      </c>
      <c r="L659" s="50" t="n">
        <v>788288.98</v>
      </c>
      <c r="M659" s="46" t="inlineStr">
        <is>
          <t>USD</t>
        </is>
      </c>
      <c r="N659" s="46" t="inlineStr">
        <is>
          <t>FOB</t>
        </is>
      </c>
      <c r="O659" s="46" t="inlineStr">
        <is>
          <t>N</t>
        </is>
      </c>
      <c r="P659" s="50" t="n">
        <v>1382.0473</v>
      </c>
      <c r="Q659" s="49">
        <f>IF(OR(L659="",M659="",P659=""),"",L659*P659)</f>
        <v/>
      </c>
    </row>
    <row r="660" ht="15" customHeight="1" s="32">
      <c r="A660" s="46" t="inlineStr">
        <is>
          <t>R-HB-0659</t>
        </is>
      </c>
      <c r="B660" s="47" t="n">
        <v>45488</v>
      </c>
      <c r="C660" s="46" t="inlineStr">
        <is>
          <t>2024-07</t>
        </is>
      </c>
      <c r="D660" s="46" t="n">
        <v>2024</v>
      </c>
      <c r="E660" s="46" t="inlineStr">
        <is>
          <t>P-HB-004</t>
        </is>
      </c>
      <c r="F660" s="46" t="inlineStr">
        <is>
          <t>C-HB-07</t>
        </is>
      </c>
      <c r="G660" s="48" t="inlineStr">
        <is>
          <t>인도</t>
        </is>
      </c>
      <c r="H660" s="46" t="inlineStr">
        <is>
          <t>IN</t>
        </is>
      </c>
      <c r="I660" s="49" t="n">
        <v>7615</v>
      </c>
      <c r="J660" s="46" t="inlineStr">
        <is>
          <t>EA</t>
        </is>
      </c>
      <c r="K660" s="50" t="n">
        <v>8.380000000000001</v>
      </c>
      <c r="L660" s="50" t="n">
        <v>206169.35</v>
      </c>
      <c r="M660" s="46" t="inlineStr">
        <is>
          <t>USD</t>
        </is>
      </c>
      <c r="N660" s="46" t="inlineStr">
        <is>
          <t>FOB</t>
        </is>
      </c>
      <c r="O660" s="46" t="inlineStr">
        <is>
          <t>N</t>
        </is>
      </c>
      <c r="P660" s="50" t="n">
        <v>1382.0473</v>
      </c>
      <c r="Q660" s="49">
        <f>IF(OR(L660="",M660="",P660=""),"",L660*P660)</f>
        <v/>
      </c>
    </row>
    <row r="661" ht="15" customHeight="1" s="32">
      <c r="A661" s="46" t="inlineStr">
        <is>
          <t>R-HB-0660</t>
        </is>
      </c>
      <c r="B661" s="47" t="n">
        <v>45489</v>
      </c>
      <c r="C661" s="46" t="inlineStr">
        <is>
          <t>2024-07</t>
        </is>
      </c>
      <c r="D661" s="46" t="n">
        <v>2024</v>
      </c>
      <c r="E661" s="46" t="inlineStr">
        <is>
          <t>P-HB-004</t>
        </is>
      </c>
      <c r="F661" s="46" t="inlineStr">
        <is>
          <t>C-HB-08</t>
        </is>
      </c>
      <c r="G661" s="48" t="inlineStr">
        <is>
          <t>중국</t>
        </is>
      </c>
      <c r="H661" s="46" t="inlineStr">
        <is>
          <t>CN</t>
        </is>
      </c>
      <c r="I661" s="49" t="n">
        <v>23677</v>
      </c>
      <c r="J661" s="46" t="inlineStr">
        <is>
          <t>EA</t>
        </is>
      </c>
      <c r="K661" s="50" t="n">
        <v>26.04</v>
      </c>
      <c r="L661" s="50" t="n">
        <v>682601.99</v>
      </c>
      <c r="M661" s="46" t="inlineStr">
        <is>
          <t>USD</t>
        </is>
      </c>
      <c r="N661" s="46" t="inlineStr">
        <is>
          <t>FOB</t>
        </is>
      </c>
      <c r="O661" s="46" t="inlineStr">
        <is>
          <t>N</t>
        </is>
      </c>
      <c r="P661" s="50" t="n">
        <v>1382.0473</v>
      </c>
      <c r="Q661" s="49">
        <f>IF(OR(L661="",M661="",P661=""),"",L661*P661)</f>
        <v/>
      </c>
    </row>
    <row r="662" ht="15" customHeight="1" s="32">
      <c r="A662" s="46" t="inlineStr">
        <is>
          <t>R-HB-0661</t>
        </is>
      </c>
      <c r="B662" s="47" t="n">
        <v>45490</v>
      </c>
      <c r="C662" s="46" t="inlineStr">
        <is>
          <t>2024-07</t>
        </is>
      </c>
      <c r="D662" s="46" t="n">
        <v>2024</v>
      </c>
      <c r="E662" s="46" t="inlineStr">
        <is>
          <t>P-HB-003</t>
        </is>
      </c>
      <c r="F662" s="46" t="inlineStr">
        <is>
          <t>C-HB-02</t>
        </is>
      </c>
      <c r="G662" s="48" t="inlineStr">
        <is>
          <t>미국</t>
        </is>
      </c>
      <c r="H662" s="46" t="inlineStr">
        <is>
          <t>US</t>
        </is>
      </c>
      <c r="I662" s="49" t="n">
        <v>35439</v>
      </c>
      <c r="J662" s="46" t="inlineStr">
        <is>
          <t>EA</t>
        </is>
      </c>
      <c r="K662" s="50" t="n">
        <v>23.04</v>
      </c>
      <c r="L662" s="50" t="n">
        <v>270545.26</v>
      </c>
      <c r="M662" s="46" t="inlineStr">
        <is>
          <t>USD</t>
        </is>
      </c>
      <c r="N662" s="46" t="inlineStr">
        <is>
          <t>FOB</t>
        </is>
      </c>
      <c r="O662" s="46" t="inlineStr">
        <is>
          <t>N</t>
        </is>
      </c>
      <c r="P662" s="50" t="n">
        <v>1382.0473</v>
      </c>
      <c r="Q662" s="49">
        <f>IF(OR(L662="",M662="",P662=""),"",L662*P662)</f>
        <v/>
      </c>
    </row>
    <row r="663" ht="15" customHeight="1" s="32">
      <c r="A663" s="46" t="inlineStr">
        <is>
          <t>R-HB-0662</t>
        </is>
      </c>
      <c r="B663" s="47" t="n">
        <v>45491</v>
      </c>
      <c r="C663" s="46" t="inlineStr">
        <is>
          <t>2024-07</t>
        </is>
      </c>
      <c r="D663" s="46" t="n">
        <v>2024</v>
      </c>
      <c r="E663" s="46" t="inlineStr">
        <is>
          <t>P-HB-001</t>
        </is>
      </c>
      <c r="F663" s="46" t="inlineStr">
        <is>
          <t>C-HB-07</t>
        </is>
      </c>
      <c r="G663" s="48" t="inlineStr">
        <is>
          <t>인도</t>
        </is>
      </c>
      <c r="H663" s="46" t="inlineStr">
        <is>
          <t>IN</t>
        </is>
      </c>
      <c r="I663" s="49" t="n">
        <v>72281</v>
      </c>
      <c r="J663" s="46" t="inlineStr">
        <is>
          <t>EA</t>
        </is>
      </c>
      <c r="K663" s="50" t="n">
        <v>32.53</v>
      </c>
      <c r="L663" s="50" t="n">
        <v>374718.18</v>
      </c>
      <c r="M663" s="46" t="inlineStr">
        <is>
          <t>USD</t>
        </is>
      </c>
      <c r="N663" s="46" t="inlineStr">
        <is>
          <t>FOB</t>
        </is>
      </c>
      <c r="O663" s="46" t="inlineStr">
        <is>
          <t>N</t>
        </is>
      </c>
      <c r="P663" s="50" t="n">
        <v>1382.0473</v>
      </c>
      <c r="Q663" s="49">
        <f>IF(OR(L663="",M663="",P663=""),"",L663*P663)</f>
        <v/>
      </c>
    </row>
    <row r="664" ht="15" customHeight="1" s="32">
      <c r="A664" s="46" t="inlineStr">
        <is>
          <t>R-HB-0663</t>
        </is>
      </c>
      <c r="B664" s="47" t="n">
        <v>45492</v>
      </c>
      <c r="C664" s="46" t="inlineStr">
        <is>
          <t>2024-07</t>
        </is>
      </c>
      <c r="D664" s="46" t="n">
        <v>2024</v>
      </c>
      <c r="E664" s="46" t="inlineStr">
        <is>
          <t>P-HB-004</t>
        </is>
      </c>
      <c r="F664" s="46" t="inlineStr">
        <is>
          <t>C-HB-02</t>
        </is>
      </c>
      <c r="G664" s="48" t="inlineStr">
        <is>
          <t>미국</t>
        </is>
      </c>
      <c r="H664" s="46" t="inlineStr">
        <is>
          <t>US</t>
        </is>
      </c>
      <c r="I664" s="49" t="n">
        <v>10432</v>
      </c>
      <c r="J664" s="46" t="inlineStr">
        <is>
          <t>EA</t>
        </is>
      </c>
      <c r="K664" s="50" t="n">
        <v>11.48</v>
      </c>
      <c r="L664" s="50" t="n">
        <v>288860.12</v>
      </c>
      <c r="M664" s="46" t="inlineStr">
        <is>
          <t>USD</t>
        </is>
      </c>
      <c r="N664" s="46" t="inlineStr">
        <is>
          <t>FOB</t>
        </is>
      </c>
      <c r="O664" s="46" t="inlineStr">
        <is>
          <t>N</t>
        </is>
      </c>
      <c r="P664" s="50" t="n">
        <v>1382.0473</v>
      </c>
      <c r="Q664" s="49">
        <f>IF(OR(L664="",M664="",P664=""),"",L664*P664)</f>
        <v/>
      </c>
    </row>
    <row r="665" ht="15" customHeight="1" s="32">
      <c r="A665" s="46" t="inlineStr">
        <is>
          <t>R-HB-0664</t>
        </is>
      </c>
      <c r="B665" s="47" t="n">
        <v>45492</v>
      </c>
      <c r="C665" s="46" t="inlineStr">
        <is>
          <t>2024-07</t>
        </is>
      </c>
      <c r="D665" s="46" t="n">
        <v>2024</v>
      </c>
      <c r="E665" s="46" t="inlineStr">
        <is>
          <t>P-HB-003</t>
        </is>
      </c>
      <c r="F665" s="46" t="inlineStr">
        <is>
          <t>C-HB-06</t>
        </is>
      </c>
      <c r="G665" s="48" t="inlineStr">
        <is>
          <t>베트남</t>
        </is>
      </c>
      <c r="H665" s="46" t="inlineStr">
        <is>
          <t>VN</t>
        </is>
      </c>
      <c r="I665" s="49" t="n">
        <v>45388</v>
      </c>
      <c r="J665" s="46" t="inlineStr">
        <is>
          <t>EA</t>
        </is>
      </c>
      <c r="K665" s="50" t="n">
        <v>29.5</v>
      </c>
      <c r="L665" s="50" t="n">
        <v>336530.54</v>
      </c>
      <c r="M665" s="46" t="inlineStr">
        <is>
          <t>USD</t>
        </is>
      </c>
      <c r="N665" s="46" t="inlineStr">
        <is>
          <t>FOB</t>
        </is>
      </c>
      <c r="O665" s="46" t="inlineStr">
        <is>
          <t>N</t>
        </is>
      </c>
      <c r="P665" s="50" t="n">
        <v>1382.0473</v>
      </c>
      <c r="Q665" s="49">
        <f>IF(OR(L665="",M665="",P665=""),"",L665*P665)</f>
        <v/>
      </c>
    </row>
    <row r="666" ht="15" customHeight="1" s="32">
      <c r="A666" s="46" t="inlineStr">
        <is>
          <t>R-HB-0665</t>
        </is>
      </c>
      <c r="B666" s="47" t="n">
        <v>45493</v>
      </c>
      <c r="C666" s="46" t="inlineStr">
        <is>
          <t>2024-07</t>
        </is>
      </c>
      <c r="D666" s="46" t="n">
        <v>2024</v>
      </c>
      <c r="E666" s="46" t="inlineStr">
        <is>
          <t>P-HB-001</t>
        </is>
      </c>
      <c r="F666" s="46" t="inlineStr">
        <is>
          <t>C-HB-01</t>
        </is>
      </c>
      <c r="G666" s="48" t="inlineStr">
        <is>
          <t>미국</t>
        </is>
      </c>
      <c r="H666" s="46" t="inlineStr">
        <is>
          <t>US</t>
        </is>
      </c>
      <c r="I666" s="49" t="n">
        <v>185320</v>
      </c>
      <c r="J666" s="46" t="inlineStr">
        <is>
          <t>EA</t>
        </is>
      </c>
      <c r="K666" s="50" t="n">
        <v>83.39</v>
      </c>
      <c r="L666" s="50" t="n">
        <v>986183.98</v>
      </c>
      <c r="M666" s="46" t="inlineStr">
        <is>
          <t>USD</t>
        </is>
      </c>
      <c r="N666" s="46" t="inlineStr">
        <is>
          <t>FOB</t>
        </is>
      </c>
      <c r="O666" s="46" t="inlineStr">
        <is>
          <t>N</t>
        </is>
      </c>
      <c r="P666" s="50" t="n">
        <v>1382.0473</v>
      </c>
      <c r="Q666" s="49">
        <f>IF(OR(L666="",M666="",P666=""),"",L666*P666)</f>
        <v/>
      </c>
    </row>
    <row r="667" ht="15" customHeight="1" s="32">
      <c r="A667" s="46" t="inlineStr">
        <is>
          <t>R-HB-0666</t>
        </is>
      </c>
      <c r="B667" s="47" t="n">
        <v>45493</v>
      </c>
      <c r="C667" s="46" t="inlineStr">
        <is>
          <t>2024-07</t>
        </is>
      </c>
      <c r="D667" s="46" t="n">
        <v>2024</v>
      </c>
      <c r="E667" s="46" t="inlineStr">
        <is>
          <t>P-HB-003</t>
        </is>
      </c>
      <c r="F667" s="46" t="inlineStr">
        <is>
          <t>C-HB-03</t>
        </is>
      </c>
      <c r="G667" s="48" t="inlineStr">
        <is>
          <t>멕시코</t>
        </is>
      </c>
      <c r="H667" s="46" t="inlineStr">
        <is>
          <t>MX</t>
        </is>
      </c>
      <c r="I667" s="49" t="n">
        <v>12323</v>
      </c>
      <c r="J667" s="46" t="inlineStr">
        <is>
          <t>EA</t>
        </is>
      </c>
      <c r="K667" s="50" t="n">
        <v>8.01</v>
      </c>
      <c r="L667" s="50" t="n">
        <v>92475.06</v>
      </c>
      <c r="M667" s="46" t="inlineStr">
        <is>
          <t>USD</t>
        </is>
      </c>
      <c r="N667" s="46" t="inlineStr">
        <is>
          <t>FOB</t>
        </is>
      </c>
      <c r="O667" s="46" t="inlineStr">
        <is>
          <t>N</t>
        </is>
      </c>
      <c r="P667" s="50" t="n">
        <v>1382.0473</v>
      </c>
      <c r="Q667" s="49">
        <f>IF(OR(L667="",M667="",P667=""),"",L667*P667)</f>
        <v/>
      </c>
    </row>
    <row r="668" ht="15" customHeight="1" s="32">
      <c r="A668" s="46" t="inlineStr">
        <is>
          <t>R-HB-0667</t>
        </is>
      </c>
      <c r="B668" s="47" t="n">
        <v>45494</v>
      </c>
      <c r="C668" s="46" t="inlineStr">
        <is>
          <t>2024-07</t>
        </is>
      </c>
      <c r="D668" s="46" t="n">
        <v>2024</v>
      </c>
      <c r="E668" s="46" t="inlineStr">
        <is>
          <t>P-HB-001</t>
        </is>
      </c>
      <c r="F668" s="46" t="inlineStr">
        <is>
          <t>C-HB-02</t>
        </is>
      </c>
      <c r="G668" s="48" t="inlineStr">
        <is>
          <t>미국</t>
        </is>
      </c>
      <c r="H668" s="46" t="inlineStr">
        <is>
          <t>US</t>
        </is>
      </c>
      <c r="I668" s="49" t="n">
        <v>95049</v>
      </c>
      <c r="J668" s="46" t="inlineStr">
        <is>
          <t>EA</t>
        </is>
      </c>
      <c r="K668" s="50" t="n">
        <v>42.77</v>
      </c>
      <c r="L668" s="50" t="n">
        <v>500113.41</v>
      </c>
      <c r="M668" s="46" t="inlineStr">
        <is>
          <t>USD</t>
        </is>
      </c>
      <c r="N668" s="46" t="inlineStr">
        <is>
          <t>FOB</t>
        </is>
      </c>
      <c r="O668" s="46" t="inlineStr">
        <is>
          <t>N</t>
        </is>
      </c>
      <c r="P668" s="50" t="n">
        <v>1382.0473</v>
      </c>
      <c r="Q668" s="49">
        <f>IF(OR(L668="",M668="",P668=""),"",L668*P668)</f>
        <v/>
      </c>
    </row>
    <row r="669" ht="15" customHeight="1" s="32">
      <c r="A669" s="46" t="inlineStr">
        <is>
          <t>R-HB-0668</t>
        </is>
      </c>
      <c r="B669" s="47" t="n">
        <v>45494</v>
      </c>
      <c r="C669" s="46" t="inlineStr">
        <is>
          <t>2024-07</t>
        </is>
      </c>
      <c r="D669" s="46" t="n">
        <v>2024</v>
      </c>
      <c r="E669" s="46" t="inlineStr">
        <is>
          <t>P-HB-003</t>
        </is>
      </c>
      <c r="F669" s="46" t="inlineStr">
        <is>
          <t>C-HB-07</t>
        </is>
      </c>
      <c r="G669" s="48" t="inlineStr">
        <is>
          <t>인도</t>
        </is>
      </c>
      <c r="H669" s="46" t="inlineStr">
        <is>
          <t>IN</t>
        </is>
      </c>
      <c r="I669" s="49" t="n">
        <v>28942</v>
      </c>
      <c r="J669" s="46" t="inlineStr">
        <is>
          <t>EA</t>
        </is>
      </c>
      <c r="K669" s="50" t="n">
        <v>18.81</v>
      </c>
      <c r="L669" s="50" t="n">
        <v>218967.88</v>
      </c>
      <c r="M669" s="46" t="inlineStr">
        <is>
          <t>USD</t>
        </is>
      </c>
      <c r="N669" s="46" t="inlineStr">
        <is>
          <t>FOB</t>
        </is>
      </c>
      <c r="O669" s="46" t="inlineStr">
        <is>
          <t>N</t>
        </is>
      </c>
      <c r="P669" s="50" t="n">
        <v>1382.0473</v>
      </c>
      <c r="Q669" s="49">
        <f>IF(OR(L669="",M669="",P669=""),"",L669*P669)</f>
        <v/>
      </c>
    </row>
    <row r="670" ht="15" customHeight="1" s="32">
      <c r="A670" s="46" t="inlineStr">
        <is>
          <t>R-HB-0669</t>
        </is>
      </c>
      <c r="B670" s="47" t="n">
        <v>45494</v>
      </c>
      <c r="C670" s="46" t="inlineStr">
        <is>
          <t>2024-07</t>
        </is>
      </c>
      <c r="D670" s="46" t="n">
        <v>2024</v>
      </c>
      <c r="E670" s="46" t="inlineStr">
        <is>
          <t>P-HB-001</t>
        </is>
      </c>
      <c r="F670" s="46" t="inlineStr">
        <is>
          <t>C-HB-08</t>
        </is>
      </c>
      <c r="G670" s="48" t="inlineStr">
        <is>
          <t>중국</t>
        </is>
      </c>
      <c r="H670" s="46" t="inlineStr">
        <is>
          <t>CN</t>
        </is>
      </c>
      <c r="I670" s="49" t="n">
        <v>223472</v>
      </c>
      <c r="J670" s="46" t="inlineStr">
        <is>
          <t>EA</t>
        </is>
      </c>
      <c r="K670" s="50" t="n">
        <v>100.56</v>
      </c>
      <c r="L670" s="50" t="n">
        <v>1138524.2</v>
      </c>
      <c r="M670" s="46" t="inlineStr">
        <is>
          <t>USD</t>
        </is>
      </c>
      <c r="N670" s="46" t="inlineStr">
        <is>
          <t>FOB</t>
        </is>
      </c>
      <c r="O670" s="46" t="inlineStr">
        <is>
          <t>N</t>
        </is>
      </c>
      <c r="P670" s="50" t="n">
        <v>1382.0473</v>
      </c>
      <c r="Q670" s="49">
        <f>IF(OR(L670="",M670="",P670=""),"",L670*P670)</f>
        <v/>
      </c>
    </row>
    <row r="671" ht="15" customHeight="1" s="32">
      <c r="A671" s="46" t="inlineStr">
        <is>
          <t>R-HB-0670</t>
        </is>
      </c>
      <c r="B671" s="47" t="n">
        <v>45495</v>
      </c>
      <c r="C671" s="46" t="inlineStr">
        <is>
          <t>2024-07</t>
        </is>
      </c>
      <c r="D671" s="46" t="n">
        <v>2024</v>
      </c>
      <c r="E671" s="46" t="inlineStr">
        <is>
          <t>P-HB-001</t>
        </is>
      </c>
      <c r="F671" s="46" t="inlineStr">
        <is>
          <t>C-HB-03</t>
        </is>
      </c>
      <c r="G671" s="48" t="inlineStr">
        <is>
          <t>멕시코</t>
        </is>
      </c>
      <c r="H671" s="46" t="inlineStr">
        <is>
          <t>MX</t>
        </is>
      </c>
      <c r="I671" s="49" t="n">
        <v>36152</v>
      </c>
      <c r="J671" s="46" t="inlineStr">
        <is>
          <t>EA</t>
        </is>
      </c>
      <c r="K671" s="50" t="n">
        <v>16.27</v>
      </c>
      <c r="L671" s="50" t="n">
        <v>189526.94</v>
      </c>
      <c r="M671" s="46" t="inlineStr">
        <is>
          <t>USD</t>
        </is>
      </c>
      <c r="N671" s="46" t="inlineStr">
        <is>
          <t>FOB</t>
        </is>
      </c>
      <c r="O671" s="46" t="inlineStr">
        <is>
          <t>N</t>
        </is>
      </c>
      <c r="P671" s="50" t="n">
        <v>1382.0473</v>
      </c>
      <c r="Q671" s="49">
        <f>IF(OR(L671="",M671="",P671=""),"",L671*P671)</f>
        <v/>
      </c>
    </row>
    <row r="672" ht="15" customHeight="1" s="32">
      <c r="A672" s="46" t="inlineStr">
        <is>
          <t>R-HB-0671</t>
        </is>
      </c>
      <c r="B672" s="47" t="n">
        <v>45495</v>
      </c>
      <c r="C672" s="46" t="inlineStr">
        <is>
          <t>2024-07</t>
        </is>
      </c>
      <c r="D672" s="46" t="n">
        <v>2024</v>
      </c>
      <c r="E672" s="46" t="inlineStr">
        <is>
          <t>P-HB-001</t>
        </is>
      </c>
      <c r="F672" s="46" t="inlineStr">
        <is>
          <t>C-HB-04</t>
        </is>
      </c>
      <c r="G672" s="48" t="inlineStr">
        <is>
          <t>캐나다</t>
        </is>
      </c>
      <c r="H672" s="46" t="inlineStr">
        <is>
          <t>CA</t>
        </is>
      </c>
      <c r="I672" s="49" t="n">
        <v>16743</v>
      </c>
      <c r="J672" s="46" t="inlineStr">
        <is>
          <t>EA</t>
        </is>
      </c>
      <c r="K672" s="50" t="n">
        <v>7.53</v>
      </c>
      <c r="L672" s="50" t="n">
        <v>84792.63</v>
      </c>
      <c r="M672" s="46" t="inlineStr">
        <is>
          <t>USD</t>
        </is>
      </c>
      <c r="N672" s="46" t="inlineStr">
        <is>
          <t>FOB</t>
        </is>
      </c>
      <c r="O672" s="46" t="inlineStr">
        <is>
          <t>N</t>
        </is>
      </c>
      <c r="P672" s="50" t="n">
        <v>1382.0473</v>
      </c>
      <c r="Q672" s="49">
        <f>IF(OR(L672="",M672="",P672=""),"",L672*P672)</f>
        <v/>
      </c>
    </row>
    <row r="673" ht="15" customHeight="1" s="32">
      <c r="A673" s="46" t="inlineStr">
        <is>
          <t>R-HB-0672</t>
        </is>
      </c>
      <c r="B673" s="47" t="n">
        <v>45495</v>
      </c>
      <c r="C673" s="46" t="inlineStr">
        <is>
          <t>2024-07</t>
        </is>
      </c>
      <c r="D673" s="46" t="n">
        <v>2024</v>
      </c>
      <c r="E673" s="46" t="inlineStr">
        <is>
          <t>P-HB-004</t>
        </is>
      </c>
      <c r="F673" s="46" t="inlineStr">
        <is>
          <t>C-HB-06</t>
        </is>
      </c>
      <c r="G673" s="48" t="inlineStr">
        <is>
          <t>베트남</t>
        </is>
      </c>
      <c r="H673" s="46" t="inlineStr">
        <is>
          <t>VN</t>
        </is>
      </c>
      <c r="I673" s="49" t="n">
        <v>11426</v>
      </c>
      <c r="J673" s="46" t="inlineStr">
        <is>
          <t>EA</t>
        </is>
      </c>
      <c r="K673" s="50" t="n">
        <v>12.57</v>
      </c>
      <c r="L673" s="50" t="n">
        <v>323719.69</v>
      </c>
      <c r="M673" s="46" t="inlineStr">
        <is>
          <t>USD</t>
        </is>
      </c>
      <c r="N673" s="46" t="inlineStr">
        <is>
          <t>FOB</t>
        </is>
      </c>
      <c r="O673" s="46" t="inlineStr">
        <is>
          <t>N</t>
        </is>
      </c>
      <c r="P673" s="50" t="n">
        <v>1382.0473</v>
      </c>
      <c r="Q673" s="49">
        <f>IF(OR(L673="",M673="",P673=""),"",L673*P673)</f>
        <v/>
      </c>
    </row>
    <row r="674" ht="15" customHeight="1" s="32">
      <c r="A674" s="46" t="inlineStr">
        <is>
          <t>R-HB-0673</t>
        </is>
      </c>
      <c r="B674" s="47" t="n">
        <v>45496</v>
      </c>
      <c r="C674" s="46" t="inlineStr">
        <is>
          <t>2024-07</t>
        </is>
      </c>
      <c r="D674" s="46" t="n">
        <v>2024</v>
      </c>
      <c r="E674" s="46" t="inlineStr">
        <is>
          <t>P-HB-002</t>
        </is>
      </c>
      <c r="F674" s="46" t="inlineStr">
        <is>
          <t>C-HB-01</t>
        </is>
      </c>
      <c r="G674" s="48" t="inlineStr">
        <is>
          <t>미국</t>
        </is>
      </c>
      <c r="H674" s="46" t="inlineStr">
        <is>
          <t>US</t>
        </is>
      </c>
      <c r="I674" s="49" t="n">
        <v>745</v>
      </c>
      <c r="J674" s="46" t="inlineStr">
        <is>
          <t>EA</t>
        </is>
      </c>
      <c r="K674" s="50" t="n">
        <v>1.64</v>
      </c>
      <c r="L674" s="50" t="n">
        <v>265084.27</v>
      </c>
      <c r="M674" s="46" t="inlineStr">
        <is>
          <t>USD</t>
        </is>
      </c>
      <c r="N674" s="46" t="inlineStr">
        <is>
          <t>FOB</t>
        </is>
      </c>
      <c r="O674" s="46" t="inlineStr">
        <is>
          <t>N</t>
        </is>
      </c>
      <c r="P674" s="50" t="n">
        <v>1382.0473</v>
      </c>
      <c r="Q674" s="49">
        <f>IF(OR(L674="",M674="",P674=""),"",L674*P674)</f>
        <v/>
      </c>
    </row>
    <row r="675" ht="15" customHeight="1" s="32">
      <c r="A675" s="46" t="inlineStr">
        <is>
          <t>R-HB-0674</t>
        </is>
      </c>
      <c r="B675" s="47" t="n">
        <v>45496</v>
      </c>
      <c r="C675" s="46" t="inlineStr">
        <is>
          <t>2024-07</t>
        </is>
      </c>
      <c r="D675" s="46" t="n">
        <v>2024</v>
      </c>
      <c r="E675" s="46" t="inlineStr">
        <is>
          <t>P-HB-004</t>
        </is>
      </c>
      <c r="F675" s="46" t="inlineStr">
        <is>
          <t>C-HB-01</t>
        </is>
      </c>
      <c r="G675" s="48" t="inlineStr">
        <is>
          <t>미국</t>
        </is>
      </c>
      <c r="H675" s="46" t="inlineStr">
        <is>
          <t>US</t>
        </is>
      </c>
      <c r="I675" s="49" t="n">
        <v>21405</v>
      </c>
      <c r="J675" s="46" t="inlineStr">
        <is>
          <t>EA</t>
        </is>
      </c>
      <c r="K675" s="50" t="n">
        <v>23.55</v>
      </c>
      <c r="L675" s="50" t="n">
        <v>592487.87</v>
      </c>
      <c r="M675" s="46" t="inlineStr">
        <is>
          <t>USD</t>
        </is>
      </c>
      <c r="N675" s="46" t="inlineStr">
        <is>
          <t>FOB</t>
        </is>
      </c>
      <c r="O675" s="46" t="inlineStr">
        <is>
          <t>N</t>
        </is>
      </c>
      <c r="P675" s="50" t="n">
        <v>1382.0473</v>
      </c>
      <c r="Q675" s="49">
        <f>IF(OR(L675="",M675="",P675=""),"",L675*P675)</f>
        <v/>
      </c>
    </row>
    <row r="676" ht="15" customHeight="1" s="32">
      <c r="A676" s="46" t="inlineStr">
        <is>
          <t>R-HB-0675</t>
        </is>
      </c>
      <c r="B676" s="47" t="n">
        <v>45496</v>
      </c>
      <c r="C676" s="46" t="inlineStr">
        <is>
          <t>2024-07</t>
        </is>
      </c>
      <c r="D676" s="46" t="n">
        <v>2024</v>
      </c>
      <c r="E676" s="46" t="inlineStr">
        <is>
          <t>P-HB-002</t>
        </is>
      </c>
      <c r="F676" s="46" t="inlineStr">
        <is>
          <t>C-HB-05</t>
        </is>
      </c>
      <c r="G676" s="48" t="inlineStr">
        <is>
          <t>독일</t>
        </is>
      </c>
      <c r="H676" s="46" t="inlineStr">
        <is>
          <t>DE</t>
        </is>
      </c>
      <c r="I676" s="49" t="n">
        <v>583</v>
      </c>
      <c r="J676" s="46" t="inlineStr">
        <is>
          <t>EA</t>
        </is>
      </c>
      <c r="K676" s="50" t="n">
        <v>1.28</v>
      </c>
      <c r="L676" s="50" t="n">
        <v>217443.83</v>
      </c>
      <c r="M676" s="46" t="inlineStr">
        <is>
          <t>USD</t>
        </is>
      </c>
      <c r="N676" s="46" t="inlineStr">
        <is>
          <t>FOB</t>
        </is>
      </c>
      <c r="O676" s="46" t="inlineStr">
        <is>
          <t>N</t>
        </is>
      </c>
      <c r="P676" s="50" t="n">
        <v>1382.0473</v>
      </c>
      <c r="Q676" s="49">
        <f>IF(OR(L676="",M676="",P676=""),"",L676*P676)</f>
        <v/>
      </c>
    </row>
    <row r="677" ht="15" customHeight="1" s="32">
      <c r="A677" s="46" t="inlineStr">
        <is>
          <t>R-HB-0676</t>
        </is>
      </c>
      <c r="B677" s="47" t="n">
        <v>45497</v>
      </c>
      <c r="C677" s="46" t="inlineStr">
        <is>
          <t>2024-07</t>
        </is>
      </c>
      <c r="D677" s="46" t="n">
        <v>2024</v>
      </c>
      <c r="E677" s="46" t="inlineStr">
        <is>
          <t>P-HB-002</t>
        </is>
      </c>
      <c r="F677" s="46" t="inlineStr">
        <is>
          <t>C-HB-08</t>
        </is>
      </c>
      <c r="G677" s="48" t="inlineStr">
        <is>
          <t>중국</t>
        </is>
      </c>
      <c r="H677" s="46" t="inlineStr">
        <is>
          <t>CN</t>
        </is>
      </c>
      <c r="I677" s="49" t="n">
        <v>755</v>
      </c>
      <c r="J677" s="46" t="inlineStr">
        <is>
          <t>EA</t>
        </is>
      </c>
      <c r="K677" s="50" t="n">
        <v>1.66</v>
      </c>
      <c r="L677" s="50" t="n">
        <v>266808.57</v>
      </c>
      <c r="M677" s="46" t="inlineStr">
        <is>
          <t>USD</t>
        </is>
      </c>
      <c r="N677" s="46" t="inlineStr">
        <is>
          <t>FOB</t>
        </is>
      </c>
      <c r="O677" s="46" t="inlineStr">
        <is>
          <t>N</t>
        </is>
      </c>
      <c r="P677" s="50" t="n">
        <v>1382.0473</v>
      </c>
      <c r="Q677" s="49">
        <f>IF(OR(L677="",M677="",P677=""),"",L677*P677)</f>
        <v/>
      </c>
    </row>
    <row r="678" ht="15" customHeight="1" s="32">
      <c r="A678" s="46" t="inlineStr">
        <is>
          <t>R-HB-0677</t>
        </is>
      </c>
      <c r="B678" s="47" t="n">
        <v>45498</v>
      </c>
      <c r="C678" s="46" t="inlineStr">
        <is>
          <t>2024-07</t>
        </is>
      </c>
      <c r="D678" s="46" t="n">
        <v>2024</v>
      </c>
      <c r="E678" s="46" t="inlineStr">
        <is>
          <t>P-HB-002</t>
        </is>
      </c>
      <c r="F678" s="46" t="inlineStr">
        <is>
          <t>C-HB-03</t>
        </is>
      </c>
      <c r="G678" s="48" t="inlineStr">
        <is>
          <t>멕시코</t>
        </is>
      </c>
      <c r="H678" s="46" t="inlineStr">
        <is>
          <t>MX</t>
        </is>
      </c>
      <c r="I678" s="49" t="n">
        <v>122</v>
      </c>
      <c r="J678" s="46" t="inlineStr">
        <is>
          <t>EA</t>
        </is>
      </c>
      <c r="K678" s="50" t="n">
        <v>0.27</v>
      </c>
      <c r="L678" s="50" t="n">
        <v>43488.69</v>
      </c>
      <c r="M678" s="46" t="inlineStr">
        <is>
          <t>USD</t>
        </is>
      </c>
      <c r="N678" s="46" t="inlineStr">
        <is>
          <t>FOB</t>
        </is>
      </c>
      <c r="O678" s="46" t="inlineStr">
        <is>
          <t>N</t>
        </is>
      </c>
      <c r="P678" s="50" t="n">
        <v>1382.0473</v>
      </c>
      <c r="Q678" s="49">
        <f>IF(OR(L678="",M678="",P678=""),"",L678*P678)</f>
        <v/>
      </c>
    </row>
    <row r="679" ht="15" customHeight="1" s="32">
      <c r="A679" s="46" t="inlineStr">
        <is>
          <t>R-HB-0678</t>
        </is>
      </c>
      <c r="B679" s="47" t="n">
        <v>45498</v>
      </c>
      <c r="C679" s="46" t="inlineStr">
        <is>
          <t>2024-07</t>
        </is>
      </c>
      <c r="D679" s="46" t="n">
        <v>2024</v>
      </c>
      <c r="E679" s="46" t="inlineStr">
        <is>
          <t>P-HB-003</t>
        </is>
      </c>
      <c r="F679" s="46" t="inlineStr">
        <is>
          <t>C-HB-08</t>
        </is>
      </c>
      <c r="G679" s="48" t="inlineStr">
        <is>
          <t>중국</t>
        </is>
      </c>
      <c r="H679" s="46" t="inlineStr">
        <is>
          <t>CN</t>
        </is>
      </c>
      <c r="I679" s="49" t="n">
        <v>75059</v>
      </c>
      <c r="J679" s="46" t="inlineStr">
        <is>
          <t>EA</t>
        </is>
      </c>
      <c r="K679" s="50" t="n">
        <v>48.79</v>
      </c>
      <c r="L679" s="50" t="n">
        <v>561422.26</v>
      </c>
      <c r="M679" s="46" t="inlineStr">
        <is>
          <t>USD</t>
        </is>
      </c>
      <c r="N679" s="46" t="inlineStr">
        <is>
          <t>FOB</t>
        </is>
      </c>
      <c r="O679" s="46" t="inlineStr">
        <is>
          <t>N</t>
        </is>
      </c>
      <c r="P679" s="50" t="n">
        <v>1382.0473</v>
      </c>
      <c r="Q679" s="49">
        <f>IF(OR(L679="",M679="",P679=""),"",L679*P679)</f>
        <v/>
      </c>
    </row>
    <row r="680" ht="15" customHeight="1" s="32">
      <c r="A680" s="46" t="inlineStr">
        <is>
          <t>R-HB-0679</t>
        </is>
      </c>
      <c r="B680" s="47" t="n">
        <v>45498</v>
      </c>
      <c r="C680" s="46" t="inlineStr">
        <is>
          <t>2024-07</t>
        </is>
      </c>
      <c r="D680" s="46" t="n">
        <v>2024</v>
      </c>
      <c r="E680" s="46" t="inlineStr">
        <is>
          <t>P-HB-002</t>
        </is>
      </c>
      <c r="F680" s="46" t="inlineStr">
        <is>
          <t>C-HB-09</t>
        </is>
      </c>
      <c r="G680" s="48" t="inlineStr">
        <is>
          <t>중국</t>
        </is>
      </c>
      <c r="H680" s="46" t="inlineStr">
        <is>
          <t>CN</t>
        </is>
      </c>
      <c r="I680" s="49" t="n">
        <v>511</v>
      </c>
      <c r="J680" s="46" t="inlineStr">
        <is>
          <t>EA</t>
        </is>
      </c>
      <c r="K680" s="50" t="n">
        <v>1.12</v>
      </c>
      <c r="L680" s="50" t="n">
        <v>184670</v>
      </c>
      <c r="M680" s="46" t="inlineStr">
        <is>
          <t>USD</t>
        </is>
      </c>
      <c r="N680" s="46" t="inlineStr">
        <is>
          <t>FOB</t>
        </is>
      </c>
      <c r="O680" s="46" t="inlineStr">
        <is>
          <t>N</t>
        </is>
      </c>
      <c r="P680" s="50" t="n">
        <v>1382.0473</v>
      </c>
      <c r="Q680" s="49">
        <f>IF(OR(L680="",M680="",P680=""),"",L680*P680)</f>
        <v/>
      </c>
    </row>
    <row r="681" ht="15" customHeight="1" s="32">
      <c r="A681" s="46" t="inlineStr">
        <is>
          <t>R-HB-0680</t>
        </is>
      </c>
      <c r="B681" s="47" t="n">
        <v>45499</v>
      </c>
      <c r="C681" s="46" t="inlineStr">
        <is>
          <t>2024-07</t>
        </is>
      </c>
      <c r="D681" s="46" t="n">
        <v>2024</v>
      </c>
      <c r="E681" s="46" t="inlineStr">
        <is>
          <t>P-HB-004</t>
        </is>
      </c>
      <c r="F681" s="46" t="inlineStr">
        <is>
          <t>C-HB-03</t>
        </is>
      </c>
      <c r="G681" s="48" t="inlineStr">
        <is>
          <t>멕시코</t>
        </is>
      </c>
      <c r="H681" s="46" t="inlineStr">
        <is>
          <t>MX</t>
        </is>
      </c>
      <c r="I681" s="49" t="n">
        <v>3511</v>
      </c>
      <c r="J681" s="46" t="inlineStr">
        <is>
          <t>EA</t>
        </is>
      </c>
      <c r="K681" s="50" t="n">
        <v>3.86</v>
      </c>
      <c r="L681" s="50" t="n">
        <v>96367.39</v>
      </c>
      <c r="M681" s="46" t="inlineStr">
        <is>
          <t>USD</t>
        </is>
      </c>
      <c r="N681" s="46" t="inlineStr">
        <is>
          <t>FOB</t>
        </is>
      </c>
      <c r="O681" s="46" t="inlineStr">
        <is>
          <t>N</t>
        </is>
      </c>
      <c r="P681" s="50" t="n">
        <v>1382.0473</v>
      </c>
      <c r="Q681" s="49">
        <f>IF(OR(L681="",M681="",P681=""),"",L681*P681)</f>
        <v/>
      </c>
    </row>
    <row r="682" ht="15" customHeight="1" s="32">
      <c r="A682" s="46" t="inlineStr">
        <is>
          <t>R-HB-0681</t>
        </is>
      </c>
      <c r="B682" s="47" t="n">
        <v>45499</v>
      </c>
      <c r="C682" s="46" t="inlineStr">
        <is>
          <t>2024-07</t>
        </is>
      </c>
      <c r="D682" s="46" t="n">
        <v>2024</v>
      </c>
      <c r="E682" s="46" t="inlineStr">
        <is>
          <t>P-HB-002</t>
        </is>
      </c>
      <c r="F682" s="46" t="inlineStr">
        <is>
          <t>C-HB-06</t>
        </is>
      </c>
      <c r="G682" s="48" t="inlineStr">
        <is>
          <t>베트남</t>
        </is>
      </c>
      <c r="H682" s="46" t="inlineStr">
        <is>
          <t>VN</t>
        </is>
      </c>
      <c r="I682" s="49" t="n">
        <v>416</v>
      </c>
      <c r="J682" s="46" t="inlineStr">
        <is>
          <t>EA</t>
        </is>
      </c>
      <c r="K682" s="50" t="n">
        <v>0.92</v>
      </c>
      <c r="L682" s="50" t="n">
        <v>153153.55</v>
      </c>
      <c r="M682" s="46" t="inlineStr">
        <is>
          <t>USD</t>
        </is>
      </c>
      <c r="N682" s="46" t="inlineStr">
        <is>
          <t>FOB</t>
        </is>
      </c>
      <c r="O682" s="46" t="inlineStr">
        <is>
          <t>N</t>
        </is>
      </c>
      <c r="P682" s="50" t="n">
        <v>1382.0473</v>
      </c>
      <c r="Q682" s="49">
        <f>IF(OR(L682="",M682="",P682=""),"",L682*P682)</f>
        <v/>
      </c>
    </row>
    <row r="683" ht="15" customHeight="1" s="32">
      <c r="A683" s="46" t="inlineStr">
        <is>
          <t>R-HB-0682</t>
        </is>
      </c>
      <c r="B683" s="47" t="n">
        <v>45500</v>
      </c>
      <c r="C683" s="46" t="inlineStr">
        <is>
          <t>2024-07</t>
        </is>
      </c>
      <c r="D683" s="46" t="n">
        <v>2024</v>
      </c>
      <c r="E683" s="46" t="inlineStr">
        <is>
          <t>P-HB-001</t>
        </is>
      </c>
      <c r="F683" s="46" t="inlineStr">
        <is>
          <t>C-HB-06</t>
        </is>
      </c>
      <c r="G683" s="48" t="inlineStr">
        <is>
          <t>베트남</t>
        </is>
      </c>
      <c r="H683" s="46" t="inlineStr">
        <is>
          <t>VN</t>
        </is>
      </c>
      <c r="I683" s="49" t="n">
        <v>103520</v>
      </c>
      <c r="J683" s="46" t="inlineStr">
        <is>
          <t>EA</t>
        </is>
      </c>
      <c r="K683" s="50" t="n">
        <v>46.58</v>
      </c>
      <c r="L683" s="50" t="n">
        <v>550688.13</v>
      </c>
      <c r="M683" s="46" t="inlineStr">
        <is>
          <t>USD</t>
        </is>
      </c>
      <c r="N683" s="46" t="inlineStr">
        <is>
          <t>FOB</t>
        </is>
      </c>
      <c r="O683" s="46" t="inlineStr">
        <is>
          <t>N</t>
        </is>
      </c>
      <c r="P683" s="50" t="n">
        <v>1382.0473</v>
      </c>
      <c r="Q683" s="49">
        <f>IF(OR(L683="",M683="",P683=""),"",L683*P683)</f>
        <v/>
      </c>
    </row>
    <row r="684" ht="15" customHeight="1" s="32">
      <c r="A684" s="46" t="inlineStr">
        <is>
          <t>R-HB-0683</t>
        </is>
      </c>
      <c r="B684" s="47" t="n">
        <v>45500</v>
      </c>
      <c r="C684" s="46" t="inlineStr">
        <is>
          <t>2024-07</t>
        </is>
      </c>
      <c r="D684" s="46" t="n">
        <v>2024</v>
      </c>
      <c r="E684" s="46" t="inlineStr">
        <is>
          <t>P-HB-001</t>
        </is>
      </c>
      <c r="F684" s="46" t="inlineStr">
        <is>
          <t>C-HB-09</t>
        </is>
      </c>
      <c r="G684" s="48" t="inlineStr">
        <is>
          <t>중국</t>
        </is>
      </c>
      <c r="H684" s="46" t="inlineStr">
        <is>
          <t>CN</t>
        </is>
      </c>
      <c r="I684" s="49" t="n">
        <v>154086</v>
      </c>
      <c r="J684" s="46" t="inlineStr">
        <is>
          <t>EA</t>
        </is>
      </c>
      <c r="K684" s="50" t="n">
        <v>69.34</v>
      </c>
      <c r="L684" s="50" t="n">
        <v>827047.4300000001</v>
      </c>
      <c r="M684" s="46" t="inlineStr">
        <is>
          <t>USD</t>
        </is>
      </c>
      <c r="N684" s="46" t="inlineStr">
        <is>
          <t>FOB</t>
        </is>
      </c>
      <c r="O684" s="46" t="inlineStr">
        <is>
          <t>N</t>
        </is>
      </c>
      <c r="P684" s="50" t="n">
        <v>1382.0473</v>
      </c>
      <c r="Q684" s="49">
        <f>IF(OR(L684="",M684="",P684=""),"",L684*P684)</f>
        <v/>
      </c>
    </row>
    <row r="685" ht="15" customHeight="1" s="32">
      <c r="A685" s="46" t="inlineStr">
        <is>
          <t>R-HB-0684</t>
        </is>
      </c>
      <c r="B685" s="47" t="n">
        <v>45500</v>
      </c>
      <c r="C685" s="46" t="inlineStr">
        <is>
          <t>2024-07</t>
        </is>
      </c>
      <c r="D685" s="46" t="n">
        <v>2024</v>
      </c>
      <c r="E685" s="46" t="inlineStr">
        <is>
          <t>P-HB-004</t>
        </is>
      </c>
      <c r="F685" s="46" t="inlineStr">
        <is>
          <t>C-HB-09</t>
        </is>
      </c>
      <c r="G685" s="48" t="inlineStr">
        <is>
          <t>중국</t>
        </is>
      </c>
      <c r="H685" s="46" t="inlineStr">
        <is>
          <t>CN</t>
        </is>
      </c>
      <c r="I685" s="49" t="n">
        <v>14367</v>
      </c>
      <c r="J685" s="46" t="inlineStr">
        <is>
          <t>EA</t>
        </is>
      </c>
      <c r="K685" s="50" t="n">
        <v>15.8</v>
      </c>
      <c r="L685" s="50" t="n">
        <v>403520.04</v>
      </c>
      <c r="M685" s="46" t="inlineStr">
        <is>
          <t>USD</t>
        </is>
      </c>
      <c r="N685" s="46" t="inlineStr">
        <is>
          <t>FOB</t>
        </is>
      </c>
      <c r="O685" s="46" t="inlineStr">
        <is>
          <t>N</t>
        </is>
      </c>
      <c r="P685" s="50" t="n">
        <v>1382.0473</v>
      </c>
      <c r="Q685" s="49">
        <f>IF(OR(L685="",M685="",P685=""),"",L685*P685)</f>
        <v/>
      </c>
    </row>
    <row r="686" ht="15" customHeight="1" s="32">
      <c r="A686" s="46" t="inlineStr">
        <is>
          <t>R-HB-0685</t>
        </is>
      </c>
      <c r="B686" s="47" t="n">
        <v>45508</v>
      </c>
      <c r="C686" s="46" t="inlineStr">
        <is>
          <t>2024-08</t>
        </is>
      </c>
      <c r="D686" s="46" t="n">
        <v>2024</v>
      </c>
      <c r="E686" s="46" t="inlineStr">
        <is>
          <t>P-HB-003</t>
        </is>
      </c>
      <c r="F686" s="46" t="inlineStr">
        <is>
          <t>C-HB-02</t>
        </is>
      </c>
      <c r="G686" s="48" t="inlineStr">
        <is>
          <t>미국</t>
        </is>
      </c>
      <c r="H686" s="46" t="inlineStr">
        <is>
          <t>US</t>
        </is>
      </c>
      <c r="I686" s="49" t="n">
        <v>38361</v>
      </c>
      <c r="J686" s="46" t="inlineStr">
        <is>
          <t>EA</t>
        </is>
      </c>
      <c r="K686" s="50" t="n">
        <v>24.93</v>
      </c>
      <c r="L686" s="50" t="n">
        <v>280910.75</v>
      </c>
      <c r="M686" s="46" t="inlineStr">
        <is>
          <t>USD</t>
        </is>
      </c>
      <c r="N686" s="46" t="inlineStr">
        <is>
          <t>FOB</t>
        </is>
      </c>
      <c r="O686" s="46" t="inlineStr">
        <is>
          <t>N</t>
        </is>
      </c>
      <c r="P686" s="50" t="n">
        <v>1351.4436</v>
      </c>
      <c r="Q686" s="49">
        <f>IF(OR(L686="",M686="",P686=""),"",L686*P686)</f>
        <v/>
      </c>
    </row>
    <row r="687" ht="15" customHeight="1" s="32">
      <c r="A687" s="46" t="inlineStr">
        <is>
          <t>R-HB-0686</t>
        </is>
      </c>
      <c r="B687" s="47" t="n">
        <v>45508</v>
      </c>
      <c r="C687" s="46" t="inlineStr">
        <is>
          <t>2024-08</t>
        </is>
      </c>
      <c r="D687" s="46" t="n">
        <v>2024</v>
      </c>
      <c r="E687" s="46" t="inlineStr">
        <is>
          <t>P-HB-004</t>
        </is>
      </c>
      <c r="F687" s="46" t="inlineStr">
        <is>
          <t>C-HB-05</t>
        </is>
      </c>
      <c r="G687" s="48" t="inlineStr">
        <is>
          <t>독일</t>
        </is>
      </c>
      <c r="H687" s="46" t="inlineStr">
        <is>
          <t>DE</t>
        </is>
      </c>
      <c r="I687" s="49" t="n">
        <v>17312</v>
      </c>
      <c r="J687" s="46" t="inlineStr">
        <is>
          <t>EA</t>
        </is>
      </c>
      <c r="K687" s="50" t="n">
        <v>19.04</v>
      </c>
      <c r="L687" s="50" t="n">
        <v>497180.11</v>
      </c>
      <c r="M687" s="46" t="inlineStr">
        <is>
          <t>USD</t>
        </is>
      </c>
      <c r="N687" s="46" t="inlineStr">
        <is>
          <t>FOB</t>
        </is>
      </c>
      <c r="O687" s="46" t="inlineStr">
        <is>
          <t>N</t>
        </is>
      </c>
      <c r="P687" s="50" t="n">
        <v>1351.4436</v>
      </c>
      <c r="Q687" s="49">
        <f>IF(OR(L687="",M687="",P687=""),"",L687*P687)</f>
        <v/>
      </c>
    </row>
    <row r="688" ht="15" customHeight="1" s="32">
      <c r="A688" s="46" t="inlineStr">
        <is>
          <t>R-HB-0687</t>
        </is>
      </c>
      <c r="B688" s="47" t="n">
        <v>45510</v>
      </c>
      <c r="C688" s="46" t="inlineStr">
        <is>
          <t>2024-08</t>
        </is>
      </c>
      <c r="D688" s="46" t="n">
        <v>2024</v>
      </c>
      <c r="E688" s="46" t="inlineStr">
        <is>
          <t>P-HB-003</t>
        </is>
      </c>
      <c r="F688" s="46" t="inlineStr">
        <is>
          <t>C-HB-03</t>
        </is>
      </c>
      <c r="G688" s="48" t="inlineStr">
        <is>
          <t>멕시코</t>
        </is>
      </c>
      <c r="H688" s="46" t="inlineStr">
        <is>
          <t>MX</t>
        </is>
      </c>
      <c r="I688" s="49" t="n">
        <v>14045</v>
      </c>
      <c r="J688" s="46" t="inlineStr">
        <is>
          <t>EA</t>
        </is>
      </c>
      <c r="K688" s="50" t="n">
        <v>9.130000000000001</v>
      </c>
      <c r="L688" s="50" t="n">
        <v>105227.21</v>
      </c>
      <c r="M688" s="46" t="inlineStr">
        <is>
          <t>USD</t>
        </is>
      </c>
      <c r="N688" s="46" t="inlineStr">
        <is>
          <t>FOB</t>
        </is>
      </c>
      <c r="O688" s="46" t="inlineStr">
        <is>
          <t>N</t>
        </is>
      </c>
      <c r="P688" s="50" t="n">
        <v>1351.4436</v>
      </c>
      <c r="Q688" s="49">
        <f>IF(OR(L688="",M688="",P688=""),"",L688*P688)</f>
        <v/>
      </c>
    </row>
    <row r="689" ht="15" customHeight="1" s="32">
      <c r="A689" s="46" t="inlineStr">
        <is>
          <t>R-HB-0688</t>
        </is>
      </c>
      <c r="B689" s="47" t="n">
        <v>45510</v>
      </c>
      <c r="C689" s="46" t="inlineStr">
        <is>
          <t>2024-08</t>
        </is>
      </c>
      <c r="D689" s="46" t="n">
        <v>2024</v>
      </c>
      <c r="E689" s="46" t="inlineStr">
        <is>
          <t>P-HB-001</t>
        </is>
      </c>
      <c r="F689" s="46" t="inlineStr">
        <is>
          <t>C-HB-06</t>
        </is>
      </c>
      <c r="G689" s="48" t="inlineStr">
        <is>
          <t>베트남</t>
        </is>
      </c>
      <c r="H689" s="46" t="inlineStr">
        <is>
          <t>VN</t>
        </is>
      </c>
      <c r="I689" s="49" t="n">
        <v>108204</v>
      </c>
      <c r="J689" s="46" t="inlineStr">
        <is>
          <t>EA</t>
        </is>
      </c>
      <c r="K689" s="50" t="n">
        <v>48.69</v>
      </c>
      <c r="L689" s="50" t="n">
        <v>584502.95</v>
      </c>
      <c r="M689" s="46" t="inlineStr">
        <is>
          <t>USD</t>
        </is>
      </c>
      <c r="N689" s="46" t="inlineStr">
        <is>
          <t>FOB</t>
        </is>
      </c>
      <c r="O689" s="46" t="inlineStr">
        <is>
          <t>N</t>
        </is>
      </c>
      <c r="P689" s="50" t="n">
        <v>1351.4436</v>
      </c>
      <c r="Q689" s="49">
        <f>IF(OR(L689="",M689="",P689=""),"",L689*P689)</f>
        <v/>
      </c>
    </row>
    <row r="690" ht="15" customHeight="1" s="32">
      <c r="A690" s="46" t="inlineStr">
        <is>
          <t>R-HB-0689</t>
        </is>
      </c>
      <c r="B690" s="47" t="n">
        <v>45510</v>
      </c>
      <c r="C690" s="46" t="inlineStr">
        <is>
          <t>2024-08</t>
        </is>
      </c>
      <c r="D690" s="46" t="n">
        <v>2024</v>
      </c>
      <c r="E690" s="46" t="inlineStr">
        <is>
          <t>P-HB-001</t>
        </is>
      </c>
      <c r="F690" s="46" t="inlineStr">
        <is>
          <t>C-HB-08</t>
        </is>
      </c>
      <c r="G690" s="48" t="inlineStr">
        <is>
          <t>중국</t>
        </is>
      </c>
      <c r="H690" s="46" t="inlineStr">
        <is>
          <t>CN</t>
        </is>
      </c>
      <c r="I690" s="49" t="n">
        <v>216237</v>
      </c>
      <c r="J690" s="46" t="inlineStr">
        <is>
          <t>EA</t>
        </is>
      </c>
      <c r="K690" s="50" t="n">
        <v>97.31</v>
      </c>
      <c r="L690" s="50" t="n">
        <v>1179902.22</v>
      </c>
      <c r="M690" s="46" t="inlineStr">
        <is>
          <t>USD</t>
        </is>
      </c>
      <c r="N690" s="46" t="inlineStr">
        <is>
          <t>FOB</t>
        </is>
      </c>
      <c r="O690" s="46" t="inlineStr">
        <is>
          <t>N</t>
        </is>
      </c>
      <c r="P690" s="50" t="n">
        <v>1351.4436</v>
      </c>
      <c r="Q690" s="49">
        <f>IF(OR(L690="",M690="",P690=""),"",L690*P690)</f>
        <v/>
      </c>
    </row>
    <row r="691" ht="15" customHeight="1" s="32">
      <c r="A691" s="46" t="inlineStr">
        <is>
          <t>R-HB-0690</t>
        </is>
      </c>
      <c r="B691" s="47" t="n">
        <v>45512</v>
      </c>
      <c r="C691" s="46" t="inlineStr">
        <is>
          <t>2024-08</t>
        </is>
      </c>
      <c r="D691" s="46" t="n">
        <v>2024</v>
      </c>
      <c r="E691" s="46" t="inlineStr">
        <is>
          <t>P-HB-001</t>
        </is>
      </c>
      <c r="F691" s="46" t="inlineStr">
        <is>
          <t>C-HB-01</t>
        </is>
      </c>
      <c r="G691" s="48" t="inlineStr">
        <is>
          <t>미국</t>
        </is>
      </c>
      <c r="H691" s="46" t="inlineStr">
        <is>
          <t>US</t>
        </is>
      </c>
      <c r="I691" s="49" t="n">
        <v>207934</v>
      </c>
      <c r="J691" s="46" t="inlineStr">
        <is>
          <t>EA</t>
        </is>
      </c>
      <c r="K691" s="50" t="n">
        <v>93.56999999999999</v>
      </c>
      <c r="L691" s="50" t="n">
        <v>1098347.03</v>
      </c>
      <c r="M691" s="46" t="inlineStr">
        <is>
          <t>USD</t>
        </is>
      </c>
      <c r="N691" s="46" t="inlineStr">
        <is>
          <t>FOB</t>
        </is>
      </c>
      <c r="O691" s="46" t="inlineStr">
        <is>
          <t>N</t>
        </is>
      </c>
      <c r="P691" s="50" t="n">
        <v>1351.4436</v>
      </c>
      <c r="Q691" s="49">
        <f>IF(OR(L691="",M691="",P691=""),"",L691*P691)</f>
        <v/>
      </c>
    </row>
    <row r="692" ht="15" customHeight="1" s="32">
      <c r="A692" s="46" t="inlineStr">
        <is>
          <t>R-HB-0691</t>
        </is>
      </c>
      <c r="B692" s="47" t="n">
        <v>45513</v>
      </c>
      <c r="C692" s="46" t="inlineStr">
        <is>
          <t>2024-08</t>
        </is>
      </c>
      <c r="D692" s="46" t="n">
        <v>2024</v>
      </c>
      <c r="E692" s="46" t="inlineStr">
        <is>
          <t>P-HB-001</t>
        </is>
      </c>
      <c r="F692" s="46" t="inlineStr">
        <is>
          <t>C-HB-03</t>
        </is>
      </c>
      <c r="G692" s="48" t="inlineStr">
        <is>
          <t>멕시코</t>
        </is>
      </c>
      <c r="H692" s="46" t="inlineStr">
        <is>
          <t>MX</t>
        </is>
      </c>
      <c r="I692" s="49" t="n">
        <v>39018</v>
      </c>
      <c r="J692" s="46" t="inlineStr">
        <is>
          <t>EA</t>
        </is>
      </c>
      <c r="K692" s="50" t="n">
        <v>17.56</v>
      </c>
      <c r="L692" s="50" t="n">
        <v>199636.95</v>
      </c>
      <c r="M692" s="46" t="inlineStr">
        <is>
          <t>USD</t>
        </is>
      </c>
      <c r="N692" s="46" t="inlineStr">
        <is>
          <t>FOB</t>
        </is>
      </c>
      <c r="O692" s="46" t="inlineStr">
        <is>
          <t>N</t>
        </is>
      </c>
      <c r="P692" s="50" t="n">
        <v>1351.4436</v>
      </c>
      <c r="Q692" s="49">
        <f>IF(OR(L692="",M692="",P692=""),"",L692*P692)</f>
        <v/>
      </c>
    </row>
    <row r="693" ht="15" customHeight="1" s="32">
      <c r="A693" s="46" t="inlineStr">
        <is>
          <t>R-HB-0692</t>
        </is>
      </c>
      <c r="B693" s="47" t="n">
        <v>45513</v>
      </c>
      <c r="C693" s="46" t="inlineStr">
        <is>
          <t>2024-08</t>
        </is>
      </c>
      <c r="D693" s="46" t="n">
        <v>2024</v>
      </c>
      <c r="E693" s="46" t="inlineStr">
        <is>
          <t>P-HB-003</t>
        </is>
      </c>
      <c r="F693" s="46" t="inlineStr">
        <is>
          <t>C-HB-08</t>
        </is>
      </c>
      <c r="G693" s="48" t="inlineStr">
        <is>
          <t>중국</t>
        </is>
      </c>
      <c r="H693" s="46" t="inlineStr">
        <is>
          <t>CN</t>
        </is>
      </c>
      <c r="I693" s="49" t="n">
        <v>92193</v>
      </c>
      <c r="J693" s="46" t="inlineStr">
        <is>
          <t>EA</t>
        </is>
      </c>
      <c r="K693" s="50" t="n">
        <v>59.93</v>
      </c>
      <c r="L693" s="50" t="n">
        <v>676176.85</v>
      </c>
      <c r="M693" s="46" t="inlineStr">
        <is>
          <t>USD</t>
        </is>
      </c>
      <c r="N693" s="46" t="inlineStr">
        <is>
          <t>FOB</t>
        </is>
      </c>
      <c r="O693" s="46" t="inlineStr">
        <is>
          <t>N</t>
        </is>
      </c>
      <c r="P693" s="50" t="n">
        <v>1351.4436</v>
      </c>
      <c r="Q693" s="49">
        <f>IF(OR(L693="",M693="",P693=""),"",L693*P693)</f>
        <v/>
      </c>
    </row>
    <row r="694" ht="15" customHeight="1" s="32">
      <c r="A694" s="46" t="inlineStr">
        <is>
          <t>R-HB-0693</t>
        </is>
      </c>
      <c r="B694" s="47" t="n">
        <v>45513</v>
      </c>
      <c r="C694" s="46" t="inlineStr">
        <is>
          <t>2024-08</t>
        </is>
      </c>
      <c r="D694" s="46" t="n">
        <v>2024</v>
      </c>
      <c r="E694" s="46" t="inlineStr">
        <is>
          <t>P-HB-003</t>
        </is>
      </c>
      <c r="F694" s="46" t="inlineStr">
        <is>
          <t>C-HB-09</t>
        </is>
      </c>
      <c r="G694" s="48" t="inlineStr">
        <is>
          <t>중국</t>
        </is>
      </c>
      <c r="H694" s="46" t="inlineStr">
        <is>
          <t>CN</t>
        </is>
      </c>
      <c r="I694" s="49" t="n">
        <v>60589</v>
      </c>
      <c r="J694" s="46" t="inlineStr">
        <is>
          <t>EA</t>
        </is>
      </c>
      <c r="K694" s="50" t="n">
        <v>39.38</v>
      </c>
      <c r="L694" s="50" t="n">
        <v>441505.98</v>
      </c>
      <c r="M694" s="46" t="inlineStr">
        <is>
          <t>USD</t>
        </is>
      </c>
      <c r="N694" s="46" t="inlineStr">
        <is>
          <t>FOB</t>
        </is>
      </c>
      <c r="O694" s="46" t="inlineStr">
        <is>
          <t>N</t>
        </is>
      </c>
      <c r="P694" s="50" t="n">
        <v>1351.4436</v>
      </c>
      <c r="Q694" s="49">
        <f>IF(OR(L694="",M694="",P694=""),"",L694*P694)</f>
        <v/>
      </c>
    </row>
    <row r="695" ht="15" customHeight="1" s="32">
      <c r="A695" s="46" t="inlineStr">
        <is>
          <t>R-HB-0694</t>
        </is>
      </c>
      <c r="B695" s="47" t="n">
        <v>45514</v>
      </c>
      <c r="C695" s="46" t="inlineStr">
        <is>
          <t>2024-08</t>
        </is>
      </c>
      <c r="D695" s="46" t="n">
        <v>2024</v>
      </c>
      <c r="E695" s="46" t="inlineStr">
        <is>
          <t>P-HB-002</t>
        </is>
      </c>
      <c r="F695" s="46" t="inlineStr">
        <is>
          <t>C-HB-03</t>
        </is>
      </c>
      <c r="G695" s="48" t="inlineStr">
        <is>
          <t>멕시코</t>
        </is>
      </c>
      <c r="H695" s="46" t="inlineStr">
        <is>
          <t>MX</t>
        </is>
      </c>
      <c r="I695" s="49" t="n">
        <v>120</v>
      </c>
      <c r="J695" s="46" t="inlineStr">
        <is>
          <t>EA</t>
        </is>
      </c>
      <c r="K695" s="50" t="n">
        <v>0.26</v>
      </c>
      <c r="L695" s="50" t="n">
        <v>43965.77</v>
      </c>
      <c r="M695" s="46" t="inlineStr">
        <is>
          <t>USD</t>
        </is>
      </c>
      <c r="N695" s="46" t="inlineStr">
        <is>
          <t>FOB</t>
        </is>
      </c>
      <c r="O695" s="46" t="inlineStr">
        <is>
          <t>N</t>
        </is>
      </c>
      <c r="P695" s="50" t="n">
        <v>1351.4436</v>
      </c>
      <c r="Q695" s="49">
        <f>IF(OR(L695="",M695="",P695=""),"",L695*P695)</f>
        <v/>
      </c>
    </row>
    <row r="696" ht="15" customHeight="1" s="32">
      <c r="A696" s="46" t="inlineStr">
        <is>
          <t>R-HB-0695</t>
        </is>
      </c>
      <c r="B696" s="47" t="n">
        <v>45515</v>
      </c>
      <c r="C696" s="46" t="inlineStr">
        <is>
          <t>2024-08</t>
        </is>
      </c>
      <c r="D696" s="46" t="n">
        <v>2024</v>
      </c>
      <c r="E696" s="46" t="inlineStr">
        <is>
          <t>P-HB-002</t>
        </is>
      </c>
      <c r="F696" s="46" t="inlineStr">
        <is>
          <t>C-HB-02</t>
        </is>
      </c>
      <c r="G696" s="48" t="inlineStr">
        <is>
          <t>미국</t>
        </is>
      </c>
      <c r="H696" s="46" t="inlineStr">
        <is>
          <t>US</t>
        </is>
      </c>
      <c r="I696" s="49" t="n">
        <v>402</v>
      </c>
      <c r="J696" s="46" t="inlineStr">
        <is>
          <t>EA</t>
        </is>
      </c>
      <c r="K696" s="50" t="n">
        <v>0.88</v>
      </c>
      <c r="L696" s="50" t="n">
        <v>142050.41</v>
      </c>
      <c r="M696" s="46" t="inlineStr">
        <is>
          <t>USD</t>
        </is>
      </c>
      <c r="N696" s="46" t="inlineStr">
        <is>
          <t>FOB</t>
        </is>
      </c>
      <c r="O696" s="46" t="inlineStr">
        <is>
          <t>N</t>
        </is>
      </c>
      <c r="P696" s="50" t="n">
        <v>1351.4436</v>
      </c>
      <c r="Q696" s="49">
        <f>IF(OR(L696="",M696="",P696=""),"",L696*P696)</f>
        <v/>
      </c>
    </row>
    <row r="697" ht="15" customHeight="1" s="32">
      <c r="A697" s="46" t="inlineStr">
        <is>
          <t>R-HB-0696</t>
        </is>
      </c>
      <c r="B697" s="47" t="n">
        <v>45515</v>
      </c>
      <c r="C697" s="46" t="inlineStr">
        <is>
          <t>2024-08</t>
        </is>
      </c>
      <c r="D697" s="46" t="n">
        <v>2024</v>
      </c>
      <c r="E697" s="46" t="inlineStr">
        <is>
          <t>P-HB-004</t>
        </is>
      </c>
      <c r="F697" s="46" t="inlineStr">
        <is>
          <t>C-HB-04</t>
        </is>
      </c>
      <c r="G697" s="48" t="inlineStr">
        <is>
          <t>캐나다</t>
        </is>
      </c>
      <c r="H697" s="46" t="inlineStr">
        <is>
          <t>CA</t>
        </is>
      </c>
      <c r="I697" s="49" t="n">
        <v>1966</v>
      </c>
      <c r="J697" s="46" t="inlineStr">
        <is>
          <t>EA</t>
        </is>
      </c>
      <c r="K697" s="50" t="n">
        <v>2.16</v>
      </c>
      <c r="L697" s="50" t="n">
        <v>52884.53</v>
      </c>
      <c r="M697" s="46" t="inlineStr">
        <is>
          <t>USD</t>
        </is>
      </c>
      <c r="N697" s="46" t="inlineStr">
        <is>
          <t>FOB</t>
        </is>
      </c>
      <c r="O697" s="46" t="inlineStr">
        <is>
          <t>N</t>
        </is>
      </c>
      <c r="P697" s="50" t="n">
        <v>1351.4436</v>
      </c>
      <c r="Q697" s="49">
        <f>IF(OR(L697="",M697="",P697=""),"",L697*P697)</f>
        <v/>
      </c>
    </row>
    <row r="698" ht="15" customHeight="1" s="32">
      <c r="A698" s="46" t="inlineStr">
        <is>
          <t>R-HB-0697</t>
        </is>
      </c>
      <c r="B698" s="47" t="n">
        <v>45516</v>
      </c>
      <c r="C698" s="46" t="inlineStr">
        <is>
          <t>2024-08</t>
        </is>
      </c>
      <c r="D698" s="46" t="n">
        <v>2024</v>
      </c>
      <c r="E698" s="46" t="inlineStr">
        <is>
          <t>P-HB-003</t>
        </is>
      </c>
      <c r="F698" s="46" t="inlineStr">
        <is>
          <t>C-HB-04</t>
        </is>
      </c>
      <c r="G698" s="48" t="inlineStr">
        <is>
          <t>캐나다</t>
        </is>
      </c>
      <c r="H698" s="46" t="inlineStr">
        <is>
          <t>CA</t>
        </is>
      </c>
      <c r="I698" s="49" t="n">
        <v>7073</v>
      </c>
      <c r="J698" s="46" t="inlineStr">
        <is>
          <t>EA</t>
        </is>
      </c>
      <c r="K698" s="50" t="n">
        <v>4.6</v>
      </c>
      <c r="L698" s="50" t="n">
        <v>52537.87</v>
      </c>
      <c r="M698" s="46" t="inlineStr">
        <is>
          <t>USD</t>
        </is>
      </c>
      <c r="N698" s="46" t="inlineStr">
        <is>
          <t>FOB</t>
        </is>
      </c>
      <c r="O698" s="46" t="inlineStr">
        <is>
          <t>N</t>
        </is>
      </c>
      <c r="P698" s="50" t="n">
        <v>1351.4436</v>
      </c>
      <c r="Q698" s="49">
        <f>IF(OR(L698="",M698="",P698=""),"",L698*P698)</f>
        <v/>
      </c>
    </row>
    <row r="699" ht="15" customHeight="1" s="32">
      <c r="A699" s="46" t="inlineStr">
        <is>
          <t>R-HB-0698</t>
        </is>
      </c>
      <c r="B699" s="47" t="n">
        <v>45517</v>
      </c>
      <c r="C699" s="46" t="inlineStr">
        <is>
          <t>2024-08</t>
        </is>
      </c>
      <c r="D699" s="46" t="n">
        <v>2024</v>
      </c>
      <c r="E699" s="46" t="inlineStr">
        <is>
          <t>P-HB-002</t>
        </is>
      </c>
      <c r="F699" s="46" t="inlineStr">
        <is>
          <t>C-HB-07</t>
        </is>
      </c>
      <c r="G699" s="48" t="inlineStr">
        <is>
          <t>인도</t>
        </is>
      </c>
      <c r="H699" s="46" t="inlineStr">
        <is>
          <t>IN</t>
        </is>
      </c>
      <c r="I699" s="49" t="n">
        <v>282</v>
      </c>
      <c r="J699" s="46" t="inlineStr">
        <is>
          <t>EA</t>
        </is>
      </c>
      <c r="K699" s="50" t="n">
        <v>0.62</v>
      </c>
      <c r="L699" s="50" t="n">
        <v>101133.1</v>
      </c>
      <c r="M699" s="46" t="inlineStr">
        <is>
          <t>USD</t>
        </is>
      </c>
      <c r="N699" s="46" t="inlineStr">
        <is>
          <t>FOB</t>
        </is>
      </c>
      <c r="O699" s="46" t="inlineStr">
        <is>
          <t>N</t>
        </is>
      </c>
      <c r="P699" s="50" t="n">
        <v>1351.4436</v>
      </c>
      <c r="Q699" s="49">
        <f>IF(OR(L699="",M699="",P699=""),"",L699*P699)</f>
        <v/>
      </c>
    </row>
    <row r="700" ht="15" customHeight="1" s="32">
      <c r="A700" s="46" t="inlineStr">
        <is>
          <t>R-HB-0699</t>
        </is>
      </c>
      <c r="B700" s="47" t="n">
        <v>45517</v>
      </c>
      <c r="C700" s="46" t="inlineStr">
        <is>
          <t>2024-08</t>
        </is>
      </c>
      <c r="D700" s="46" t="n">
        <v>2024</v>
      </c>
      <c r="E700" s="46" t="inlineStr">
        <is>
          <t>P-HB-004</t>
        </is>
      </c>
      <c r="F700" s="46" t="inlineStr">
        <is>
          <t>C-HB-09</t>
        </is>
      </c>
      <c r="G700" s="48" t="inlineStr">
        <is>
          <t>중국</t>
        </is>
      </c>
      <c r="H700" s="46" t="inlineStr">
        <is>
          <t>CN</t>
        </is>
      </c>
      <c r="I700" s="49" t="n">
        <v>15090</v>
      </c>
      <c r="J700" s="46" t="inlineStr">
        <is>
          <t>EA</t>
        </is>
      </c>
      <c r="K700" s="50" t="n">
        <v>16.6</v>
      </c>
      <c r="L700" s="50" t="n">
        <v>431532.53</v>
      </c>
      <c r="M700" s="46" t="inlineStr">
        <is>
          <t>USD</t>
        </is>
      </c>
      <c r="N700" s="46" t="inlineStr">
        <is>
          <t>FOB</t>
        </is>
      </c>
      <c r="O700" s="46" t="inlineStr">
        <is>
          <t>N</t>
        </is>
      </c>
      <c r="P700" s="50" t="n">
        <v>1351.4436</v>
      </c>
      <c r="Q700" s="49">
        <f>IF(OR(L700="",M700="",P700=""),"",L700*P700)</f>
        <v/>
      </c>
    </row>
    <row r="701" ht="15" customHeight="1" s="32">
      <c r="A701" s="46" t="inlineStr">
        <is>
          <t>R-HB-0700</t>
        </is>
      </c>
      <c r="B701" s="47" t="n">
        <v>45519</v>
      </c>
      <c r="C701" s="46" t="inlineStr">
        <is>
          <t>2024-08</t>
        </is>
      </c>
      <c r="D701" s="46" t="n">
        <v>2024</v>
      </c>
      <c r="E701" s="46" t="inlineStr">
        <is>
          <t>P-HB-004</t>
        </is>
      </c>
      <c r="F701" s="46" t="inlineStr">
        <is>
          <t>C-HB-02</t>
        </is>
      </c>
      <c r="G701" s="48" t="inlineStr">
        <is>
          <t>미국</t>
        </is>
      </c>
      <c r="H701" s="46" t="inlineStr">
        <is>
          <t>US</t>
        </is>
      </c>
      <c r="I701" s="49" t="n">
        <v>10734</v>
      </c>
      <c r="J701" s="46" t="inlineStr">
        <is>
          <t>EA</t>
        </is>
      </c>
      <c r="K701" s="50" t="n">
        <v>11.81</v>
      </c>
      <c r="L701" s="50" t="n">
        <v>293535.07</v>
      </c>
      <c r="M701" s="46" t="inlineStr">
        <is>
          <t>USD</t>
        </is>
      </c>
      <c r="N701" s="46" t="inlineStr">
        <is>
          <t>FOB</t>
        </is>
      </c>
      <c r="O701" s="46" t="inlineStr">
        <is>
          <t>N</t>
        </is>
      </c>
      <c r="P701" s="50" t="n">
        <v>1351.4436</v>
      </c>
      <c r="Q701" s="49">
        <f>IF(OR(L701="",M701="",P701=""),"",L701*P701)</f>
        <v/>
      </c>
    </row>
    <row r="702" ht="15" customHeight="1" s="32">
      <c r="A702" s="46" t="inlineStr">
        <is>
          <t>R-HB-0701</t>
        </is>
      </c>
      <c r="B702" s="47" t="n">
        <v>45519</v>
      </c>
      <c r="C702" s="46" t="inlineStr">
        <is>
          <t>2024-08</t>
        </is>
      </c>
      <c r="D702" s="46" t="n">
        <v>2024</v>
      </c>
      <c r="E702" s="46" t="inlineStr">
        <is>
          <t>P-HB-001</t>
        </is>
      </c>
      <c r="F702" s="46" t="inlineStr">
        <is>
          <t>C-HB-05</t>
        </is>
      </c>
      <c r="G702" s="48" t="inlineStr">
        <is>
          <t>독일</t>
        </is>
      </c>
      <c r="H702" s="46" t="inlineStr">
        <is>
          <t>DE</t>
        </is>
      </c>
      <c r="I702" s="49" t="n">
        <v>156525</v>
      </c>
      <c r="J702" s="46" t="inlineStr">
        <is>
          <t>EA</t>
        </is>
      </c>
      <c r="K702" s="50" t="n">
        <v>70.44</v>
      </c>
      <c r="L702" s="50" t="n">
        <v>829735.91</v>
      </c>
      <c r="M702" s="46" t="inlineStr">
        <is>
          <t>USD</t>
        </is>
      </c>
      <c r="N702" s="46" t="inlineStr">
        <is>
          <t>FOB</t>
        </is>
      </c>
      <c r="O702" s="46" t="inlineStr">
        <is>
          <t>N</t>
        </is>
      </c>
      <c r="P702" s="50" t="n">
        <v>1351.4436</v>
      </c>
      <c r="Q702" s="49">
        <f>IF(OR(L702="",M702="",P702=""),"",L702*P702)</f>
        <v/>
      </c>
    </row>
    <row r="703" ht="15" customHeight="1" s="32">
      <c r="A703" s="46" t="inlineStr">
        <is>
          <t>R-HB-0702</t>
        </is>
      </c>
      <c r="B703" s="47" t="n">
        <v>45520</v>
      </c>
      <c r="C703" s="46" t="inlineStr">
        <is>
          <t>2024-08</t>
        </is>
      </c>
      <c r="D703" s="46" t="n">
        <v>2024</v>
      </c>
      <c r="E703" s="46" t="inlineStr">
        <is>
          <t>P-HB-001</t>
        </is>
      </c>
      <c r="F703" s="46" t="inlineStr">
        <is>
          <t>C-HB-07</t>
        </is>
      </c>
      <c r="G703" s="48" t="inlineStr">
        <is>
          <t>인도</t>
        </is>
      </c>
      <c r="H703" s="46" t="inlineStr">
        <is>
          <t>IN</t>
        </is>
      </c>
      <c r="I703" s="49" t="n">
        <v>80471</v>
      </c>
      <c r="J703" s="46" t="inlineStr">
        <is>
          <t>EA</t>
        </is>
      </c>
      <c r="K703" s="50" t="n">
        <v>36.21</v>
      </c>
      <c r="L703" s="50" t="n">
        <v>415770.74</v>
      </c>
      <c r="M703" s="46" t="inlineStr">
        <is>
          <t>USD</t>
        </is>
      </c>
      <c r="N703" s="46" t="inlineStr">
        <is>
          <t>FOB</t>
        </is>
      </c>
      <c r="O703" s="46" t="inlineStr">
        <is>
          <t>N</t>
        </is>
      </c>
      <c r="P703" s="50" t="n">
        <v>1351.4436</v>
      </c>
      <c r="Q703" s="49">
        <f>IF(OR(L703="",M703="",P703=""),"",L703*P703)</f>
        <v/>
      </c>
    </row>
    <row r="704" ht="15" customHeight="1" s="32">
      <c r="A704" s="46" t="inlineStr">
        <is>
          <t>R-HB-0703</t>
        </is>
      </c>
      <c r="B704" s="47" t="n">
        <v>45520</v>
      </c>
      <c r="C704" s="46" t="inlineStr">
        <is>
          <t>2024-08</t>
        </is>
      </c>
      <c r="D704" s="46" t="n">
        <v>2024</v>
      </c>
      <c r="E704" s="46" t="inlineStr">
        <is>
          <t>P-HB-002</t>
        </is>
      </c>
      <c r="F704" s="46" t="inlineStr">
        <is>
          <t>C-HB-08</t>
        </is>
      </c>
      <c r="G704" s="48" t="inlineStr">
        <is>
          <t>중국</t>
        </is>
      </c>
      <c r="H704" s="46" t="inlineStr">
        <is>
          <t>CN</t>
        </is>
      </c>
      <c r="I704" s="49" t="n">
        <v>858</v>
      </c>
      <c r="J704" s="46" t="inlineStr">
        <is>
          <t>EA</t>
        </is>
      </c>
      <c r="K704" s="50" t="n">
        <v>1.89</v>
      </c>
      <c r="L704" s="50" t="n">
        <v>316882.23</v>
      </c>
      <c r="M704" s="46" t="inlineStr">
        <is>
          <t>USD</t>
        </is>
      </c>
      <c r="N704" s="46" t="inlineStr">
        <is>
          <t>FOB</t>
        </is>
      </c>
      <c r="O704" s="46" t="inlineStr">
        <is>
          <t>N</t>
        </is>
      </c>
      <c r="P704" s="50" t="n">
        <v>1351.4436</v>
      </c>
      <c r="Q704" s="49">
        <f>IF(OR(L704="",M704="",P704=""),"",L704*P704)</f>
        <v/>
      </c>
    </row>
    <row r="705" ht="15" customHeight="1" s="32">
      <c r="A705" s="46" t="inlineStr">
        <is>
          <t>R-HB-0704</t>
        </is>
      </c>
      <c r="B705" s="47" t="n">
        <v>45520</v>
      </c>
      <c r="C705" s="46" t="inlineStr">
        <is>
          <t>2024-08</t>
        </is>
      </c>
      <c r="D705" s="46" t="n">
        <v>2024</v>
      </c>
      <c r="E705" s="46" t="inlineStr">
        <is>
          <t>P-HB-004</t>
        </is>
      </c>
      <c r="F705" s="46" t="inlineStr">
        <is>
          <t>C-HB-08</t>
        </is>
      </c>
      <c r="G705" s="48" t="inlineStr">
        <is>
          <t>중국</t>
        </is>
      </c>
      <c r="H705" s="46" t="inlineStr">
        <is>
          <t>CN</t>
        </is>
      </c>
      <c r="I705" s="49" t="n">
        <v>23495</v>
      </c>
      <c r="J705" s="46" t="inlineStr">
        <is>
          <t>EA</t>
        </is>
      </c>
      <c r="K705" s="50" t="n">
        <v>25.84</v>
      </c>
      <c r="L705" s="50" t="n">
        <v>654491.97</v>
      </c>
      <c r="M705" s="46" t="inlineStr">
        <is>
          <t>USD</t>
        </is>
      </c>
      <c r="N705" s="46" t="inlineStr">
        <is>
          <t>FOB</t>
        </is>
      </c>
      <c r="O705" s="46" t="inlineStr">
        <is>
          <t>N</t>
        </is>
      </c>
      <c r="P705" s="50" t="n">
        <v>1351.4436</v>
      </c>
      <c r="Q705" s="49">
        <f>IF(OR(L705="",M705="",P705=""),"",L705*P705)</f>
        <v/>
      </c>
    </row>
    <row r="706" ht="15" customHeight="1" s="32">
      <c r="A706" s="46" t="inlineStr">
        <is>
          <t>R-HB-0705</t>
        </is>
      </c>
      <c r="B706" s="47" t="n">
        <v>45521</v>
      </c>
      <c r="C706" s="46" t="inlineStr">
        <is>
          <t>2024-08</t>
        </is>
      </c>
      <c r="D706" s="46" t="n">
        <v>2024</v>
      </c>
      <c r="E706" s="46" t="inlineStr">
        <is>
          <t>P-HB-004</t>
        </is>
      </c>
      <c r="F706" s="46" t="inlineStr">
        <is>
          <t>C-HB-07</t>
        </is>
      </c>
      <c r="G706" s="48" t="inlineStr">
        <is>
          <t>인도</t>
        </is>
      </c>
      <c r="H706" s="46" t="inlineStr">
        <is>
          <t>IN</t>
        </is>
      </c>
      <c r="I706" s="49" t="n">
        <v>7755</v>
      </c>
      <c r="J706" s="46" t="inlineStr">
        <is>
          <t>EA</t>
        </is>
      </c>
      <c r="K706" s="50" t="n">
        <v>8.529999999999999</v>
      </c>
      <c r="L706" s="50" t="n">
        <v>215846.67</v>
      </c>
      <c r="M706" s="46" t="inlineStr">
        <is>
          <t>USD</t>
        </is>
      </c>
      <c r="N706" s="46" t="inlineStr">
        <is>
          <t>FOB</t>
        </is>
      </c>
      <c r="O706" s="46" t="inlineStr">
        <is>
          <t>N</t>
        </is>
      </c>
      <c r="P706" s="50" t="n">
        <v>1351.4436</v>
      </c>
      <c r="Q706" s="49">
        <f>IF(OR(L706="",M706="",P706=""),"",L706*P706)</f>
        <v/>
      </c>
    </row>
    <row r="707" ht="15" customHeight="1" s="32">
      <c r="A707" s="46" t="inlineStr">
        <is>
          <t>R-HB-0706</t>
        </is>
      </c>
      <c r="B707" s="47" t="n">
        <v>45522</v>
      </c>
      <c r="C707" s="46" t="inlineStr">
        <is>
          <t>2024-08</t>
        </is>
      </c>
      <c r="D707" s="46" t="n">
        <v>2024</v>
      </c>
      <c r="E707" s="46" t="inlineStr">
        <is>
          <t>P-HB-001</t>
        </is>
      </c>
      <c r="F707" s="46" t="inlineStr">
        <is>
          <t>C-HB-02</t>
        </is>
      </c>
      <c r="G707" s="48" t="inlineStr">
        <is>
          <t>미국</t>
        </is>
      </c>
      <c r="H707" s="46" t="inlineStr">
        <is>
          <t>US</t>
        </is>
      </c>
      <c r="I707" s="49" t="n">
        <v>110171</v>
      </c>
      <c r="J707" s="46" t="inlineStr">
        <is>
          <t>EA</t>
        </is>
      </c>
      <c r="K707" s="50" t="n">
        <v>49.58</v>
      </c>
      <c r="L707" s="50" t="n">
        <v>569917.16</v>
      </c>
      <c r="M707" s="46" t="inlineStr">
        <is>
          <t>USD</t>
        </is>
      </c>
      <c r="N707" s="46" t="inlineStr">
        <is>
          <t>FOB</t>
        </is>
      </c>
      <c r="O707" s="46" t="inlineStr">
        <is>
          <t>N</t>
        </is>
      </c>
      <c r="P707" s="50" t="n">
        <v>1351.4436</v>
      </c>
      <c r="Q707" s="49">
        <f>IF(OR(L707="",M707="",P707=""),"",L707*P707)</f>
        <v/>
      </c>
    </row>
    <row r="708" ht="15" customHeight="1" s="32">
      <c r="A708" s="46" t="inlineStr">
        <is>
          <t>R-HB-0707</t>
        </is>
      </c>
      <c r="B708" s="47" t="n">
        <v>45523</v>
      </c>
      <c r="C708" s="46" t="inlineStr">
        <is>
          <t>2024-08</t>
        </is>
      </c>
      <c r="D708" s="46" t="n">
        <v>2024</v>
      </c>
      <c r="E708" s="46" t="inlineStr">
        <is>
          <t>P-HB-002</t>
        </is>
      </c>
      <c r="F708" s="46" t="inlineStr">
        <is>
          <t>C-HB-06</t>
        </is>
      </c>
      <c r="G708" s="48" t="inlineStr">
        <is>
          <t>베트남</t>
        </is>
      </c>
      <c r="H708" s="46" t="inlineStr">
        <is>
          <t>VN</t>
        </is>
      </c>
      <c r="I708" s="49" t="n">
        <v>441</v>
      </c>
      <c r="J708" s="46" t="inlineStr">
        <is>
          <t>EA</t>
        </is>
      </c>
      <c r="K708" s="50" t="n">
        <v>0.97</v>
      </c>
      <c r="L708" s="50" t="n">
        <v>154508.22</v>
      </c>
      <c r="M708" s="46" t="inlineStr">
        <is>
          <t>USD</t>
        </is>
      </c>
      <c r="N708" s="46" t="inlineStr">
        <is>
          <t>FOB</t>
        </is>
      </c>
      <c r="O708" s="46" t="inlineStr">
        <is>
          <t>N</t>
        </is>
      </c>
      <c r="P708" s="50" t="n">
        <v>1351.4436</v>
      </c>
      <c r="Q708" s="49">
        <f>IF(OR(L708="",M708="",P708=""),"",L708*P708)</f>
        <v/>
      </c>
    </row>
    <row r="709" ht="15" customHeight="1" s="32">
      <c r="A709" s="46" t="inlineStr">
        <is>
          <t>R-HB-0708</t>
        </is>
      </c>
      <c r="B709" s="47" t="n">
        <v>45524</v>
      </c>
      <c r="C709" s="46" t="inlineStr">
        <is>
          <t>2024-08</t>
        </is>
      </c>
      <c r="D709" s="46" t="n">
        <v>2024</v>
      </c>
      <c r="E709" s="46" t="inlineStr">
        <is>
          <t>P-HB-002</t>
        </is>
      </c>
      <c r="F709" s="46" t="inlineStr">
        <is>
          <t>C-HB-01</t>
        </is>
      </c>
      <c r="G709" s="48" t="inlineStr">
        <is>
          <t>미국</t>
        </is>
      </c>
      <c r="H709" s="46" t="inlineStr">
        <is>
          <t>US</t>
        </is>
      </c>
      <c r="I709" s="49" t="n">
        <v>742</v>
      </c>
      <c r="J709" s="46" t="inlineStr">
        <is>
          <t>EA</t>
        </is>
      </c>
      <c r="K709" s="50" t="n">
        <v>1.63</v>
      </c>
      <c r="L709" s="50" t="n">
        <v>279193.65</v>
      </c>
      <c r="M709" s="46" t="inlineStr">
        <is>
          <t>USD</t>
        </is>
      </c>
      <c r="N709" s="46" t="inlineStr">
        <is>
          <t>FOB</t>
        </is>
      </c>
      <c r="O709" s="46" t="inlineStr">
        <is>
          <t>N</t>
        </is>
      </c>
      <c r="P709" s="50" t="n">
        <v>1351.4436</v>
      </c>
      <c r="Q709" s="49">
        <f>IF(OR(L709="",M709="",P709=""),"",L709*P709)</f>
        <v/>
      </c>
    </row>
    <row r="710" ht="15" customHeight="1" s="32">
      <c r="A710" s="46" t="inlineStr">
        <is>
          <t>R-HB-0709</t>
        </is>
      </c>
      <c r="B710" s="47" t="n">
        <v>45524</v>
      </c>
      <c r="C710" s="46" t="inlineStr">
        <is>
          <t>2024-08</t>
        </is>
      </c>
      <c r="D710" s="46" t="n">
        <v>2024</v>
      </c>
      <c r="E710" s="46" t="inlineStr">
        <is>
          <t>P-HB-004</t>
        </is>
      </c>
      <c r="F710" s="46" t="inlineStr">
        <is>
          <t>C-HB-03</t>
        </is>
      </c>
      <c r="G710" s="48" t="inlineStr">
        <is>
          <t>멕시코</t>
        </is>
      </c>
      <c r="H710" s="46" t="inlineStr">
        <is>
          <t>MX</t>
        </is>
      </c>
      <c r="I710" s="49" t="n">
        <v>3760</v>
      </c>
      <c r="J710" s="46" t="inlineStr">
        <is>
          <t>EA</t>
        </is>
      </c>
      <c r="K710" s="50" t="n">
        <v>4.14</v>
      </c>
      <c r="L710" s="50" t="n">
        <v>104863.71</v>
      </c>
      <c r="M710" s="46" t="inlineStr">
        <is>
          <t>USD</t>
        </is>
      </c>
      <c r="N710" s="46" t="inlineStr">
        <is>
          <t>FOB</t>
        </is>
      </c>
      <c r="O710" s="46" t="inlineStr">
        <is>
          <t>N</t>
        </is>
      </c>
      <c r="P710" s="50" t="n">
        <v>1351.4436</v>
      </c>
      <c r="Q710" s="49">
        <f>IF(OR(L710="",M710="",P710=""),"",L710*P710)</f>
        <v/>
      </c>
    </row>
    <row r="711" ht="15" customHeight="1" s="32">
      <c r="A711" s="46" t="inlineStr">
        <is>
          <t>R-HB-0710</t>
        </is>
      </c>
      <c r="B711" s="47" t="n">
        <v>45524</v>
      </c>
      <c r="C711" s="46" t="inlineStr">
        <is>
          <t>2024-08</t>
        </is>
      </c>
      <c r="D711" s="46" t="n">
        <v>2024</v>
      </c>
      <c r="E711" s="46" t="inlineStr">
        <is>
          <t>P-HB-001</t>
        </is>
      </c>
      <c r="F711" s="46" t="inlineStr">
        <is>
          <t>C-HB-09</t>
        </is>
      </c>
      <c r="G711" s="48" t="inlineStr">
        <is>
          <t>중국</t>
        </is>
      </c>
      <c r="H711" s="46" t="inlineStr">
        <is>
          <t>CN</t>
        </is>
      </c>
      <c r="I711" s="49" t="n">
        <v>155180</v>
      </c>
      <c r="J711" s="46" t="inlineStr">
        <is>
          <t>EA</t>
        </is>
      </c>
      <c r="K711" s="50" t="n">
        <v>69.83</v>
      </c>
      <c r="L711" s="50" t="n">
        <v>801264.36</v>
      </c>
      <c r="M711" s="46" t="inlineStr">
        <is>
          <t>USD</t>
        </is>
      </c>
      <c r="N711" s="46" t="inlineStr">
        <is>
          <t>FOB</t>
        </is>
      </c>
      <c r="O711" s="46" t="inlineStr">
        <is>
          <t>N</t>
        </is>
      </c>
      <c r="P711" s="50" t="n">
        <v>1351.4436</v>
      </c>
      <c r="Q711" s="49">
        <f>IF(OR(L711="",M711="",P711=""),"",L711*P711)</f>
        <v/>
      </c>
    </row>
    <row r="712" ht="15" customHeight="1" s="32">
      <c r="A712" s="46" t="inlineStr">
        <is>
          <t>R-HB-0711</t>
        </is>
      </c>
      <c r="B712" s="47" t="n">
        <v>45525</v>
      </c>
      <c r="C712" s="46" t="inlineStr">
        <is>
          <t>2024-08</t>
        </is>
      </c>
      <c r="D712" s="46" t="n">
        <v>2024</v>
      </c>
      <c r="E712" s="46" t="inlineStr">
        <is>
          <t>P-HB-001</t>
        </is>
      </c>
      <c r="F712" s="46" t="inlineStr">
        <is>
          <t>C-HB-04</t>
        </is>
      </c>
      <c r="G712" s="48" t="inlineStr">
        <is>
          <t>캐나다</t>
        </is>
      </c>
      <c r="H712" s="46" t="inlineStr">
        <is>
          <t>CA</t>
        </is>
      </c>
      <c r="I712" s="49" t="n">
        <v>16715</v>
      </c>
      <c r="J712" s="46" t="inlineStr">
        <is>
          <t>EA</t>
        </is>
      </c>
      <c r="K712" s="50" t="n">
        <v>7.52</v>
      </c>
      <c r="L712" s="50" t="n">
        <v>87218.44</v>
      </c>
      <c r="M712" s="46" t="inlineStr">
        <is>
          <t>USD</t>
        </is>
      </c>
      <c r="N712" s="46" t="inlineStr">
        <is>
          <t>FOB</t>
        </is>
      </c>
      <c r="O712" s="46" t="inlineStr">
        <is>
          <t>N</t>
        </is>
      </c>
      <c r="P712" s="50" t="n">
        <v>1351.4436</v>
      </c>
      <c r="Q712" s="49">
        <f>IF(OR(L712="",M712="",P712=""),"",L712*P712)</f>
        <v/>
      </c>
    </row>
    <row r="713" ht="15" customHeight="1" s="32">
      <c r="A713" s="46" t="inlineStr">
        <is>
          <t>R-HB-0712</t>
        </is>
      </c>
      <c r="B713" s="47" t="n">
        <v>45525</v>
      </c>
      <c r="C713" s="46" t="inlineStr">
        <is>
          <t>2024-08</t>
        </is>
      </c>
      <c r="D713" s="46" t="n">
        <v>2024</v>
      </c>
      <c r="E713" s="46" t="inlineStr">
        <is>
          <t>P-HB-003</t>
        </is>
      </c>
      <c r="F713" s="46" t="inlineStr">
        <is>
          <t>C-HB-06</t>
        </is>
      </c>
      <c r="G713" s="48" t="inlineStr">
        <is>
          <t>베트남</t>
        </is>
      </c>
      <c r="H713" s="46" t="inlineStr">
        <is>
          <t>VN</t>
        </is>
      </c>
      <c r="I713" s="49" t="n">
        <v>42381</v>
      </c>
      <c r="J713" s="46" t="inlineStr">
        <is>
          <t>EA</t>
        </is>
      </c>
      <c r="K713" s="50" t="n">
        <v>27.55</v>
      </c>
      <c r="L713" s="50" t="n">
        <v>313751.69</v>
      </c>
      <c r="M713" s="46" t="inlineStr">
        <is>
          <t>USD</t>
        </is>
      </c>
      <c r="N713" s="46" t="inlineStr">
        <is>
          <t>FOB</t>
        </is>
      </c>
      <c r="O713" s="46" t="inlineStr">
        <is>
          <t>N</t>
        </is>
      </c>
      <c r="P713" s="50" t="n">
        <v>1351.4436</v>
      </c>
      <c r="Q713" s="49">
        <f>IF(OR(L713="",M713="",P713=""),"",L713*P713)</f>
        <v/>
      </c>
    </row>
    <row r="714" ht="15" customHeight="1" s="32">
      <c r="A714" s="46" t="inlineStr">
        <is>
          <t>R-HB-0713</t>
        </is>
      </c>
      <c r="B714" s="47" t="n">
        <v>45525</v>
      </c>
      <c r="C714" s="46" t="inlineStr">
        <is>
          <t>2024-08</t>
        </is>
      </c>
      <c r="D714" s="46" t="n">
        <v>2024</v>
      </c>
      <c r="E714" s="46" t="inlineStr">
        <is>
          <t>P-HB-003</t>
        </is>
      </c>
      <c r="F714" s="46" t="inlineStr">
        <is>
          <t>C-HB-07</t>
        </is>
      </c>
      <c r="G714" s="48" t="inlineStr">
        <is>
          <t>인도</t>
        </is>
      </c>
      <c r="H714" s="46" t="inlineStr">
        <is>
          <t>IN</t>
        </is>
      </c>
      <c r="I714" s="49" t="n">
        <v>30363</v>
      </c>
      <c r="J714" s="46" t="inlineStr">
        <is>
          <t>EA</t>
        </is>
      </c>
      <c r="K714" s="50" t="n">
        <v>19.74</v>
      </c>
      <c r="L714" s="50" t="n">
        <v>225717.84</v>
      </c>
      <c r="M714" s="46" t="inlineStr">
        <is>
          <t>USD</t>
        </is>
      </c>
      <c r="N714" s="46" t="inlineStr">
        <is>
          <t>FOB</t>
        </is>
      </c>
      <c r="O714" s="46" t="inlineStr">
        <is>
          <t>N</t>
        </is>
      </c>
      <c r="P714" s="50" t="n">
        <v>1351.4436</v>
      </c>
      <c r="Q714" s="49">
        <f>IF(OR(L714="",M714="",P714=""),"",L714*P714)</f>
        <v/>
      </c>
    </row>
    <row r="715" ht="15" customHeight="1" s="32">
      <c r="A715" s="46" t="inlineStr">
        <is>
          <t>R-HB-0714</t>
        </is>
      </c>
      <c r="B715" s="47" t="n">
        <v>45526</v>
      </c>
      <c r="C715" s="46" t="inlineStr">
        <is>
          <t>2024-08</t>
        </is>
      </c>
      <c r="D715" s="46" t="n">
        <v>2024</v>
      </c>
      <c r="E715" s="46" t="inlineStr">
        <is>
          <t>P-HB-004</t>
        </is>
      </c>
      <c r="F715" s="46" t="inlineStr">
        <is>
          <t>C-HB-01</t>
        </is>
      </c>
      <c r="G715" s="48" t="inlineStr">
        <is>
          <t>미국</t>
        </is>
      </c>
      <c r="H715" s="46" t="inlineStr">
        <is>
          <t>US</t>
        </is>
      </c>
      <c r="I715" s="49" t="n">
        <v>22853</v>
      </c>
      <c r="J715" s="46" t="inlineStr">
        <is>
          <t>EA</t>
        </is>
      </c>
      <c r="K715" s="50" t="n">
        <v>25.14</v>
      </c>
      <c r="L715" s="50" t="n">
        <v>626857.37</v>
      </c>
      <c r="M715" s="46" t="inlineStr">
        <is>
          <t>USD</t>
        </is>
      </c>
      <c r="N715" s="46" t="inlineStr">
        <is>
          <t>FOB</t>
        </is>
      </c>
      <c r="O715" s="46" t="inlineStr">
        <is>
          <t>N</t>
        </is>
      </c>
      <c r="P715" s="50" t="n">
        <v>1351.4436</v>
      </c>
      <c r="Q715" s="49">
        <f>IF(OR(L715="",M715="",P715=""),"",L715*P715)</f>
        <v/>
      </c>
    </row>
    <row r="716" ht="15" customHeight="1" s="32">
      <c r="A716" s="46" t="inlineStr">
        <is>
          <t>R-HB-0715</t>
        </is>
      </c>
      <c r="B716" s="47" t="n">
        <v>45527</v>
      </c>
      <c r="C716" s="46" t="inlineStr">
        <is>
          <t>2024-08</t>
        </is>
      </c>
      <c r="D716" s="46" t="n">
        <v>2024</v>
      </c>
      <c r="E716" s="46" t="inlineStr">
        <is>
          <t>P-HB-003</t>
        </is>
      </c>
      <c r="F716" s="46" t="inlineStr">
        <is>
          <t>C-HB-05</t>
        </is>
      </c>
      <c r="G716" s="48" t="inlineStr">
        <is>
          <t>독일</t>
        </is>
      </c>
      <c r="H716" s="46" t="inlineStr">
        <is>
          <t>DE</t>
        </is>
      </c>
      <c r="I716" s="49" t="n">
        <v>66398</v>
      </c>
      <c r="J716" s="46" t="inlineStr">
        <is>
          <t>EA</t>
        </is>
      </c>
      <c r="K716" s="50" t="n">
        <v>43.16</v>
      </c>
      <c r="L716" s="50" t="n">
        <v>496936.02</v>
      </c>
      <c r="M716" s="46" t="inlineStr">
        <is>
          <t>USD</t>
        </is>
      </c>
      <c r="N716" s="46" t="inlineStr">
        <is>
          <t>FOB</t>
        </is>
      </c>
      <c r="O716" s="46" t="inlineStr">
        <is>
          <t>N</t>
        </is>
      </c>
      <c r="P716" s="50" t="n">
        <v>1351.4436</v>
      </c>
      <c r="Q716" s="49">
        <f>IF(OR(L716="",M716="",P716=""),"",L716*P716)</f>
        <v/>
      </c>
    </row>
    <row r="717" ht="15" customHeight="1" s="32">
      <c r="A717" s="46" t="inlineStr">
        <is>
          <t>R-HB-0716</t>
        </is>
      </c>
      <c r="B717" s="47" t="n">
        <v>45527</v>
      </c>
      <c r="C717" s="46" t="inlineStr">
        <is>
          <t>2024-08</t>
        </is>
      </c>
      <c r="D717" s="46" t="n">
        <v>2024</v>
      </c>
      <c r="E717" s="46" t="inlineStr">
        <is>
          <t>P-HB-002</t>
        </is>
      </c>
      <c r="F717" s="46" t="inlineStr">
        <is>
          <t>C-HB-09</t>
        </is>
      </c>
      <c r="G717" s="48" t="inlineStr">
        <is>
          <t>중국</t>
        </is>
      </c>
      <c r="H717" s="46" t="inlineStr">
        <is>
          <t>CN</t>
        </is>
      </c>
      <c r="I717" s="49" t="n">
        <v>547</v>
      </c>
      <c r="J717" s="46" t="inlineStr">
        <is>
          <t>EA</t>
        </is>
      </c>
      <c r="K717" s="50" t="n">
        <v>1.2</v>
      </c>
      <c r="L717" s="50" t="n">
        <v>191503.86</v>
      </c>
      <c r="M717" s="46" t="inlineStr">
        <is>
          <t>USD</t>
        </is>
      </c>
      <c r="N717" s="46" t="inlineStr">
        <is>
          <t>FOB</t>
        </is>
      </c>
      <c r="O717" s="46" t="inlineStr">
        <is>
          <t>N</t>
        </is>
      </c>
      <c r="P717" s="50" t="n">
        <v>1351.4436</v>
      </c>
      <c r="Q717" s="49">
        <f>IF(OR(L717="",M717="",P717=""),"",L717*P717)</f>
        <v/>
      </c>
    </row>
    <row r="718" ht="15" customHeight="1" s="32">
      <c r="A718" s="46" t="inlineStr">
        <is>
          <t>R-HB-0717</t>
        </is>
      </c>
      <c r="B718" s="47" t="n">
        <v>45528</v>
      </c>
      <c r="C718" s="46" t="inlineStr">
        <is>
          <t>2024-08</t>
        </is>
      </c>
      <c r="D718" s="46" t="n">
        <v>2024</v>
      </c>
      <c r="E718" s="46" t="inlineStr">
        <is>
          <t>P-HB-004</t>
        </is>
      </c>
      <c r="F718" s="46" t="inlineStr">
        <is>
          <t>C-HB-06</t>
        </is>
      </c>
      <c r="G718" s="48" t="inlineStr">
        <is>
          <t>베트남</t>
        </is>
      </c>
      <c r="H718" s="46" t="inlineStr">
        <is>
          <t>VN</t>
        </is>
      </c>
      <c r="I718" s="49" t="n">
        <v>12895</v>
      </c>
      <c r="J718" s="46" t="inlineStr">
        <is>
          <t>EA</t>
        </is>
      </c>
      <c r="K718" s="50" t="n">
        <v>14.18</v>
      </c>
      <c r="L718" s="50" t="n">
        <v>371219.98</v>
      </c>
      <c r="M718" s="46" t="inlineStr">
        <is>
          <t>USD</t>
        </is>
      </c>
      <c r="N718" s="46" t="inlineStr">
        <is>
          <t>FOB</t>
        </is>
      </c>
      <c r="O718" s="46" t="inlineStr">
        <is>
          <t>N</t>
        </is>
      </c>
      <c r="P718" s="50" t="n">
        <v>1351.4436</v>
      </c>
      <c r="Q718" s="49">
        <f>IF(OR(L718="",M718="",P718=""),"",L718*P718)</f>
        <v/>
      </c>
    </row>
    <row r="719" ht="15" customHeight="1" s="32">
      <c r="A719" s="46" t="inlineStr">
        <is>
          <t>R-HB-0718</t>
        </is>
      </c>
      <c r="B719" s="47" t="n">
        <v>45529</v>
      </c>
      <c r="C719" s="46" t="inlineStr">
        <is>
          <t>2024-08</t>
        </is>
      </c>
      <c r="D719" s="46" t="n">
        <v>2024</v>
      </c>
      <c r="E719" s="46" t="inlineStr">
        <is>
          <t>P-HB-003</t>
        </is>
      </c>
      <c r="F719" s="46" t="inlineStr">
        <is>
          <t>C-HB-01</t>
        </is>
      </c>
      <c r="G719" s="48" t="inlineStr">
        <is>
          <t>미국</t>
        </is>
      </c>
      <c r="H719" s="46" t="inlineStr">
        <is>
          <t>US</t>
        </is>
      </c>
      <c r="I719" s="49" t="n">
        <v>72885</v>
      </c>
      <c r="J719" s="46" t="inlineStr">
        <is>
          <t>EA</t>
        </is>
      </c>
      <c r="K719" s="50" t="n">
        <v>47.38</v>
      </c>
      <c r="L719" s="50" t="n">
        <v>556118.33</v>
      </c>
      <c r="M719" s="46" t="inlineStr">
        <is>
          <t>USD</t>
        </is>
      </c>
      <c r="N719" s="46" t="inlineStr">
        <is>
          <t>FOB</t>
        </is>
      </c>
      <c r="O719" s="46" t="inlineStr">
        <is>
          <t>N</t>
        </is>
      </c>
      <c r="P719" s="50" t="n">
        <v>1351.4436</v>
      </c>
      <c r="Q719" s="49">
        <f>IF(OR(L719="",M719="",P719=""),"",L719*P719)</f>
        <v/>
      </c>
    </row>
    <row r="720" ht="15" customHeight="1" s="32">
      <c r="A720" s="46" t="inlineStr">
        <is>
          <t>R-HB-0719</t>
        </is>
      </c>
      <c r="B720" s="47" t="n">
        <v>45530</v>
      </c>
      <c r="C720" s="46" t="inlineStr">
        <is>
          <t>2024-08</t>
        </is>
      </c>
      <c r="D720" s="46" t="n">
        <v>2024</v>
      </c>
      <c r="E720" s="46" t="inlineStr">
        <is>
          <t>P-HB-002</t>
        </is>
      </c>
      <c r="F720" s="46" t="inlineStr">
        <is>
          <t>C-HB-04</t>
        </is>
      </c>
      <c r="G720" s="48" t="inlineStr">
        <is>
          <t>캐나다</t>
        </is>
      </c>
      <c r="H720" s="46" t="inlineStr">
        <is>
          <t>CA</t>
        </is>
      </c>
      <c r="I720" s="49" t="n">
        <v>68</v>
      </c>
      <c r="J720" s="46" t="inlineStr">
        <is>
          <t>EA</t>
        </is>
      </c>
      <c r="K720" s="50" t="n">
        <v>0.15</v>
      </c>
      <c r="L720" s="50" t="n">
        <v>24705.68</v>
      </c>
      <c r="M720" s="46" t="inlineStr">
        <is>
          <t>USD</t>
        </is>
      </c>
      <c r="N720" s="46" t="inlineStr">
        <is>
          <t>FOB</t>
        </is>
      </c>
      <c r="O720" s="46" t="inlineStr">
        <is>
          <t>N</t>
        </is>
      </c>
      <c r="P720" s="50" t="n">
        <v>1351.4436</v>
      </c>
      <c r="Q720" s="49">
        <f>IF(OR(L720="",M720="",P720=""),"",L720*P720)</f>
        <v/>
      </c>
    </row>
    <row r="721" ht="15" customHeight="1" s="32">
      <c r="A721" s="46" t="inlineStr">
        <is>
          <t>R-HB-0720</t>
        </is>
      </c>
      <c r="B721" s="47" t="n">
        <v>45531</v>
      </c>
      <c r="C721" s="46" t="inlineStr">
        <is>
          <t>2024-08</t>
        </is>
      </c>
      <c r="D721" s="46" t="n">
        <v>2024</v>
      </c>
      <c r="E721" s="46" t="inlineStr">
        <is>
          <t>P-HB-002</t>
        </is>
      </c>
      <c r="F721" s="46" t="inlineStr">
        <is>
          <t>C-HB-05</t>
        </is>
      </c>
      <c r="G721" s="48" t="inlineStr">
        <is>
          <t>독일</t>
        </is>
      </c>
      <c r="H721" s="46" t="inlineStr">
        <is>
          <t>DE</t>
        </is>
      </c>
      <c r="I721" s="49" t="n">
        <v>582</v>
      </c>
      <c r="J721" s="46" t="inlineStr">
        <is>
          <t>EA</t>
        </is>
      </c>
      <c r="K721" s="50" t="n">
        <v>1.28</v>
      </c>
      <c r="L721" s="50" t="n">
        <v>209132.73</v>
      </c>
      <c r="M721" s="46" t="inlineStr">
        <is>
          <t>USD</t>
        </is>
      </c>
      <c r="N721" s="46" t="inlineStr">
        <is>
          <t>FOB</t>
        </is>
      </c>
      <c r="O721" s="46" t="inlineStr">
        <is>
          <t>N</t>
        </is>
      </c>
      <c r="P721" s="50" t="n">
        <v>1351.4436</v>
      </c>
      <c r="Q721" s="49">
        <f>IF(OR(L721="",M721="",P721=""),"",L721*P721)</f>
        <v/>
      </c>
    </row>
    <row r="722" ht="15" customHeight="1" s="32">
      <c r="A722" s="46" t="inlineStr">
        <is>
          <t>R-HB-0721</t>
        </is>
      </c>
      <c r="B722" s="47" t="n">
        <v>45538</v>
      </c>
      <c r="C722" s="46" t="inlineStr">
        <is>
          <t>2024-09</t>
        </is>
      </c>
      <c r="D722" s="46" t="n">
        <v>2024</v>
      </c>
      <c r="E722" s="46" t="inlineStr">
        <is>
          <t>P-HB-004</t>
        </is>
      </c>
      <c r="F722" s="46" t="inlineStr">
        <is>
          <t>C-HB-06</t>
        </is>
      </c>
      <c r="G722" s="48" t="inlineStr">
        <is>
          <t>베트남</t>
        </is>
      </c>
      <c r="H722" s="46" t="inlineStr">
        <is>
          <t>VN</t>
        </is>
      </c>
      <c r="I722" s="49" t="n">
        <v>12899</v>
      </c>
      <c r="J722" s="46" t="inlineStr">
        <is>
          <t>EA</t>
        </is>
      </c>
      <c r="K722" s="50" t="n">
        <v>14.19</v>
      </c>
      <c r="L722" s="50" t="n">
        <v>361824.36</v>
      </c>
      <c r="M722" s="46" t="inlineStr">
        <is>
          <t>USD</t>
        </is>
      </c>
      <c r="N722" s="46" t="inlineStr">
        <is>
          <t>FOB</t>
        </is>
      </c>
      <c r="O722" s="46" t="inlineStr">
        <is>
          <t>N</t>
        </is>
      </c>
      <c r="P722" s="50" t="n">
        <v>1330.6985</v>
      </c>
      <c r="Q722" s="49">
        <f>IF(OR(L722="",M722="",P722=""),"",L722*P722)</f>
        <v/>
      </c>
    </row>
    <row r="723" ht="15" customHeight="1" s="32">
      <c r="A723" s="46" t="inlineStr">
        <is>
          <t>R-HB-0722</t>
        </is>
      </c>
      <c r="B723" s="47" t="n">
        <v>45538</v>
      </c>
      <c r="C723" s="46" t="inlineStr">
        <is>
          <t>2024-09</t>
        </is>
      </c>
      <c r="D723" s="46" t="n">
        <v>2024</v>
      </c>
      <c r="E723" s="46" t="inlineStr">
        <is>
          <t>P-HB-001</t>
        </is>
      </c>
      <c r="F723" s="46" t="inlineStr">
        <is>
          <t>C-HB-07</t>
        </is>
      </c>
      <c r="G723" s="48" t="inlineStr">
        <is>
          <t>인도</t>
        </is>
      </c>
      <c r="H723" s="46" t="inlineStr">
        <is>
          <t>IN</t>
        </is>
      </c>
      <c r="I723" s="49" t="n">
        <v>70963</v>
      </c>
      <c r="J723" s="46" t="inlineStr">
        <is>
          <t>EA</t>
        </is>
      </c>
      <c r="K723" s="50" t="n">
        <v>31.93</v>
      </c>
      <c r="L723" s="50" t="n">
        <v>393242.38</v>
      </c>
      <c r="M723" s="46" t="inlineStr">
        <is>
          <t>USD</t>
        </is>
      </c>
      <c r="N723" s="46" t="inlineStr">
        <is>
          <t>FOB</t>
        </is>
      </c>
      <c r="O723" s="46" t="inlineStr">
        <is>
          <t>N</t>
        </is>
      </c>
      <c r="P723" s="50" t="n">
        <v>1330.6985</v>
      </c>
      <c r="Q723" s="49">
        <f>IF(OR(L723="",M723="",P723=""),"",L723*P723)</f>
        <v/>
      </c>
    </row>
    <row r="724" ht="15" customHeight="1" s="32">
      <c r="A724" s="46" t="inlineStr">
        <is>
          <t>R-HB-0723</t>
        </is>
      </c>
      <c r="B724" s="47" t="n">
        <v>45539</v>
      </c>
      <c r="C724" s="46" t="inlineStr">
        <is>
          <t>2024-09</t>
        </is>
      </c>
      <c r="D724" s="46" t="n">
        <v>2024</v>
      </c>
      <c r="E724" s="46" t="inlineStr">
        <is>
          <t>P-HB-001</t>
        </is>
      </c>
      <c r="F724" s="46" t="inlineStr">
        <is>
          <t>C-HB-05</t>
        </is>
      </c>
      <c r="G724" s="48" t="inlineStr">
        <is>
          <t>독일</t>
        </is>
      </c>
      <c r="H724" s="46" t="inlineStr">
        <is>
          <t>DE</t>
        </is>
      </c>
      <c r="I724" s="49" t="n">
        <v>169454</v>
      </c>
      <c r="J724" s="46" t="inlineStr">
        <is>
          <t>EA</t>
        </is>
      </c>
      <c r="K724" s="50" t="n">
        <v>76.25</v>
      </c>
      <c r="L724" s="50" t="n">
        <v>930183.87</v>
      </c>
      <c r="M724" s="46" t="inlineStr">
        <is>
          <t>USD</t>
        </is>
      </c>
      <c r="N724" s="46" t="inlineStr">
        <is>
          <t>FOB</t>
        </is>
      </c>
      <c r="O724" s="46" t="inlineStr">
        <is>
          <t>N</t>
        </is>
      </c>
      <c r="P724" s="50" t="n">
        <v>1330.6985</v>
      </c>
      <c r="Q724" s="49">
        <f>IF(OR(L724="",M724="",P724=""),"",L724*P724)</f>
        <v/>
      </c>
    </row>
    <row r="725" ht="15" customHeight="1" s="32">
      <c r="A725" s="46" t="inlineStr">
        <is>
          <t>R-HB-0724</t>
        </is>
      </c>
      <c r="B725" s="47" t="n">
        <v>45539</v>
      </c>
      <c r="C725" s="46" t="inlineStr">
        <is>
          <t>2024-09</t>
        </is>
      </c>
      <c r="D725" s="46" t="n">
        <v>2024</v>
      </c>
      <c r="E725" s="46" t="inlineStr">
        <is>
          <t>P-HB-004</t>
        </is>
      </c>
      <c r="F725" s="46" t="inlineStr">
        <is>
          <t>C-HB-07</t>
        </is>
      </c>
      <c r="G725" s="48" t="inlineStr">
        <is>
          <t>인도</t>
        </is>
      </c>
      <c r="H725" s="46" t="inlineStr">
        <is>
          <t>IN</t>
        </is>
      </c>
      <c r="I725" s="49" t="n">
        <v>8723</v>
      </c>
      <c r="J725" s="46" t="inlineStr">
        <is>
          <t>EA</t>
        </is>
      </c>
      <c r="K725" s="50" t="n">
        <v>9.6</v>
      </c>
      <c r="L725" s="50" t="n">
        <v>249742.68</v>
      </c>
      <c r="M725" s="46" t="inlineStr">
        <is>
          <t>USD</t>
        </is>
      </c>
      <c r="N725" s="46" t="inlineStr">
        <is>
          <t>FOB</t>
        </is>
      </c>
      <c r="O725" s="46" t="inlineStr">
        <is>
          <t>N</t>
        </is>
      </c>
      <c r="P725" s="50" t="n">
        <v>1330.6985</v>
      </c>
      <c r="Q725" s="49">
        <f>IF(OR(L725="",M725="",P725=""),"",L725*P725)</f>
        <v/>
      </c>
    </row>
    <row r="726" ht="15" customHeight="1" s="32">
      <c r="A726" s="46" t="inlineStr">
        <is>
          <t>R-HB-0725</t>
        </is>
      </c>
      <c r="B726" s="47" t="n">
        <v>45540</v>
      </c>
      <c r="C726" s="46" t="inlineStr">
        <is>
          <t>2024-09</t>
        </is>
      </c>
      <c r="D726" s="46" t="n">
        <v>2024</v>
      </c>
      <c r="E726" s="46" t="inlineStr">
        <is>
          <t>P-HB-001</t>
        </is>
      </c>
      <c r="F726" s="46" t="inlineStr">
        <is>
          <t>C-HB-03</t>
        </is>
      </c>
      <c r="G726" s="48" t="inlineStr">
        <is>
          <t>멕시코</t>
        </is>
      </c>
      <c r="H726" s="46" t="inlineStr">
        <is>
          <t>MX</t>
        </is>
      </c>
      <c r="I726" s="49" t="n">
        <v>34331</v>
      </c>
      <c r="J726" s="46" t="inlineStr">
        <is>
          <t>EA</t>
        </is>
      </c>
      <c r="K726" s="50" t="n">
        <v>15.45</v>
      </c>
      <c r="L726" s="50" t="n">
        <v>178757.83</v>
      </c>
      <c r="M726" s="46" t="inlineStr">
        <is>
          <t>USD</t>
        </is>
      </c>
      <c r="N726" s="46" t="inlineStr">
        <is>
          <t>FOB</t>
        </is>
      </c>
      <c r="O726" s="46" t="inlineStr">
        <is>
          <t>N</t>
        </is>
      </c>
      <c r="P726" s="50" t="n">
        <v>1330.6985</v>
      </c>
      <c r="Q726" s="49">
        <f>IF(OR(L726="",M726="",P726=""),"",L726*P726)</f>
        <v/>
      </c>
    </row>
    <row r="727" ht="15" customHeight="1" s="32">
      <c r="A727" s="46" t="inlineStr">
        <is>
          <t>R-HB-0726</t>
        </is>
      </c>
      <c r="B727" s="47" t="n">
        <v>45540</v>
      </c>
      <c r="C727" s="46" t="inlineStr">
        <is>
          <t>2024-09</t>
        </is>
      </c>
      <c r="D727" s="46" t="n">
        <v>2024</v>
      </c>
      <c r="E727" s="46" t="inlineStr">
        <is>
          <t>P-HB-003</t>
        </is>
      </c>
      <c r="F727" s="46" t="inlineStr">
        <is>
          <t>C-HB-04</t>
        </is>
      </c>
      <c r="G727" s="48" t="inlineStr">
        <is>
          <t>캐나다</t>
        </is>
      </c>
      <c r="H727" s="46" t="inlineStr">
        <is>
          <t>CA</t>
        </is>
      </c>
      <c r="I727" s="49" t="n">
        <v>6282</v>
      </c>
      <c r="J727" s="46" t="inlineStr">
        <is>
          <t>EA</t>
        </is>
      </c>
      <c r="K727" s="50" t="n">
        <v>4.08</v>
      </c>
      <c r="L727" s="50" t="n">
        <v>47950.72</v>
      </c>
      <c r="M727" s="46" t="inlineStr">
        <is>
          <t>USD</t>
        </is>
      </c>
      <c r="N727" s="46" t="inlineStr">
        <is>
          <t>FOB</t>
        </is>
      </c>
      <c r="O727" s="46" t="inlineStr">
        <is>
          <t>N</t>
        </is>
      </c>
      <c r="P727" s="50" t="n">
        <v>1330.6985</v>
      </c>
      <c r="Q727" s="49">
        <f>IF(OR(L727="",M727="",P727=""),"",L727*P727)</f>
        <v/>
      </c>
    </row>
    <row r="728" ht="15" customHeight="1" s="32">
      <c r="A728" s="46" t="inlineStr">
        <is>
          <t>R-HB-0727</t>
        </is>
      </c>
      <c r="B728" s="47" t="n">
        <v>45540</v>
      </c>
      <c r="C728" s="46" t="inlineStr">
        <is>
          <t>2024-09</t>
        </is>
      </c>
      <c r="D728" s="46" t="n">
        <v>2024</v>
      </c>
      <c r="E728" s="46" t="inlineStr">
        <is>
          <t>P-HB-004</t>
        </is>
      </c>
      <c r="F728" s="46" t="inlineStr">
        <is>
          <t>C-HB-08</t>
        </is>
      </c>
      <c r="G728" s="48" t="inlineStr">
        <is>
          <t>중국</t>
        </is>
      </c>
      <c r="H728" s="46" t="inlineStr">
        <is>
          <t>CN</t>
        </is>
      </c>
      <c r="I728" s="49" t="n">
        <v>22801</v>
      </c>
      <c r="J728" s="46" t="inlineStr">
        <is>
          <t>EA</t>
        </is>
      </c>
      <c r="K728" s="50" t="n">
        <v>25.08</v>
      </c>
      <c r="L728" s="50" t="n">
        <v>650935.6</v>
      </c>
      <c r="M728" s="46" t="inlineStr">
        <is>
          <t>USD</t>
        </is>
      </c>
      <c r="N728" s="46" t="inlineStr">
        <is>
          <t>FOB</t>
        </is>
      </c>
      <c r="O728" s="46" t="inlineStr">
        <is>
          <t>N</t>
        </is>
      </c>
      <c r="P728" s="50" t="n">
        <v>1330.6985</v>
      </c>
      <c r="Q728" s="49">
        <f>IF(OR(L728="",M728="",P728=""),"",L728*P728)</f>
        <v/>
      </c>
    </row>
    <row r="729" ht="15" customHeight="1" s="32">
      <c r="A729" s="46" t="inlineStr">
        <is>
          <t>R-HB-0728</t>
        </is>
      </c>
      <c r="B729" s="47" t="n">
        <v>45541</v>
      </c>
      <c r="C729" s="46" t="inlineStr">
        <is>
          <t>2024-09</t>
        </is>
      </c>
      <c r="D729" s="46" t="n">
        <v>2024</v>
      </c>
      <c r="E729" s="46" t="inlineStr">
        <is>
          <t>P-HB-001</t>
        </is>
      </c>
      <c r="F729" s="46" t="inlineStr">
        <is>
          <t>C-HB-09</t>
        </is>
      </c>
      <c r="G729" s="48" t="inlineStr">
        <is>
          <t>중국</t>
        </is>
      </c>
      <c r="H729" s="46" t="inlineStr">
        <is>
          <t>CN</t>
        </is>
      </c>
      <c r="I729" s="49" t="n">
        <v>166944</v>
      </c>
      <c r="J729" s="46" t="inlineStr">
        <is>
          <t>EA</t>
        </is>
      </c>
      <c r="K729" s="50" t="n">
        <v>75.12</v>
      </c>
      <c r="L729" s="50" t="n">
        <v>874845.71</v>
      </c>
      <c r="M729" s="46" t="inlineStr">
        <is>
          <t>USD</t>
        </is>
      </c>
      <c r="N729" s="46" t="inlineStr">
        <is>
          <t>FOB</t>
        </is>
      </c>
      <c r="O729" s="46" t="inlineStr">
        <is>
          <t>N</t>
        </is>
      </c>
      <c r="P729" s="50" t="n">
        <v>1330.6985</v>
      </c>
      <c r="Q729" s="49">
        <f>IF(OR(L729="",M729="",P729=""),"",L729*P729)</f>
        <v/>
      </c>
    </row>
    <row r="730" ht="15" customHeight="1" s="32">
      <c r="A730" s="46" t="inlineStr">
        <is>
          <t>R-HB-0729</t>
        </is>
      </c>
      <c r="B730" s="47" t="n">
        <v>45542</v>
      </c>
      <c r="C730" s="46" t="inlineStr">
        <is>
          <t>2024-09</t>
        </is>
      </c>
      <c r="D730" s="46" t="n">
        <v>2024</v>
      </c>
      <c r="E730" s="46" t="inlineStr">
        <is>
          <t>P-HB-003</t>
        </is>
      </c>
      <c r="F730" s="46" t="inlineStr">
        <is>
          <t>C-HB-05</t>
        </is>
      </c>
      <c r="G730" s="48" t="inlineStr">
        <is>
          <t>독일</t>
        </is>
      </c>
      <c r="H730" s="46" t="inlineStr">
        <is>
          <t>DE</t>
        </is>
      </c>
      <c r="I730" s="49" t="n">
        <v>62867</v>
      </c>
      <c r="J730" s="46" t="inlineStr">
        <is>
          <t>EA</t>
        </is>
      </c>
      <c r="K730" s="50" t="n">
        <v>40.86</v>
      </c>
      <c r="L730" s="50" t="n">
        <v>460770.25</v>
      </c>
      <c r="M730" s="46" t="inlineStr">
        <is>
          <t>USD</t>
        </is>
      </c>
      <c r="N730" s="46" t="inlineStr">
        <is>
          <t>FOB</t>
        </is>
      </c>
      <c r="O730" s="46" t="inlineStr">
        <is>
          <t>N</t>
        </is>
      </c>
      <c r="P730" s="50" t="n">
        <v>1330.6985</v>
      </c>
      <c r="Q730" s="49">
        <f>IF(OR(L730="",M730="",P730=""),"",L730*P730)</f>
        <v/>
      </c>
    </row>
    <row r="731" ht="15" customHeight="1" s="32">
      <c r="A731" s="46" t="inlineStr">
        <is>
          <t>R-HB-0730</t>
        </is>
      </c>
      <c r="B731" s="47" t="n">
        <v>45545</v>
      </c>
      <c r="C731" s="46" t="inlineStr">
        <is>
          <t>2024-09</t>
        </is>
      </c>
      <c r="D731" s="46" t="n">
        <v>2024</v>
      </c>
      <c r="E731" s="46" t="inlineStr">
        <is>
          <t>P-HB-003</t>
        </is>
      </c>
      <c r="F731" s="46" t="inlineStr">
        <is>
          <t>C-HB-03</t>
        </is>
      </c>
      <c r="G731" s="48" t="inlineStr">
        <is>
          <t>멕시코</t>
        </is>
      </c>
      <c r="H731" s="46" t="inlineStr">
        <is>
          <t>MX</t>
        </is>
      </c>
      <c r="I731" s="49" t="n">
        <v>13787</v>
      </c>
      <c r="J731" s="46" t="inlineStr">
        <is>
          <t>EA</t>
        </is>
      </c>
      <c r="K731" s="50" t="n">
        <v>8.960000000000001</v>
      </c>
      <c r="L731" s="50" t="n">
        <v>102284.96</v>
      </c>
      <c r="M731" s="46" t="inlineStr">
        <is>
          <t>USD</t>
        </is>
      </c>
      <c r="N731" s="46" t="inlineStr">
        <is>
          <t>FOB</t>
        </is>
      </c>
      <c r="O731" s="46" t="inlineStr">
        <is>
          <t>N</t>
        </is>
      </c>
      <c r="P731" s="50" t="n">
        <v>1330.6985</v>
      </c>
      <c r="Q731" s="49">
        <f>IF(OR(L731="",M731="",P731=""),"",L731*P731)</f>
        <v/>
      </c>
    </row>
    <row r="732" ht="15" customHeight="1" s="32">
      <c r="A732" s="46" t="inlineStr">
        <is>
          <t>R-HB-0731</t>
        </is>
      </c>
      <c r="B732" s="47" t="n">
        <v>45545</v>
      </c>
      <c r="C732" s="46" t="inlineStr">
        <is>
          <t>2024-09</t>
        </is>
      </c>
      <c r="D732" s="46" t="n">
        <v>2024</v>
      </c>
      <c r="E732" s="46" t="inlineStr">
        <is>
          <t>P-HB-001</t>
        </is>
      </c>
      <c r="F732" s="46" t="inlineStr">
        <is>
          <t>C-HB-04</t>
        </is>
      </c>
      <c r="G732" s="48" t="inlineStr">
        <is>
          <t>캐나다</t>
        </is>
      </c>
      <c r="H732" s="46" t="inlineStr">
        <is>
          <t>CA</t>
        </is>
      </c>
      <c r="I732" s="49" t="n">
        <v>18628</v>
      </c>
      <c r="J732" s="46" t="inlineStr">
        <is>
          <t>EA</t>
        </is>
      </c>
      <c r="K732" s="50" t="n">
        <v>8.380000000000001</v>
      </c>
      <c r="L732" s="50" t="n">
        <v>103413</v>
      </c>
      <c r="M732" s="46" t="inlineStr">
        <is>
          <t>USD</t>
        </is>
      </c>
      <c r="N732" s="46" t="inlineStr">
        <is>
          <t>FOB</t>
        </is>
      </c>
      <c r="O732" s="46" t="inlineStr">
        <is>
          <t>N</t>
        </is>
      </c>
      <c r="P732" s="50" t="n">
        <v>1330.6985</v>
      </c>
      <c r="Q732" s="49">
        <f>IF(OR(L732="",M732="",P732=""),"",L732*P732)</f>
        <v/>
      </c>
    </row>
    <row r="733" ht="15" customHeight="1" s="32">
      <c r="A733" s="46" t="inlineStr">
        <is>
          <t>R-HB-0732</t>
        </is>
      </c>
      <c r="B733" s="47" t="n">
        <v>45545</v>
      </c>
      <c r="C733" s="46" t="inlineStr">
        <is>
          <t>2024-09</t>
        </is>
      </c>
      <c r="D733" s="46" t="n">
        <v>2024</v>
      </c>
      <c r="E733" s="46" t="inlineStr">
        <is>
          <t>P-HB-003</t>
        </is>
      </c>
      <c r="F733" s="46" t="inlineStr">
        <is>
          <t>C-HB-06</t>
        </is>
      </c>
      <c r="G733" s="48" t="inlineStr">
        <is>
          <t>베트남</t>
        </is>
      </c>
      <c r="H733" s="46" t="inlineStr">
        <is>
          <t>VN</t>
        </is>
      </c>
      <c r="I733" s="49" t="n">
        <v>43486</v>
      </c>
      <c r="J733" s="46" t="inlineStr">
        <is>
          <t>EA</t>
        </is>
      </c>
      <c r="K733" s="50" t="n">
        <v>28.27</v>
      </c>
      <c r="L733" s="50" t="n">
        <v>333928.94</v>
      </c>
      <c r="M733" s="46" t="inlineStr">
        <is>
          <t>USD</t>
        </is>
      </c>
      <c r="N733" s="46" t="inlineStr">
        <is>
          <t>FOB</t>
        </is>
      </c>
      <c r="O733" s="46" t="inlineStr">
        <is>
          <t>N</t>
        </is>
      </c>
      <c r="P733" s="50" t="n">
        <v>1330.6985</v>
      </c>
      <c r="Q733" s="49">
        <f>IF(OR(L733="",M733="",P733=""),"",L733*P733)</f>
        <v/>
      </c>
    </row>
    <row r="734" ht="15" customHeight="1" s="32">
      <c r="A734" s="46" t="inlineStr">
        <is>
          <t>R-HB-0733</t>
        </is>
      </c>
      <c r="B734" s="47" t="n">
        <v>45546</v>
      </c>
      <c r="C734" s="46" t="inlineStr">
        <is>
          <t>2024-09</t>
        </is>
      </c>
      <c r="D734" s="46" t="n">
        <v>2024</v>
      </c>
      <c r="E734" s="46" t="inlineStr">
        <is>
          <t>P-HB-004</t>
        </is>
      </c>
      <c r="F734" s="46" t="inlineStr">
        <is>
          <t>C-HB-01</t>
        </is>
      </c>
      <c r="G734" s="48" t="inlineStr">
        <is>
          <t>미국</t>
        </is>
      </c>
      <c r="H734" s="46" t="inlineStr">
        <is>
          <t>US</t>
        </is>
      </c>
      <c r="I734" s="49" t="n">
        <v>21455</v>
      </c>
      <c r="J734" s="46" t="inlineStr">
        <is>
          <t>EA</t>
        </is>
      </c>
      <c r="K734" s="50" t="n">
        <v>23.6</v>
      </c>
      <c r="L734" s="50" t="n">
        <v>590637.17</v>
      </c>
      <c r="M734" s="46" t="inlineStr">
        <is>
          <t>USD</t>
        </is>
      </c>
      <c r="N734" s="46" t="inlineStr">
        <is>
          <t>FOB</t>
        </is>
      </c>
      <c r="O734" s="46" t="inlineStr">
        <is>
          <t>N</t>
        </is>
      </c>
      <c r="P734" s="50" t="n">
        <v>1330.6985</v>
      </c>
      <c r="Q734" s="49">
        <f>IF(OR(L734="",M734="",P734=""),"",L734*P734)</f>
        <v/>
      </c>
    </row>
    <row r="735" ht="15" customHeight="1" s="32">
      <c r="A735" s="46" t="inlineStr">
        <is>
          <t>R-HB-0734</t>
        </is>
      </c>
      <c r="B735" s="47" t="n">
        <v>45547</v>
      </c>
      <c r="C735" s="46" t="inlineStr">
        <is>
          <t>2024-09</t>
        </is>
      </c>
      <c r="D735" s="46" t="n">
        <v>2024</v>
      </c>
      <c r="E735" s="46" t="inlineStr">
        <is>
          <t>P-HB-004</t>
        </is>
      </c>
      <c r="F735" s="46" t="inlineStr">
        <is>
          <t>C-HB-02</t>
        </is>
      </c>
      <c r="G735" s="48" t="inlineStr">
        <is>
          <t>미국</t>
        </is>
      </c>
      <c r="H735" s="46" t="inlineStr">
        <is>
          <t>US</t>
        </is>
      </c>
      <c r="I735" s="49" t="n">
        <v>12130</v>
      </c>
      <c r="J735" s="46" t="inlineStr">
        <is>
          <t>EA</t>
        </is>
      </c>
      <c r="K735" s="50" t="n">
        <v>13.34</v>
      </c>
      <c r="L735" s="50" t="n">
        <v>346822.5</v>
      </c>
      <c r="M735" s="46" t="inlineStr">
        <is>
          <t>USD</t>
        </is>
      </c>
      <c r="N735" s="46" t="inlineStr">
        <is>
          <t>FOB</t>
        </is>
      </c>
      <c r="O735" s="46" t="inlineStr">
        <is>
          <t>N</t>
        </is>
      </c>
      <c r="P735" s="50" t="n">
        <v>1330.6985</v>
      </c>
      <c r="Q735" s="49">
        <f>IF(OR(L735="",M735="",P735=""),"",L735*P735)</f>
        <v/>
      </c>
    </row>
    <row r="736" ht="15" customHeight="1" s="32">
      <c r="A736" s="46" t="inlineStr">
        <is>
          <t>R-HB-0735</t>
        </is>
      </c>
      <c r="B736" s="47" t="n">
        <v>45547</v>
      </c>
      <c r="C736" s="46" t="inlineStr">
        <is>
          <t>2024-09</t>
        </is>
      </c>
      <c r="D736" s="46" t="n">
        <v>2024</v>
      </c>
      <c r="E736" s="46" t="inlineStr">
        <is>
          <t>P-HB-004</t>
        </is>
      </c>
      <c r="F736" s="46" t="inlineStr">
        <is>
          <t>C-HB-03</t>
        </is>
      </c>
      <c r="G736" s="48" t="inlineStr">
        <is>
          <t>멕시코</t>
        </is>
      </c>
      <c r="H736" s="46" t="inlineStr">
        <is>
          <t>MX</t>
        </is>
      </c>
      <c r="I736" s="49" t="n">
        <v>3704</v>
      </c>
      <c r="J736" s="46" t="inlineStr">
        <is>
          <t>EA</t>
        </is>
      </c>
      <c r="K736" s="50" t="n">
        <v>4.07</v>
      </c>
      <c r="L736" s="50" t="n">
        <v>104203.97</v>
      </c>
      <c r="M736" s="46" t="inlineStr">
        <is>
          <t>USD</t>
        </is>
      </c>
      <c r="N736" s="46" t="inlineStr">
        <is>
          <t>FOB</t>
        </is>
      </c>
      <c r="O736" s="46" t="inlineStr">
        <is>
          <t>N</t>
        </is>
      </c>
      <c r="P736" s="50" t="n">
        <v>1330.6985</v>
      </c>
      <c r="Q736" s="49">
        <f>IF(OR(L736="",M736="",P736=""),"",L736*P736)</f>
        <v/>
      </c>
    </row>
    <row r="737" ht="15" customHeight="1" s="32">
      <c r="A737" s="46" t="inlineStr">
        <is>
          <t>R-HB-0736</t>
        </is>
      </c>
      <c r="B737" s="47" t="n">
        <v>45547</v>
      </c>
      <c r="C737" s="46" t="inlineStr">
        <is>
          <t>2024-09</t>
        </is>
      </c>
      <c r="D737" s="46" t="n">
        <v>2024</v>
      </c>
      <c r="E737" s="46" t="inlineStr">
        <is>
          <t>P-HB-001</t>
        </is>
      </c>
      <c r="F737" s="46" t="inlineStr">
        <is>
          <t>C-HB-06</t>
        </is>
      </c>
      <c r="G737" s="48" t="inlineStr">
        <is>
          <t>베트남</t>
        </is>
      </c>
      <c r="H737" s="46" t="inlineStr">
        <is>
          <t>VN</t>
        </is>
      </c>
      <c r="I737" s="49" t="n">
        <v>112693</v>
      </c>
      <c r="J737" s="46" t="inlineStr">
        <is>
          <t>EA</t>
        </is>
      </c>
      <c r="K737" s="50" t="n">
        <v>50.71</v>
      </c>
      <c r="L737" s="50" t="n">
        <v>590378.0600000001</v>
      </c>
      <c r="M737" s="46" t="inlineStr">
        <is>
          <t>USD</t>
        </is>
      </c>
      <c r="N737" s="46" t="inlineStr">
        <is>
          <t>FOB</t>
        </is>
      </c>
      <c r="O737" s="46" t="inlineStr">
        <is>
          <t>N</t>
        </is>
      </c>
      <c r="P737" s="50" t="n">
        <v>1330.6985</v>
      </c>
      <c r="Q737" s="49">
        <f>IF(OR(L737="",M737="",P737=""),"",L737*P737)</f>
        <v/>
      </c>
    </row>
    <row r="738" ht="15" customHeight="1" s="32">
      <c r="A738" s="46" t="inlineStr">
        <is>
          <t>R-HB-0737</t>
        </is>
      </c>
      <c r="B738" s="47" t="n">
        <v>45548</v>
      </c>
      <c r="C738" s="46" t="inlineStr">
        <is>
          <t>2024-09</t>
        </is>
      </c>
      <c r="D738" s="46" t="n">
        <v>2024</v>
      </c>
      <c r="E738" s="46" t="inlineStr">
        <is>
          <t>P-HB-001</t>
        </is>
      </c>
      <c r="F738" s="46" t="inlineStr">
        <is>
          <t>C-HB-08</t>
        </is>
      </c>
      <c r="G738" s="48" t="inlineStr">
        <is>
          <t>중국</t>
        </is>
      </c>
      <c r="H738" s="46" t="inlineStr">
        <is>
          <t>CN</t>
        </is>
      </c>
      <c r="I738" s="49" t="n">
        <v>216514</v>
      </c>
      <c r="J738" s="46" t="inlineStr">
        <is>
          <t>EA</t>
        </is>
      </c>
      <c r="K738" s="50" t="n">
        <v>97.43000000000001</v>
      </c>
      <c r="L738" s="50" t="n">
        <v>1185784.23</v>
      </c>
      <c r="M738" s="46" t="inlineStr">
        <is>
          <t>USD</t>
        </is>
      </c>
      <c r="N738" s="46" t="inlineStr">
        <is>
          <t>FOB</t>
        </is>
      </c>
      <c r="O738" s="46" t="inlineStr">
        <is>
          <t>N</t>
        </is>
      </c>
      <c r="P738" s="50" t="n">
        <v>1330.6985</v>
      </c>
      <c r="Q738" s="49">
        <f>IF(OR(L738="",M738="",P738=""),"",L738*P738)</f>
        <v/>
      </c>
    </row>
    <row r="739" ht="15" customHeight="1" s="32">
      <c r="A739" s="46" t="inlineStr">
        <is>
          <t>R-HB-0738</t>
        </is>
      </c>
      <c r="B739" s="47" t="n">
        <v>45549</v>
      </c>
      <c r="C739" s="46" t="inlineStr">
        <is>
          <t>2024-09</t>
        </is>
      </c>
      <c r="D739" s="46" t="n">
        <v>2024</v>
      </c>
      <c r="E739" s="46" t="inlineStr">
        <is>
          <t>P-HB-003</t>
        </is>
      </c>
      <c r="F739" s="46" t="inlineStr">
        <is>
          <t>C-HB-07</t>
        </is>
      </c>
      <c r="G739" s="48" t="inlineStr">
        <is>
          <t>인도</t>
        </is>
      </c>
      <c r="H739" s="46" t="inlineStr">
        <is>
          <t>IN</t>
        </is>
      </c>
      <c r="I739" s="49" t="n">
        <v>28750</v>
      </c>
      <c r="J739" s="46" t="inlineStr">
        <is>
          <t>EA</t>
        </is>
      </c>
      <c r="K739" s="50" t="n">
        <v>18.69</v>
      </c>
      <c r="L739" s="50" t="n">
        <v>224486.42</v>
      </c>
      <c r="M739" s="46" t="inlineStr">
        <is>
          <t>USD</t>
        </is>
      </c>
      <c r="N739" s="46" t="inlineStr">
        <is>
          <t>FOB</t>
        </is>
      </c>
      <c r="O739" s="46" t="inlineStr">
        <is>
          <t>N</t>
        </is>
      </c>
      <c r="P739" s="50" t="n">
        <v>1330.6985</v>
      </c>
      <c r="Q739" s="49">
        <f>IF(OR(L739="",M739="",P739=""),"",L739*P739)</f>
        <v/>
      </c>
    </row>
    <row r="740" ht="15" customHeight="1" s="32">
      <c r="A740" s="46" t="inlineStr">
        <is>
          <t>R-HB-0739</t>
        </is>
      </c>
      <c r="B740" s="47" t="n">
        <v>45550</v>
      </c>
      <c r="C740" s="46" t="inlineStr">
        <is>
          <t>2024-09</t>
        </is>
      </c>
      <c r="D740" s="46" t="n">
        <v>2024</v>
      </c>
      <c r="E740" s="46" t="inlineStr">
        <is>
          <t>P-HB-003</t>
        </is>
      </c>
      <c r="F740" s="46" t="inlineStr">
        <is>
          <t>C-HB-02</t>
        </is>
      </c>
      <c r="G740" s="48" t="inlineStr">
        <is>
          <t>미국</t>
        </is>
      </c>
      <c r="H740" s="46" t="inlineStr">
        <is>
          <t>US</t>
        </is>
      </c>
      <c r="I740" s="49" t="n">
        <v>41545</v>
      </c>
      <c r="J740" s="46" t="inlineStr">
        <is>
          <t>EA</t>
        </is>
      </c>
      <c r="K740" s="50" t="n">
        <v>27</v>
      </c>
      <c r="L740" s="50" t="n">
        <v>306333.72</v>
      </c>
      <c r="M740" s="46" t="inlineStr">
        <is>
          <t>USD</t>
        </is>
      </c>
      <c r="N740" s="46" t="inlineStr">
        <is>
          <t>FOB</t>
        </is>
      </c>
      <c r="O740" s="46" t="inlineStr">
        <is>
          <t>N</t>
        </is>
      </c>
      <c r="P740" s="50" t="n">
        <v>1330.6985</v>
      </c>
      <c r="Q740" s="49">
        <f>IF(OR(L740="",M740="",P740=""),"",L740*P740)</f>
        <v/>
      </c>
    </row>
    <row r="741" ht="15" customHeight="1" s="32">
      <c r="A741" s="46" t="inlineStr">
        <is>
          <t>R-HB-0740</t>
        </is>
      </c>
      <c r="B741" s="47" t="n">
        <v>45550</v>
      </c>
      <c r="C741" s="46" t="inlineStr">
        <is>
          <t>2024-09</t>
        </is>
      </c>
      <c r="D741" s="46" t="n">
        <v>2024</v>
      </c>
      <c r="E741" s="46" t="inlineStr">
        <is>
          <t>P-HB-003</t>
        </is>
      </c>
      <c r="F741" s="46" t="inlineStr">
        <is>
          <t>C-HB-09</t>
        </is>
      </c>
      <c r="G741" s="48" t="inlineStr">
        <is>
          <t>중국</t>
        </is>
      </c>
      <c r="H741" s="46" t="inlineStr">
        <is>
          <t>CN</t>
        </is>
      </c>
      <c r="I741" s="49" t="n">
        <v>56072</v>
      </c>
      <c r="J741" s="46" t="inlineStr">
        <is>
          <t>EA</t>
        </is>
      </c>
      <c r="K741" s="50" t="n">
        <v>36.45</v>
      </c>
      <c r="L741" s="50" t="n">
        <v>407353.22</v>
      </c>
      <c r="M741" s="46" t="inlineStr">
        <is>
          <t>USD</t>
        </is>
      </c>
      <c r="N741" s="46" t="inlineStr">
        <is>
          <t>FOB</t>
        </is>
      </c>
      <c r="O741" s="46" t="inlineStr">
        <is>
          <t>N</t>
        </is>
      </c>
      <c r="P741" s="50" t="n">
        <v>1330.6985</v>
      </c>
      <c r="Q741" s="49">
        <f>IF(OR(L741="",M741="",P741=""),"",L741*P741)</f>
        <v/>
      </c>
    </row>
    <row r="742" ht="15" customHeight="1" s="32">
      <c r="A742" s="46" t="inlineStr">
        <is>
          <t>R-HB-0741</t>
        </is>
      </c>
      <c r="B742" s="47" t="n">
        <v>45551</v>
      </c>
      <c r="C742" s="46" t="inlineStr">
        <is>
          <t>2024-09</t>
        </is>
      </c>
      <c r="D742" s="46" t="n">
        <v>2024</v>
      </c>
      <c r="E742" s="46" t="inlineStr">
        <is>
          <t>P-HB-002</t>
        </is>
      </c>
      <c r="F742" s="46" t="inlineStr">
        <is>
          <t>C-HB-01</t>
        </is>
      </c>
      <c r="G742" s="48" t="inlineStr">
        <is>
          <t>미국</t>
        </is>
      </c>
      <c r="H742" s="46" t="inlineStr">
        <is>
          <t>US</t>
        </is>
      </c>
      <c r="I742" s="49" t="n">
        <v>707</v>
      </c>
      <c r="J742" s="46" t="inlineStr">
        <is>
          <t>EA</t>
        </is>
      </c>
      <c r="K742" s="50" t="n">
        <v>1.56</v>
      </c>
      <c r="L742" s="50" t="n">
        <v>262102.92</v>
      </c>
      <c r="M742" s="46" t="inlineStr">
        <is>
          <t>USD</t>
        </is>
      </c>
      <c r="N742" s="46" t="inlineStr">
        <is>
          <t>FOB</t>
        </is>
      </c>
      <c r="O742" s="46" t="inlineStr">
        <is>
          <t>N</t>
        </is>
      </c>
      <c r="P742" s="50" t="n">
        <v>1330.6985</v>
      </c>
      <c r="Q742" s="49">
        <f>IF(OR(L742="",M742="",P742=""),"",L742*P742)</f>
        <v/>
      </c>
    </row>
    <row r="743" ht="15" customHeight="1" s="32">
      <c r="A743" s="46" t="inlineStr">
        <is>
          <t>R-HB-0742</t>
        </is>
      </c>
      <c r="B743" s="47" t="n">
        <v>45551</v>
      </c>
      <c r="C743" s="46" t="inlineStr">
        <is>
          <t>2024-09</t>
        </is>
      </c>
      <c r="D743" s="46" t="n">
        <v>2024</v>
      </c>
      <c r="E743" s="46" t="inlineStr">
        <is>
          <t>P-HB-002</t>
        </is>
      </c>
      <c r="F743" s="46" t="inlineStr">
        <is>
          <t>C-HB-08</t>
        </is>
      </c>
      <c r="G743" s="48" t="inlineStr">
        <is>
          <t>중국</t>
        </is>
      </c>
      <c r="H743" s="46" t="inlineStr">
        <is>
          <t>CN</t>
        </is>
      </c>
      <c r="I743" s="49" t="n">
        <v>785</v>
      </c>
      <c r="J743" s="46" t="inlineStr">
        <is>
          <t>EA</t>
        </is>
      </c>
      <c r="K743" s="50" t="n">
        <v>1.73</v>
      </c>
      <c r="L743" s="50" t="n">
        <v>290693.03</v>
      </c>
      <c r="M743" s="46" t="inlineStr">
        <is>
          <t>USD</t>
        </is>
      </c>
      <c r="N743" s="46" t="inlineStr">
        <is>
          <t>FOB</t>
        </is>
      </c>
      <c r="O743" s="46" t="inlineStr">
        <is>
          <t>N</t>
        </is>
      </c>
      <c r="P743" s="50" t="n">
        <v>1330.6985</v>
      </c>
      <c r="Q743" s="49">
        <f>IF(OR(L743="",M743="",P743=""),"",L743*P743)</f>
        <v/>
      </c>
    </row>
    <row r="744" ht="15" customHeight="1" s="32">
      <c r="A744" s="46" t="inlineStr">
        <is>
          <t>R-HB-0743</t>
        </is>
      </c>
      <c r="B744" s="47" t="n">
        <v>45552</v>
      </c>
      <c r="C744" s="46" t="inlineStr">
        <is>
          <t>2024-09</t>
        </is>
      </c>
      <c r="D744" s="46" t="n">
        <v>2024</v>
      </c>
      <c r="E744" s="46" t="inlineStr">
        <is>
          <t>P-HB-003</t>
        </is>
      </c>
      <c r="F744" s="46" t="inlineStr">
        <is>
          <t>C-HB-01</t>
        </is>
      </c>
      <c r="G744" s="48" t="inlineStr">
        <is>
          <t>미국</t>
        </is>
      </c>
      <c r="H744" s="46" t="inlineStr">
        <is>
          <t>US</t>
        </is>
      </c>
      <c r="I744" s="49" t="n">
        <v>72879</v>
      </c>
      <c r="J744" s="46" t="inlineStr">
        <is>
          <t>EA</t>
        </is>
      </c>
      <c r="K744" s="50" t="n">
        <v>47.37</v>
      </c>
      <c r="L744" s="50" t="n">
        <v>534719.34</v>
      </c>
      <c r="M744" s="46" t="inlineStr">
        <is>
          <t>USD</t>
        </is>
      </c>
      <c r="N744" s="46" t="inlineStr">
        <is>
          <t>FOB</t>
        </is>
      </c>
      <c r="O744" s="46" t="inlineStr">
        <is>
          <t>N</t>
        </is>
      </c>
      <c r="P744" s="50" t="n">
        <v>1330.6985</v>
      </c>
      <c r="Q744" s="49">
        <f>IF(OR(L744="",M744="",P744=""),"",L744*P744)</f>
        <v/>
      </c>
    </row>
    <row r="745" ht="15" customHeight="1" s="32">
      <c r="A745" s="46" t="inlineStr">
        <is>
          <t>R-HB-0744</t>
        </is>
      </c>
      <c r="B745" s="47" t="n">
        <v>45552</v>
      </c>
      <c r="C745" s="46" t="inlineStr">
        <is>
          <t>2024-09</t>
        </is>
      </c>
      <c r="D745" s="46" t="n">
        <v>2024</v>
      </c>
      <c r="E745" s="46" t="inlineStr">
        <is>
          <t>P-HB-002</t>
        </is>
      </c>
      <c r="F745" s="46" t="inlineStr">
        <is>
          <t>C-HB-07</t>
        </is>
      </c>
      <c r="G745" s="48" t="inlineStr">
        <is>
          <t>인도</t>
        </is>
      </c>
      <c r="H745" s="46" t="inlineStr">
        <is>
          <t>IN</t>
        </is>
      </c>
      <c r="I745" s="49" t="n">
        <v>260</v>
      </c>
      <c r="J745" s="46" t="inlineStr">
        <is>
          <t>EA</t>
        </is>
      </c>
      <c r="K745" s="50" t="n">
        <v>0.57</v>
      </c>
      <c r="L745" s="50" t="n">
        <v>93534.38</v>
      </c>
      <c r="M745" s="46" t="inlineStr">
        <is>
          <t>USD</t>
        </is>
      </c>
      <c r="N745" s="46" t="inlineStr">
        <is>
          <t>FOB</t>
        </is>
      </c>
      <c r="O745" s="46" t="inlineStr">
        <is>
          <t>N</t>
        </is>
      </c>
      <c r="P745" s="50" t="n">
        <v>1330.6985</v>
      </c>
      <c r="Q745" s="49">
        <f>IF(OR(L745="",M745="",P745=""),"",L745*P745)</f>
        <v/>
      </c>
    </row>
    <row r="746" ht="15" customHeight="1" s="32">
      <c r="A746" s="46" t="inlineStr">
        <is>
          <t>R-HB-0745</t>
        </is>
      </c>
      <c r="B746" s="47" t="n">
        <v>45552</v>
      </c>
      <c r="C746" s="46" t="inlineStr">
        <is>
          <t>2024-09</t>
        </is>
      </c>
      <c r="D746" s="46" t="n">
        <v>2024</v>
      </c>
      <c r="E746" s="46" t="inlineStr">
        <is>
          <t>P-HB-004</t>
        </is>
      </c>
      <c r="F746" s="46" t="inlineStr">
        <is>
          <t>C-HB-09</t>
        </is>
      </c>
      <c r="G746" s="48" t="inlineStr">
        <is>
          <t>중국</t>
        </is>
      </c>
      <c r="H746" s="46" t="inlineStr">
        <is>
          <t>CN</t>
        </is>
      </c>
      <c r="I746" s="49" t="n">
        <v>16701</v>
      </c>
      <c r="J746" s="46" t="inlineStr">
        <is>
          <t>EA</t>
        </is>
      </c>
      <c r="K746" s="50" t="n">
        <v>18.37</v>
      </c>
      <c r="L746" s="50" t="n">
        <v>454582.87</v>
      </c>
      <c r="M746" s="46" t="inlineStr">
        <is>
          <t>USD</t>
        </is>
      </c>
      <c r="N746" s="46" t="inlineStr">
        <is>
          <t>FOB</t>
        </is>
      </c>
      <c r="O746" s="46" t="inlineStr">
        <is>
          <t>N</t>
        </is>
      </c>
      <c r="P746" s="50" t="n">
        <v>1330.6985</v>
      </c>
      <c r="Q746" s="49">
        <f>IF(OR(L746="",M746="",P746=""),"",L746*P746)</f>
        <v/>
      </c>
    </row>
    <row r="747" ht="15" customHeight="1" s="32">
      <c r="A747" s="46" t="inlineStr">
        <is>
          <t>R-HB-0746</t>
        </is>
      </c>
      <c r="B747" s="47" t="n">
        <v>45553</v>
      </c>
      <c r="C747" s="46" t="inlineStr">
        <is>
          <t>2024-09</t>
        </is>
      </c>
      <c r="D747" s="46" t="n">
        <v>2024</v>
      </c>
      <c r="E747" s="46" t="inlineStr">
        <is>
          <t>P-HB-001</t>
        </is>
      </c>
      <c r="F747" s="46" t="inlineStr">
        <is>
          <t>C-HB-01</t>
        </is>
      </c>
      <c r="G747" s="48" t="inlineStr">
        <is>
          <t>미국</t>
        </is>
      </c>
      <c r="H747" s="46" t="inlineStr">
        <is>
          <t>US</t>
        </is>
      </c>
      <c r="I747" s="49" t="n">
        <v>192970</v>
      </c>
      <c r="J747" s="46" t="inlineStr">
        <is>
          <t>EA</t>
        </is>
      </c>
      <c r="K747" s="50" t="n">
        <v>86.84</v>
      </c>
      <c r="L747" s="50" t="n">
        <v>1009743.67</v>
      </c>
      <c r="M747" s="46" t="inlineStr">
        <is>
          <t>USD</t>
        </is>
      </c>
      <c r="N747" s="46" t="inlineStr">
        <is>
          <t>FOB</t>
        </is>
      </c>
      <c r="O747" s="46" t="inlineStr">
        <is>
          <t>N</t>
        </is>
      </c>
      <c r="P747" s="50" t="n">
        <v>1330.6985</v>
      </c>
      <c r="Q747" s="49">
        <f>IF(OR(L747="",M747="",P747=""),"",L747*P747)</f>
        <v/>
      </c>
    </row>
    <row r="748" ht="15" customHeight="1" s="32">
      <c r="A748" s="46" t="inlineStr">
        <is>
          <t>R-HB-0747</t>
        </is>
      </c>
      <c r="B748" s="47" t="n">
        <v>45553</v>
      </c>
      <c r="C748" s="46" t="inlineStr">
        <is>
          <t>2024-09</t>
        </is>
      </c>
      <c r="D748" s="46" t="n">
        <v>2024</v>
      </c>
      <c r="E748" s="46" t="inlineStr">
        <is>
          <t>P-HB-001</t>
        </is>
      </c>
      <c r="F748" s="46" t="inlineStr">
        <is>
          <t>C-HB-02</t>
        </is>
      </c>
      <c r="G748" s="48" t="inlineStr">
        <is>
          <t>미국</t>
        </is>
      </c>
      <c r="H748" s="46" t="inlineStr">
        <is>
          <t>US</t>
        </is>
      </c>
      <c r="I748" s="49" t="n">
        <v>98203</v>
      </c>
      <c r="J748" s="46" t="inlineStr">
        <is>
          <t>EA</t>
        </is>
      </c>
      <c r="K748" s="50" t="n">
        <v>44.19</v>
      </c>
      <c r="L748" s="50" t="n">
        <v>518482.79</v>
      </c>
      <c r="M748" s="46" t="inlineStr">
        <is>
          <t>USD</t>
        </is>
      </c>
      <c r="N748" s="46" t="inlineStr">
        <is>
          <t>FOB</t>
        </is>
      </c>
      <c r="O748" s="46" t="inlineStr">
        <is>
          <t>N</t>
        </is>
      </c>
      <c r="P748" s="50" t="n">
        <v>1330.6985</v>
      </c>
      <c r="Q748" s="49">
        <f>IF(OR(L748="",M748="",P748=""),"",L748*P748)</f>
        <v/>
      </c>
    </row>
    <row r="749" ht="15" customHeight="1" s="32">
      <c r="A749" s="46" t="inlineStr">
        <is>
          <t>R-HB-0748</t>
        </is>
      </c>
      <c r="B749" s="47" t="n">
        <v>45553</v>
      </c>
      <c r="C749" s="46" t="inlineStr">
        <is>
          <t>2024-09</t>
        </is>
      </c>
      <c r="D749" s="46" t="n">
        <v>2024</v>
      </c>
      <c r="E749" s="46" t="inlineStr">
        <is>
          <t>P-HB-002</t>
        </is>
      </c>
      <c r="F749" s="46" t="inlineStr">
        <is>
          <t>C-HB-05</t>
        </is>
      </c>
      <c r="G749" s="48" t="inlineStr">
        <is>
          <t>독일</t>
        </is>
      </c>
      <c r="H749" s="46" t="inlineStr">
        <is>
          <t>DE</t>
        </is>
      </c>
      <c r="I749" s="49" t="n">
        <v>612</v>
      </c>
      <c r="J749" s="46" t="inlineStr">
        <is>
          <t>EA</t>
        </is>
      </c>
      <c r="K749" s="50" t="n">
        <v>1.35</v>
      </c>
      <c r="L749" s="50" t="n">
        <v>231179.16</v>
      </c>
      <c r="M749" s="46" t="inlineStr">
        <is>
          <t>USD</t>
        </is>
      </c>
      <c r="N749" s="46" t="inlineStr">
        <is>
          <t>FOB</t>
        </is>
      </c>
      <c r="O749" s="46" t="inlineStr">
        <is>
          <t>N</t>
        </is>
      </c>
      <c r="P749" s="50" t="n">
        <v>1330.6985</v>
      </c>
      <c r="Q749" s="49">
        <f>IF(OR(L749="",M749="",P749=""),"",L749*P749)</f>
        <v/>
      </c>
    </row>
    <row r="750" ht="15" customHeight="1" s="32">
      <c r="A750" s="46" t="inlineStr">
        <is>
          <t>R-HB-0749</t>
        </is>
      </c>
      <c r="B750" s="47" t="n">
        <v>45555</v>
      </c>
      <c r="C750" s="46" t="inlineStr">
        <is>
          <t>2024-09</t>
        </is>
      </c>
      <c r="D750" s="46" t="n">
        <v>2024</v>
      </c>
      <c r="E750" s="46" t="inlineStr">
        <is>
          <t>P-HB-002</t>
        </is>
      </c>
      <c r="F750" s="46" t="inlineStr">
        <is>
          <t>C-HB-04</t>
        </is>
      </c>
      <c r="G750" s="48" t="inlineStr">
        <is>
          <t>캐나다</t>
        </is>
      </c>
      <c r="H750" s="46" t="inlineStr">
        <is>
          <t>CA</t>
        </is>
      </c>
      <c r="I750" s="49" t="n">
        <v>61</v>
      </c>
      <c r="J750" s="46" t="inlineStr">
        <is>
          <t>EA</t>
        </is>
      </c>
      <c r="K750" s="50" t="n">
        <v>0.13</v>
      </c>
      <c r="L750" s="50" t="n">
        <v>22315.72</v>
      </c>
      <c r="M750" s="46" t="inlineStr">
        <is>
          <t>USD</t>
        </is>
      </c>
      <c r="N750" s="46" t="inlineStr">
        <is>
          <t>FOB</t>
        </is>
      </c>
      <c r="O750" s="46" t="inlineStr">
        <is>
          <t>N</t>
        </is>
      </c>
      <c r="P750" s="50" t="n">
        <v>1330.6985</v>
      </c>
      <c r="Q750" s="49">
        <f>IF(OR(L750="",M750="",P750=""),"",L750*P750)</f>
        <v/>
      </c>
    </row>
    <row r="751" ht="15" customHeight="1" s="32">
      <c r="A751" s="46" t="inlineStr">
        <is>
          <t>R-HB-0750</t>
        </is>
      </c>
      <c r="B751" s="47" t="n">
        <v>45558</v>
      </c>
      <c r="C751" s="46" t="inlineStr">
        <is>
          <t>2024-09</t>
        </is>
      </c>
      <c r="D751" s="46" t="n">
        <v>2024</v>
      </c>
      <c r="E751" s="46" t="inlineStr">
        <is>
          <t>P-HB-002</t>
        </is>
      </c>
      <c r="F751" s="46" t="inlineStr">
        <is>
          <t>C-HB-06</t>
        </is>
      </c>
      <c r="G751" s="48" t="inlineStr">
        <is>
          <t>베트남</t>
        </is>
      </c>
      <c r="H751" s="46" t="inlineStr">
        <is>
          <t>VN</t>
        </is>
      </c>
      <c r="I751" s="49" t="n">
        <v>435</v>
      </c>
      <c r="J751" s="46" t="inlineStr">
        <is>
          <t>EA</t>
        </is>
      </c>
      <c r="K751" s="50" t="n">
        <v>0.96</v>
      </c>
      <c r="L751" s="50" t="n">
        <v>161995.07</v>
      </c>
      <c r="M751" s="46" t="inlineStr">
        <is>
          <t>USD</t>
        </is>
      </c>
      <c r="N751" s="46" t="inlineStr">
        <is>
          <t>FOB</t>
        </is>
      </c>
      <c r="O751" s="46" t="inlineStr">
        <is>
          <t>N</t>
        </is>
      </c>
      <c r="P751" s="50" t="n">
        <v>1330.6985</v>
      </c>
      <c r="Q751" s="49">
        <f>IF(OR(L751="",M751="",P751=""),"",L751*P751)</f>
        <v/>
      </c>
    </row>
    <row r="752" ht="15" customHeight="1" s="32">
      <c r="A752" s="46" t="inlineStr">
        <is>
          <t>R-HB-0751</t>
        </is>
      </c>
      <c r="B752" s="47" t="n">
        <v>45558</v>
      </c>
      <c r="C752" s="46" t="inlineStr">
        <is>
          <t>2024-09</t>
        </is>
      </c>
      <c r="D752" s="46" t="n">
        <v>2024</v>
      </c>
      <c r="E752" s="46" t="inlineStr">
        <is>
          <t>P-HB-003</t>
        </is>
      </c>
      <c r="F752" s="46" t="inlineStr">
        <is>
          <t>C-HB-08</t>
        </is>
      </c>
      <c r="G752" s="48" t="inlineStr">
        <is>
          <t>중국</t>
        </is>
      </c>
      <c r="H752" s="46" t="inlineStr">
        <is>
          <t>CN</t>
        </is>
      </c>
      <c r="I752" s="49" t="n">
        <v>89940</v>
      </c>
      <c r="J752" s="46" t="inlineStr">
        <is>
          <t>EA</t>
        </is>
      </c>
      <c r="K752" s="50" t="n">
        <v>58.46</v>
      </c>
      <c r="L752" s="50" t="n">
        <v>659043.9399999999</v>
      </c>
      <c r="M752" s="46" t="inlineStr">
        <is>
          <t>USD</t>
        </is>
      </c>
      <c r="N752" s="46" t="inlineStr">
        <is>
          <t>FOB</t>
        </is>
      </c>
      <c r="O752" s="46" t="inlineStr">
        <is>
          <t>N</t>
        </is>
      </c>
      <c r="P752" s="50" t="n">
        <v>1330.6985</v>
      </c>
      <c r="Q752" s="49">
        <f>IF(OR(L752="",M752="",P752=""),"",L752*P752)</f>
        <v/>
      </c>
    </row>
    <row r="753" ht="15" customHeight="1" s="32">
      <c r="A753" s="46" t="inlineStr">
        <is>
          <t>R-HB-0752</t>
        </is>
      </c>
      <c r="B753" s="47" t="n">
        <v>45558</v>
      </c>
      <c r="C753" s="46" t="inlineStr">
        <is>
          <t>2024-09</t>
        </is>
      </c>
      <c r="D753" s="46" t="n">
        <v>2024</v>
      </c>
      <c r="E753" s="46" t="inlineStr">
        <is>
          <t>P-HB-002</t>
        </is>
      </c>
      <c r="F753" s="46" t="inlineStr">
        <is>
          <t>C-HB-09</t>
        </is>
      </c>
      <c r="G753" s="48" t="inlineStr">
        <is>
          <t>중국</t>
        </is>
      </c>
      <c r="H753" s="46" t="inlineStr">
        <is>
          <t>CN</t>
        </is>
      </c>
      <c r="I753" s="49" t="n">
        <v>550</v>
      </c>
      <c r="J753" s="46" t="inlineStr">
        <is>
          <t>EA</t>
        </is>
      </c>
      <c r="K753" s="50" t="n">
        <v>1.21</v>
      </c>
      <c r="L753" s="50" t="n">
        <v>197093.24</v>
      </c>
      <c r="M753" s="46" t="inlineStr">
        <is>
          <t>USD</t>
        </is>
      </c>
      <c r="N753" s="46" t="inlineStr">
        <is>
          <t>FOB</t>
        </is>
      </c>
      <c r="O753" s="46" t="inlineStr">
        <is>
          <t>N</t>
        </is>
      </c>
      <c r="P753" s="50" t="n">
        <v>1330.6985</v>
      </c>
      <c r="Q753" s="49">
        <f>IF(OR(L753="",M753="",P753=""),"",L753*P753)</f>
        <v/>
      </c>
    </row>
    <row r="754" ht="15" customHeight="1" s="32">
      <c r="A754" s="46" t="inlineStr">
        <is>
          <t>R-HB-0753</t>
        </is>
      </c>
      <c r="B754" s="47" t="n">
        <v>45559</v>
      </c>
      <c r="C754" s="46" t="inlineStr">
        <is>
          <t>2024-09</t>
        </is>
      </c>
      <c r="D754" s="46" t="n">
        <v>2024</v>
      </c>
      <c r="E754" s="46" t="inlineStr">
        <is>
          <t>P-HB-002</t>
        </is>
      </c>
      <c r="F754" s="46" t="inlineStr">
        <is>
          <t>C-HB-03</t>
        </is>
      </c>
      <c r="G754" s="48" t="inlineStr">
        <is>
          <t>멕시코</t>
        </is>
      </c>
      <c r="H754" s="46" t="inlineStr">
        <is>
          <t>MX</t>
        </is>
      </c>
      <c r="I754" s="49" t="n">
        <v>143</v>
      </c>
      <c r="J754" s="46" t="inlineStr">
        <is>
          <t>EA</t>
        </is>
      </c>
      <c r="K754" s="50" t="n">
        <v>0.31</v>
      </c>
      <c r="L754" s="50" t="n">
        <v>51360.89</v>
      </c>
      <c r="M754" s="46" t="inlineStr">
        <is>
          <t>USD</t>
        </is>
      </c>
      <c r="N754" s="46" t="inlineStr">
        <is>
          <t>FOB</t>
        </is>
      </c>
      <c r="O754" s="46" t="inlineStr">
        <is>
          <t>N</t>
        </is>
      </c>
      <c r="P754" s="50" t="n">
        <v>1330.6985</v>
      </c>
      <c r="Q754" s="49">
        <f>IF(OR(L754="",M754="",P754=""),"",L754*P754)</f>
        <v/>
      </c>
    </row>
    <row r="755" ht="15" customHeight="1" s="32">
      <c r="A755" s="46" t="inlineStr">
        <is>
          <t>R-HB-0754</t>
        </is>
      </c>
      <c r="B755" s="47" t="n">
        <v>45559</v>
      </c>
      <c r="C755" s="46" t="inlineStr">
        <is>
          <t>2024-09</t>
        </is>
      </c>
      <c r="D755" s="46" t="n">
        <v>2024</v>
      </c>
      <c r="E755" s="46" t="inlineStr">
        <is>
          <t>P-HB-004</t>
        </is>
      </c>
      <c r="F755" s="46" t="inlineStr">
        <is>
          <t>C-HB-04</t>
        </is>
      </c>
      <c r="G755" s="48" t="inlineStr">
        <is>
          <t>캐나다</t>
        </is>
      </c>
      <c r="H755" s="46" t="inlineStr">
        <is>
          <t>CA</t>
        </is>
      </c>
      <c r="I755" s="49" t="n">
        <v>2013</v>
      </c>
      <c r="J755" s="46" t="inlineStr">
        <is>
          <t>EA</t>
        </is>
      </c>
      <c r="K755" s="50" t="n">
        <v>2.21</v>
      </c>
      <c r="L755" s="50" t="n">
        <v>57249.33</v>
      </c>
      <c r="M755" s="46" t="inlineStr">
        <is>
          <t>USD</t>
        </is>
      </c>
      <c r="N755" s="46" t="inlineStr">
        <is>
          <t>FOB</t>
        </is>
      </c>
      <c r="O755" s="46" t="inlineStr">
        <is>
          <t>N</t>
        </is>
      </c>
      <c r="P755" s="50" t="n">
        <v>1330.6985</v>
      </c>
      <c r="Q755" s="49">
        <f>IF(OR(L755="",M755="",P755=""),"",L755*P755)</f>
        <v/>
      </c>
    </row>
    <row r="756" ht="15" customHeight="1" s="32">
      <c r="A756" s="46" t="inlineStr">
        <is>
          <t>R-HB-0755</t>
        </is>
      </c>
      <c r="B756" s="47" t="n">
        <v>45560</v>
      </c>
      <c r="C756" s="46" t="inlineStr">
        <is>
          <t>2024-09</t>
        </is>
      </c>
      <c r="D756" s="46" t="n">
        <v>2024</v>
      </c>
      <c r="E756" s="46" t="inlineStr">
        <is>
          <t>P-HB-002</t>
        </is>
      </c>
      <c r="F756" s="46" t="inlineStr">
        <is>
          <t>C-HB-02</t>
        </is>
      </c>
      <c r="G756" s="48" t="inlineStr">
        <is>
          <t>미국</t>
        </is>
      </c>
      <c r="H756" s="46" t="inlineStr">
        <is>
          <t>US</t>
        </is>
      </c>
      <c r="I756" s="49" t="n">
        <v>409</v>
      </c>
      <c r="J756" s="46" t="inlineStr">
        <is>
          <t>EA</t>
        </is>
      </c>
      <c r="K756" s="50" t="n">
        <v>0.9</v>
      </c>
      <c r="L756" s="50" t="n">
        <v>150369.37</v>
      </c>
      <c r="M756" s="46" t="inlineStr">
        <is>
          <t>USD</t>
        </is>
      </c>
      <c r="N756" s="46" t="inlineStr">
        <is>
          <t>FOB</t>
        </is>
      </c>
      <c r="O756" s="46" t="inlineStr">
        <is>
          <t>N</t>
        </is>
      </c>
      <c r="P756" s="50" t="n">
        <v>1330.6985</v>
      </c>
      <c r="Q756" s="49">
        <f>IF(OR(L756="",M756="",P756=""),"",L756*P756)</f>
        <v/>
      </c>
    </row>
    <row r="757" ht="15" customHeight="1" s="32">
      <c r="A757" s="46" t="inlineStr">
        <is>
          <t>R-HB-0756</t>
        </is>
      </c>
      <c r="B757" s="47" t="n">
        <v>45562</v>
      </c>
      <c r="C757" s="46" t="inlineStr">
        <is>
          <t>2024-09</t>
        </is>
      </c>
      <c r="D757" s="46" t="n">
        <v>2024</v>
      </c>
      <c r="E757" s="46" t="inlineStr">
        <is>
          <t>P-HB-004</t>
        </is>
      </c>
      <c r="F757" s="46" t="inlineStr">
        <is>
          <t>C-HB-05</t>
        </is>
      </c>
      <c r="G757" s="48" t="inlineStr">
        <is>
          <t>독일</t>
        </is>
      </c>
      <c r="H757" s="46" t="inlineStr">
        <is>
          <t>DE</t>
        </is>
      </c>
      <c r="I757" s="49" t="n">
        <v>18267</v>
      </c>
      <c r="J757" s="46" t="inlineStr">
        <is>
          <t>EA</t>
        </is>
      </c>
      <c r="K757" s="50" t="n">
        <v>20.09</v>
      </c>
      <c r="L757" s="50" t="n">
        <v>510279.26</v>
      </c>
      <c r="M757" s="46" t="inlineStr">
        <is>
          <t>USD</t>
        </is>
      </c>
      <c r="N757" s="46" t="inlineStr">
        <is>
          <t>FOB</t>
        </is>
      </c>
      <c r="O757" s="46" t="inlineStr">
        <is>
          <t>N</t>
        </is>
      </c>
      <c r="P757" s="50" t="n">
        <v>1330.6985</v>
      </c>
      <c r="Q757" s="49">
        <f>IF(OR(L757="",M757="",P757=""),"",L757*P757)</f>
        <v/>
      </c>
    </row>
    <row r="758" ht="15" customHeight="1" s="32">
      <c r="A758" s="46" t="inlineStr">
        <is>
          <t>R-HB-0757</t>
        </is>
      </c>
      <c r="B758" s="47" t="n">
        <v>45568</v>
      </c>
      <c r="C758" s="46" t="inlineStr">
        <is>
          <t>2024-10</t>
        </is>
      </c>
      <c r="D758" s="46" t="n">
        <v>2024</v>
      </c>
      <c r="E758" s="46" t="inlineStr">
        <is>
          <t>P-HB-003</t>
        </is>
      </c>
      <c r="F758" s="46" t="inlineStr">
        <is>
          <t>C-HB-02</t>
        </is>
      </c>
      <c r="G758" s="48" t="inlineStr">
        <is>
          <t>미국</t>
        </is>
      </c>
      <c r="H758" s="46" t="inlineStr">
        <is>
          <t>US</t>
        </is>
      </c>
      <c r="I758" s="49" t="n">
        <v>38543</v>
      </c>
      <c r="J758" s="46" t="inlineStr">
        <is>
          <t>EA</t>
        </is>
      </c>
      <c r="K758" s="50" t="n">
        <v>25.05</v>
      </c>
      <c r="L758" s="50" t="n">
        <v>301276.05</v>
      </c>
      <c r="M758" s="46" t="inlineStr">
        <is>
          <t>USD</t>
        </is>
      </c>
      <c r="N758" s="46" t="inlineStr">
        <is>
          <t>FOB</t>
        </is>
      </c>
      <c r="O758" s="46" t="inlineStr">
        <is>
          <t>N</t>
        </is>
      </c>
      <c r="P758" s="50" t="n">
        <v>1362.3691</v>
      </c>
      <c r="Q758" s="49">
        <f>IF(OR(L758="",M758="",P758=""),"",L758*P758)</f>
        <v/>
      </c>
    </row>
    <row r="759" ht="15" customHeight="1" s="32">
      <c r="A759" s="46" t="inlineStr">
        <is>
          <t>R-HB-0758</t>
        </is>
      </c>
      <c r="B759" s="47" t="n">
        <v>45570</v>
      </c>
      <c r="C759" s="46" t="inlineStr">
        <is>
          <t>2024-10</t>
        </is>
      </c>
      <c r="D759" s="46" t="n">
        <v>2024</v>
      </c>
      <c r="E759" s="46" t="inlineStr">
        <is>
          <t>P-HB-001</t>
        </is>
      </c>
      <c r="F759" s="46" t="inlineStr">
        <is>
          <t>C-HB-01</t>
        </is>
      </c>
      <c r="G759" s="48" t="inlineStr">
        <is>
          <t>미국</t>
        </is>
      </c>
      <c r="H759" s="46" t="inlineStr">
        <is>
          <t>US</t>
        </is>
      </c>
      <c r="I759" s="49" t="n">
        <v>183102</v>
      </c>
      <c r="J759" s="46" t="inlineStr">
        <is>
          <t>EA</t>
        </is>
      </c>
      <c r="K759" s="50" t="n">
        <v>82.40000000000001</v>
      </c>
      <c r="L759" s="50" t="n">
        <v>1027069.47</v>
      </c>
      <c r="M759" s="46" t="inlineStr">
        <is>
          <t>USD</t>
        </is>
      </c>
      <c r="N759" s="46" t="inlineStr">
        <is>
          <t>FOB</t>
        </is>
      </c>
      <c r="O759" s="46" t="inlineStr">
        <is>
          <t>N</t>
        </is>
      </c>
      <c r="P759" s="50" t="n">
        <v>1362.3691</v>
      </c>
      <c r="Q759" s="49">
        <f>IF(OR(L759="",M759="",P759=""),"",L759*P759)</f>
        <v/>
      </c>
    </row>
    <row r="760" ht="15" customHeight="1" s="32">
      <c r="A760" s="46" t="inlineStr">
        <is>
          <t>R-HB-0759</t>
        </is>
      </c>
      <c r="B760" s="47" t="n">
        <v>45570</v>
      </c>
      <c r="C760" s="46" t="inlineStr">
        <is>
          <t>2024-10</t>
        </is>
      </c>
      <c r="D760" s="46" t="n">
        <v>2024</v>
      </c>
      <c r="E760" s="46" t="inlineStr">
        <is>
          <t>P-HB-002</t>
        </is>
      </c>
      <c r="F760" s="46" t="inlineStr">
        <is>
          <t>C-HB-02</t>
        </is>
      </c>
      <c r="G760" s="48" t="inlineStr">
        <is>
          <t>미국</t>
        </is>
      </c>
      <c r="H760" s="46" t="inlineStr">
        <is>
          <t>US</t>
        </is>
      </c>
      <c r="I760" s="49" t="n">
        <v>387</v>
      </c>
      <c r="J760" s="46" t="inlineStr">
        <is>
          <t>EA</t>
        </is>
      </c>
      <c r="K760" s="50" t="n">
        <v>0.85</v>
      </c>
      <c r="L760" s="50" t="n">
        <v>141372.08</v>
      </c>
      <c r="M760" s="46" t="inlineStr">
        <is>
          <t>USD</t>
        </is>
      </c>
      <c r="N760" s="46" t="inlineStr">
        <is>
          <t>FOB</t>
        </is>
      </c>
      <c r="O760" s="46" t="inlineStr">
        <is>
          <t>N</t>
        </is>
      </c>
      <c r="P760" s="50" t="n">
        <v>1362.3691</v>
      </c>
      <c r="Q760" s="49">
        <f>IF(OR(L760="",M760="",P760=""),"",L760*P760)</f>
        <v/>
      </c>
    </row>
    <row r="761" ht="15" customHeight="1" s="32">
      <c r="A761" s="46" t="inlineStr">
        <is>
          <t>R-HB-0760</t>
        </is>
      </c>
      <c r="B761" s="47" t="n">
        <v>45570</v>
      </c>
      <c r="C761" s="46" t="inlineStr">
        <is>
          <t>2024-10</t>
        </is>
      </c>
      <c r="D761" s="46" t="n">
        <v>2024</v>
      </c>
      <c r="E761" s="46" t="inlineStr">
        <is>
          <t>P-HB-001</t>
        </is>
      </c>
      <c r="F761" s="46" t="inlineStr">
        <is>
          <t>C-HB-09</t>
        </is>
      </c>
      <c r="G761" s="48" t="inlineStr">
        <is>
          <t>중국</t>
        </is>
      </c>
      <c r="H761" s="46" t="inlineStr">
        <is>
          <t>CN</t>
        </is>
      </c>
      <c r="I761" s="49" t="n">
        <v>138777</v>
      </c>
      <c r="J761" s="46" t="inlineStr">
        <is>
          <t>EA</t>
        </is>
      </c>
      <c r="K761" s="50" t="n">
        <v>62.45</v>
      </c>
      <c r="L761" s="50" t="n">
        <v>738171.96</v>
      </c>
      <c r="M761" s="46" t="inlineStr">
        <is>
          <t>USD</t>
        </is>
      </c>
      <c r="N761" s="46" t="inlineStr">
        <is>
          <t>FOB</t>
        </is>
      </c>
      <c r="O761" s="46" t="inlineStr">
        <is>
          <t>N</t>
        </is>
      </c>
      <c r="P761" s="50" t="n">
        <v>1362.3691</v>
      </c>
      <c r="Q761" s="49">
        <f>IF(OR(L761="",M761="",P761=""),"",L761*P761)</f>
        <v/>
      </c>
    </row>
    <row r="762" ht="15" customHeight="1" s="32">
      <c r="A762" s="46" t="inlineStr">
        <is>
          <t>R-HB-0761</t>
        </is>
      </c>
      <c r="B762" s="47" t="n">
        <v>45571</v>
      </c>
      <c r="C762" s="46" t="inlineStr">
        <is>
          <t>2024-10</t>
        </is>
      </c>
      <c r="D762" s="46" t="n">
        <v>2024</v>
      </c>
      <c r="E762" s="46" t="inlineStr">
        <is>
          <t>P-HB-002</t>
        </is>
      </c>
      <c r="F762" s="46" t="inlineStr">
        <is>
          <t>C-HB-07</t>
        </is>
      </c>
      <c r="G762" s="48" t="inlineStr">
        <is>
          <t>인도</t>
        </is>
      </c>
      <c r="H762" s="46" t="inlineStr">
        <is>
          <t>IN</t>
        </is>
      </c>
      <c r="I762" s="49" t="n">
        <v>270</v>
      </c>
      <c r="J762" s="46" t="inlineStr">
        <is>
          <t>EA</t>
        </is>
      </c>
      <c r="K762" s="50" t="n">
        <v>0.59</v>
      </c>
      <c r="L762" s="50" t="n">
        <v>102439.25</v>
      </c>
      <c r="M762" s="46" t="inlineStr">
        <is>
          <t>USD</t>
        </is>
      </c>
      <c r="N762" s="46" t="inlineStr">
        <is>
          <t>FOB</t>
        </is>
      </c>
      <c r="O762" s="46" t="inlineStr">
        <is>
          <t>N</t>
        </is>
      </c>
      <c r="P762" s="50" t="n">
        <v>1362.3691</v>
      </c>
      <c r="Q762" s="49">
        <f>IF(OR(L762="",M762="",P762=""),"",L762*P762)</f>
        <v/>
      </c>
    </row>
    <row r="763" ht="15" customHeight="1" s="32">
      <c r="A763" s="46" t="inlineStr">
        <is>
          <t>R-HB-0762</t>
        </is>
      </c>
      <c r="B763" s="47" t="n">
        <v>45572</v>
      </c>
      <c r="C763" s="46" t="inlineStr">
        <is>
          <t>2024-10</t>
        </is>
      </c>
      <c r="D763" s="46" t="n">
        <v>2024</v>
      </c>
      <c r="E763" s="46" t="inlineStr">
        <is>
          <t>P-HB-004</t>
        </is>
      </c>
      <c r="F763" s="46" t="inlineStr">
        <is>
          <t>C-HB-01</t>
        </is>
      </c>
      <c r="G763" s="48" t="inlineStr">
        <is>
          <t>미국</t>
        </is>
      </c>
      <c r="H763" s="46" t="inlineStr">
        <is>
          <t>US</t>
        </is>
      </c>
      <c r="I763" s="49" t="n">
        <v>19468</v>
      </c>
      <c r="J763" s="46" t="inlineStr">
        <is>
          <t>EA</t>
        </is>
      </c>
      <c r="K763" s="50" t="n">
        <v>21.41</v>
      </c>
      <c r="L763" s="50" t="n">
        <v>541425.9300000001</v>
      </c>
      <c r="M763" s="46" t="inlineStr">
        <is>
          <t>USD</t>
        </is>
      </c>
      <c r="N763" s="46" t="inlineStr">
        <is>
          <t>FOB</t>
        </is>
      </c>
      <c r="O763" s="46" t="inlineStr">
        <is>
          <t>N</t>
        </is>
      </c>
      <c r="P763" s="50" t="n">
        <v>1362.3691</v>
      </c>
      <c r="Q763" s="49">
        <f>IF(OR(L763="",M763="",P763=""),"",L763*P763)</f>
        <v/>
      </c>
    </row>
    <row r="764" ht="15" customHeight="1" s="32">
      <c r="A764" s="46" t="inlineStr">
        <is>
          <t>R-HB-0763</t>
        </is>
      </c>
      <c r="B764" s="47" t="n">
        <v>45572</v>
      </c>
      <c r="C764" s="46" t="inlineStr">
        <is>
          <t>2024-10</t>
        </is>
      </c>
      <c r="D764" s="46" t="n">
        <v>2024</v>
      </c>
      <c r="E764" s="46" t="inlineStr">
        <is>
          <t>P-HB-001</t>
        </is>
      </c>
      <c r="F764" s="46" t="inlineStr">
        <is>
          <t>C-HB-02</t>
        </is>
      </c>
      <c r="G764" s="48" t="inlineStr">
        <is>
          <t>미국</t>
        </is>
      </c>
      <c r="H764" s="46" t="inlineStr">
        <is>
          <t>US</t>
        </is>
      </c>
      <c r="I764" s="49" t="n">
        <v>101902</v>
      </c>
      <c r="J764" s="46" t="inlineStr">
        <is>
          <t>EA</t>
        </is>
      </c>
      <c r="K764" s="50" t="n">
        <v>45.86</v>
      </c>
      <c r="L764" s="50" t="n">
        <v>571005.6899999999</v>
      </c>
      <c r="M764" s="46" t="inlineStr">
        <is>
          <t>USD</t>
        </is>
      </c>
      <c r="N764" s="46" t="inlineStr">
        <is>
          <t>FOB</t>
        </is>
      </c>
      <c r="O764" s="46" t="inlineStr">
        <is>
          <t>N</t>
        </is>
      </c>
      <c r="P764" s="50" t="n">
        <v>1362.3691</v>
      </c>
      <c r="Q764" s="49">
        <f>IF(OR(L764="",M764="",P764=""),"",L764*P764)</f>
        <v/>
      </c>
    </row>
    <row r="765" ht="15" customHeight="1" s="32">
      <c r="A765" s="46" t="inlineStr">
        <is>
          <t>R-HB-0764</t>
        </is>
      </c>
      <c r="B765" s="47" t="n">
        <v>45572</v>
      </c>
      <c r="C765" s="46" t="inlineStr">
        <is>
          <t>2024-10</t>
        </is>
      </c>
      <c r="D765" s="46" t="n">
        <v>2024</v>
      </c>
      <c r="E765" s="46" t="inlineStr">
        <is>
          <t>P-HB-003</t>
        </is>
      </c>
      <c r="F765" s="46" t="inlineStr">
        <is>
          <t>C-HB-04</t>
        </is>
      </c>
      <c r="G765" s="48" t="inlineStr">
        <is>
          <t>캐나다</t>
        </is>
      </c>
      <c r="H765" s="46" t="inlineStr">
        <is>
          <t>CA</t>
        </is>
      </c>
      <c r="I765" s="49" t="n">
        <v>6910</v>
      </c>
      <c r="J765" s="46" t="inlineStr">
        <is>
          <t>EA</t>
        </is>
      </c>
      <c r="K765" s="50" t="n">
        <v>4.49</v>
      </c>
      <c r="L765" s="50" t="n">
        <v>54125.78</v>
      </c>
      <c r="M765" s="46" t="inlineStr">
        <is>
          <t>USD</t>
        </is>
      </c>
      <c r="N765" s="46" t="inlineStr">
        <is>
          <t>FOB</t>
        </is>
      </c>
      <c r="O765" s="46" t="inlineStr">
        <is>
          <t>N</t>
        </is>
      </c>
      <c r="P765" s="50" t="n">
        <v>1362.3691</v>
      </c>
      <c r="Q765" s="49">
        <f>IF(OR(L765="",M765="",P765=""),"",L765*P765)</f>
        <v/>
      </c>
    </row>
    <row r="766" ht="15" customHeight="1" s="32">
      <c r="A766" s="46" t="inlineStr">
        <is>
          <t>R-HB-0765</t>
        </is>
      </c>
      <c r="B766" s="47" t="n">
        <v>45572</v>
      </c>
      <c r="C766" s="46" t="inlineStr">
        <is>
          <t>2024-10</t>
        </is>
      </c>
      <c r="D766" s="46" t="n">
        <v>2024</v>
      </c>
      <c r="E766" s="46" t="inlineStr">
        <is>
          <t>P-HB-002</t>
        </is>
      </c>
      <c r="F766" s="46" t="inlineStr">
        <is>
          <t>C-HB-05</t>
        </is>
      </c>
      <c r="G766" s="48" t="inlineStr">
        <is>
          <t>독일</t>
        </is>
      </c>
      <c r="H766" s="46" t="inlineStr">
        <is>
          <t>DE</t>
        </is>
      </c>
      <c r="I766" s="49" t="n">
        <v>632</v>
      </c>
      <c r="J766" s="46" t="inlineStr">
        <is>
          <t>EA</t>
        </is>
      </c>
      <c r="K766" s="50" t="n">
        <v>1.39</v>
      </c>
      <c r="L766" s="50" t="n">
        <v>232688.27</v>
      </c>
      <c r="M766" s="46" t="inlineStr">
        <is>
          <t>USD</t>
        </is>
      </c>
      <c r="N766" s="46" t="inlineStr">
        <is>
          <t>FOB</t>
        </is>
      </c>
      <c r="O766" s="46" t="inlineStr">
        <is>
          <t>N</t>
        </is>
      </c>
      <c r="P766" s="50" t="n">
        <v>1362.3691</v>
      </c>
      <c r="Q766" s="49">
        <f>IF(OR(L766="",M766="",P766=""),"",L766*P766)</f>
        <v/>
      </c>
    </row>
    <row r="767" ht="15" customHeight="1" s="32">
      <c r="A767" s="46" t="inlineStr">
        <is>
          <t>R-HB-0766</t>
        </is>
      </c>
      <c r="B767" s="47" t="n">
        <v>45573</v>
      </c>
      <c r="C767" s="46" t="inlineStr">
        <is>
          <t>2024-10</t>
        </is>
      </c>
      <c r="D767" s="46" t="n">
        <v>2024</v>
      </c>
      <c r="E767" s="46" t="inlineStr">
        <is>
          <t>P-HB-004</t>
        </is>
      </c>
      <c r="F767" s="46" t="inlineStr">
        <is>
          <t>C-HB-02</t>
        </is>
      </c>
      <c r="G767" s="48" t="inlineStr">
        <is>
          <t>미국</t>
        </is>
      </c>
      <c r="H767" s="46" t="inlineStr">
        <is>
          <t>US</t>
        </is>
      </c>
      <c r="I767" s="49" t="n">
        <v>11670</v>
      </c>
      <c r="J767" s="46" t="inlineStr">
        <is>
          <t>EA</t>
        </is>
      </c>
      <c r="K767" s="50" t="n">
        <v>12.84</v>
      </c>
      <c r="L767" s="50" t="n">
        <v>334481.71</v>
      </c>
      <c r="M767" s="46" t="inlineStr">
        <is>
          <t>USD</t>
        </is>
      </c>
      <c r="N767" s="46" t="inlineStr">
        <is>
          <t>FOB</t>
        </is>
      </c>
      <c r="O767" s="46" t="inlineStr">
        <is>
          <t>N</t>
        </is>
      </c>
      <c r="P767" s="50" t="n">
        <v>1362.3691</v>
      </c>
      <c r="Q767" s="49">
        <f>IF(OR(L767="",M767="",P767=""),"",L767*P767)</f>
        <v/>
      </c>
    </row>
    <row r="768" ht="15" customHeight="1" s="32">
      <c r="A768" s="46" t="inlineStr">
        <is>
          <t>R-HB-0767</t>
        </is>
      </c>
      <c r="B768" s="47" t="n">
        <v>45574</v>
      </c>
      <c r="C768" s="46" t="inlineStr">
        <is>
          <t>2024-10</t>
        </is>
      </c>
      <c r="D768" s="46" t="n">
        <v>2024</v>
      </c>
      <c r="E768" s="46" t="inlineStr">
        <is>
          <t>P-HB-001</t>
        </is>
      </c>
      <c r="F768" s="46" t="inlineStr">
        <is>
          <t>C-HB-03</t>
        </is>
      </c>
      <c r="G768" s="48" t="inlineStr">
        <is>
          <t>멕시코</t>
        </is>
      </c>
      <c r="H768" s="46" t="inlineStr">
        <is>
          <t>MX</t>
        </is>
      </c>
      <c r="I768" s="49" t="n">
        <v>34665</v>
      </c>
      <c r="J768" s="46" t="inlineStr">
        <is>
          <t>EA</t>
        </is>
      </c>
      <c r="K768" s="50" t="n">
        <v>15.6</v>
      </c>
      <c r="L768" s="50" t="n">
        <v>193126.47</v>
      </c>
      <c r="M768" s="46" t="inlineStr">
        <is>
          <t>USD</t>
        </is>
      </c>
      <c r="N768" s="46" t="inlineStr">
        <is>
          <t>FOB</t>
        </is>
      </c>
      <c r="O768" s="46" t="inlineStr">
        <is>
          <t>N</t>
        </is>
      </c>
      <c r="P768" s="50" t="n">
        <v>1362.3691</v>
      </c>
      <c r="Q768" s="49">
        <f>IF(OR(L768="",M768="",P768=""),"",L768*P768)</f>
        <v/>
      </c>
    </row>
    <row r="769" ht="15" customHeight="1" s="32">
      <c r="A769" s="46" t="inlineStr">
        <is>
          <t>R-HB-0768</t>
        </is>
      </c>
      <c r="B769" s="47" t="n">
        <v>45574</v>
      </c>
      <c r="C769" s="46" t="inlineStr">
        <is>
          <t>2024-10</t>
        </is>
      </c>
      <c r="D769" s="46" t="n">
        <v>2024</v>
      </c>
      <c r="E769" s="46" t="inlineStr">
        <is>
          <t>P-HB-001</t>
        </is>
      </c>
      <c r="F769" s="46" t="inlineStr">
        <is>
          <t>C-HB-04</t>
        </is>
      </c>
      <c r="G769" s="48" t="inlineStr">
        <is>
          <t>캐나다</t>
        </is>
      </c>
      <c r="H769" s="46" t="inlineStr">
        <is>
          <t>CA</t>
        </is>
      </c>
      <c r="I769" s="49" t="n">
        <v>18688</v>
      </c>
      <c r="J769" s="46" t="inlineStr">
        <is>
          <t>EA</t>
        </is>
      </c>
      <c r="K769" s="50" t="n">
        <v>8.41</v>
      </c>
      <c r="L769" s="50" t="n">
        <v>103490.43</v>
      </c>
      <c r="M769" s="46" t="inlineStr">
        <is>
          <t>USD</t>
        </is>
      </c>
      <c r="N769" s="46" t="inlineStr">
        <is>
          <t>FOB</t>
        </is>
      </c>
      <c r="O769" s="46" t="inlineStr">
        <is>
          <t>N</t>
        </is>
      </c>
      <c r="P769" s="50" t="n">
        <v>1362.3691</v>
      </c>
      <c r="Q769" s="49">
        <f>IF(OR(L769="",M769="",P769=""),"",L769*P769)</f>
        <v/>
      </c>
    </row>
    <row r="770" ht="15" customHeight="1" s="32">
      <c r="A770" s="46" t="inlineStr">
        <is>
          <t>R-HB-0769</t>
        </is>
      </c>
      <c r="B770" s="47" t="n">
        <v>45575</v>
      </c>
      <c r="C770" s="46" t="inlineStr">
        <is>
          <t>2024-10</t>
        </is>
      </c>
      <c r="D770" s="46" t="n">
        <v>2024</v>
      </c>
      <c r="E770" s="46" t="inlineStr">
        <is>
          <t>P-HB-004</t>
        </is>
      </c>
      <c r="F770" s="46" t="inlineStr">
        <is>
          <t>C-HB-05</t>
        </is>
      </c>
      <c r="G770" s="48" t="inlineStr">
        <is>
          <t>독일</t>
        </is>
      </c>
      <c r="H770" s="46" t="inlineStr">
        <is>
          <t>DE</t>
        </is>
      </c>
      <c r="I770" s="49" t="n">
        <v>19071</v>
      </c>
      <c r="J770" s="46" t="inlineStr">
        <is>
          <t>EA</t>
        </is>
      </c>
      <c r="K770" s="50" t="n">
        <v>20.98</v>
      </c>
      <c r="L770" s="50" t="n">
        <v>548277.62</v>
      </c>
      <c r="M770" s="46" t="inlineStr">
        <is>
          <t>USD</t>
        </is>
      </c>
      <c r="N770" s="46" t="inlineStr">
        <is>
          <t>FOB</t>
        </is>
      </c>
      <c r="O770" s="46" t="inlineStr">
        <is>
          <t>N</t>
        </is>
      </c>
      <c r="P770" s="50" t="n">
        <v>1362.3691</v>
      </c>
      <c r="Q770" s="49">
        <f>IF(OR(L770="",M770="",P770=""),"",L770*P770)</f>
        <v/>
      </c>
    </row>
    <row r="771" ht="15" customHeight="1" s="32">
      <c r="A771" s="46" t="inlineStr">
        <is>
          <t>R-HB-0770</t>
        </is>
      </c>
      <c r="B771" s="47" t="n">
        <v>45575</v>
      </c>
      <c r="C771" s="46" t="inlineStr">
        <is>
          <t>2024-10</t>
        </is>
      </c>
      <c r="D771" s="46" t="n">
        <v>2024</v>
      </c>
      <c r="E771" s="46" t="inlineStr">
        <is>
          <t>P-HB-001</t>
        </is>
      </c>
      <c r="F771" s="46" t="inlineStr">
        <is>
          <t>C-HB-07</t>
        </is>
      </c>
      <c r="G771" s="48" t="inlineStr">
        <is>
          <t>인도</t>
        </is>
      </c>
      <c r="H771" s="46" t="inlineStr">
        <is>
          <t>IN</t>
        </is>
      </c>
      <c r="I771" s="49" t="n">
        <v>77790</v>
      </c>
      <c r="J771" s="46" t="inlineStr">
        <is>
          <t>EA</t>
        </is>
      </c>
      <c r="K771" s="50" t="n">
        <v>35.01</v>
      </c>
      <c r="L771" s="50" t="n">
        <v>420553.52</v>
      </c>
      <c r="M771" s="46" t="inlineStr">
        <is>
          <t>USD</t>
        </is>
      </c>
      <c r="N771" s="46" t="inlineStr">
        <is>
          <t>FOB</t>
        </is>
      </c>
      <c r="O771" s="46" t="inlineStr">
        <is>
          <t>N</t>
        </is>
      </c>
      <c r="P771" s="50" t="n">
        <v>1362.3691</v>
      </c>
      <c r="Q771" s="49">
        <f>IF(OR(L771="",M771="",P771=""),"",L771*P771)</f>
        <v/>
      </c>
    </row>
    <row r="772" ht="15" customHeight="1" s="32">
      <c r="A772" s="46" t="inlineStr">
        <is>
          <t>R-HB-0771</t>
        </is>
      </c>
      <c r="B772" s="47" t="n">
        <v>45575</v>
      </c>
      <c r="C772" s="46" t="inlineStr">
        <is>
          <t>2024-10</t>
        </is>
      </c>
      <c r="D772" s="46" t="n">
        <v>2024</v>
      </c>
      <c r="E772" s="46" t="inlineStr">
        <is>
          <t>P-HB-003</t>
        </is>
      </c>
      <c r="F772" s="46" t="inlineStr">
        <is>
          <t>C-HB-07</t>
        </is>
      </c>
      <c r="G772" s="48" t="inlineStr">
        <is>
          <t>인도</t>
        </is>
      </c>
      <c r="H772" s="46" t="inlineStr">
        <is>
          <t>IN</t>
        </is>
      </c>
      <c r="I772" s="49" t="n">
        <v>29457</v>
      </c>
      <c r="J772" s="46" t="inlineStr">
        <is>
          <t>EA</t>
        </is>
      </c>
      <c r="K772" s="50" t="n">
        <v>19.15</v>
      </c>
      <c r="L772" s="50" t="n">
        <v>216994.2</v>
      </c>
      <c r="M772" s="46" t="inlineStr">
        <is>
          <t>USD</t>
        </is>
      </c>
      <c r="N772" s="46" t="inlineStr">
        <is>
          <t>FOB</t>
        </is>
      </c>
      <c r="O772" s="46" t="inlineStr">
        <is>
          <t>N</t>
        </is>
      </c>
      <c r="P772" s="50" t="n">
        <v>1362.3691</v>
      </c>
      <c r="Q772" s="49">
        <f>IF(OR(L772="",M772="",P772=""),"",L772*P772)</f>
        <v/>
      </c>
    </row>
    <row r="773" ht="15" customHeight="1" s="32">
      <c r="A773" s="46" t="inlineStr">
        <is>
          <t>R-HB-0772</t>
        </is>
      </c>
      <c r="B773" s="47" t="n">
        <v>45575</v>
      </c>
      <c r="C773" s="46" t="inlineStr">
        <is>
          <t>2024-10</t>
        </is>
      </c>
      <c r="D773" s="46" t="n">
        <v>2024</v>
      </c>
      <c r="E773" s="46" t="inlineStr">
        <is>
          <t>P-HB-004</t>
        </is>
      </c>
      <c r="F773" s="46" t="inlineStr">
        <is>
          <t>C-HB-07</t>
        </is>
      </c>
      <c r="G773" s="48" t="inlineStr">
        <is>
          <t>인도</t>
        </is>
      </c>
      <c r="H773" s="46" t="inlineStr">
        <is>
          <t>IN</t>
        </is>
      </c>
      <c r="I773" s="49" t="n">
        <v>8195</v>
      </c>
      <c r="J773" s="46" t="inlineStr">
        <is>
          <t>EA</t>
        </is>
      </c>
      <c r="K773" s="50" t="n">
        <v>9.01</v>
      </c>
      <c r="L773" s="50" t="n">
        <v>233704.01</v>
      </c>
      <c r="M773" s="46" t="inlineStr">
        <is>
          <t>USD</t>
        </is>
      </c>
      <c r="N773" s="46" t="inlineStr">
        <is>
          <t>FOB</t>
        </is>
      </c>
      <c r="O773" s="46" t="inlineStr">
        <is>
          <t>N</t>
        </is>
      </c>
      <c r="P773" s="50" t="n">
        <v>1362.3691</v>
      </c>
      <c r="Q773" s="49">
        <f>IF(OR(L773="",M773="",P773=""),"",L773*P773)</f>
        <v/>
      </c>
    </row>
    <row r="774" ht="15" customHeight="1" s="32">
      <c r="A774" s="46" t="inlineStr">
        <is>
          <t>R-HB-0773</t>
        </is>
      </c>
      <c r="B774" s="47" t="n">
        <v>45579</v>
      </c>
      <c r="C774" s="46" t="inlineStr">
        <is>
          <t>2024-10</t>
        </is>
      </c>
      <c r="D774" s="46" t="n">
        <v>2024</v>
      </c>
      <c r="E774" s="46" t="inlineStr">
        <is>
          <t>P-HB-001</t>
        </is>
      </c>
      <c r="F774" s="46" t="inlineStr">
        <is>
          <t>C-HB-05</t>
        </is>
      </c>
      <c r="G774" s="48" t="inlineStr">
        <is>
          <t>독일</t>
        </is>
      </c>
      <c r="H774" s="46" t="inlineStr">
        <is>
          <t>DE</t>
        </is>
      </c>
      <c r="I774" s="49" t="n">
        <v>164650</v>
      </c>
      <c r="J774" s="46" t="inlineStr">
        <is>
          <t>EA</t>
        </is>
      </c>
      <c r="K774" s="50" t="n">
        <v>74.09</v>
      </c>
      <c r="L774" s="50" t="n">
        <v>908460.92</v>
      </c>
      <c r="M774" s="46" t="inlineStr">
        <is>
          <t>USD</t>
        </is>
      </c>
      <c r="N774" s="46" t="inlineStr">
        <is>
          <t>FOB</t>
        </is>
      </c>
      <c r="O774" s="46" t="inlineStr">
        <is>
          <t>N</t>
        </is>
      </c>
      <c r="P774" s="50" t="n">
        <v>1362.3691</v>
      </c>
      <c r="Q774" s="49">
        <f>IF(OR(L774="",M774="",P774=""),"",L774*P774)</f>
        <v/>
      </c>
    </row>
    <row r="775" ht="15" customHeight="1" s="32">
      <c r="A775" s="46" t="inlineStr">
        <is>
          <t>R-HB-0774</t>
        </is>
      </c>
      <c r="B775" s="47" t="n">
        <v>45579</v>
      </c>
      <c r="C775" s="46" t="inlineStr">
        <is>
          <t>2024-10</t>
        </is>
      </c>
      <c r="D775" s="46" t="n">
        <v>2024</v>
      </c>
      <c r="E775" s="46" t="inlineStr">
        <is>
          <t>P-HB-003</t>
        </is>
      </c>
      <c r="F775" s="46" t="inlineStr">
        <is>
          <t>C-HB-08</t>
        </is>
      </c>
      <c r="G775" s="48" t="inlineStr">
        <is>
          <t>중국</t>
        </is>
      </c>
      <c r="H775" s="46" t="inlineStr">
        <is>
          <t>CN</t>
        </is>
      </c>
      <c r="I775" s="49" t="n">
        <v>89006</v>
      </c>
      <c r="J775" s="46" t="inlineStr">
        <is>
          <t>EA</t>
        </is>
      </c>
      <c r="K775" s="50" t="n">
        <v>57.85</v>
      </c>
      <c r="L775" s="50" t="n">
        <v>679283.36</v>
      </c>
      <c r="M775" s="46" t="inlineStr">
        <is>
          <t>USD</t>
        </is>
      </c>
      <c r="N775" s="46" t="inlineStr">
        <is>
          <t>FOB</t>
        </is>
      </c>
      <c r="O775" s="46" t="inlineStr">
        <is>
          <t>N</t>
        </is>
      </c>
      <c r="P775" s="50" t="n">
        <v>1362.3691</v>
      </c>
      <c r="Q775" s="49">
        <f>IF(OR(L775="",M775="",P775=""),"",L775*P775)</f>
        <v/>
      </c>
    </row>
    <row r="776" ht="15" customHeight="1" s="32">
      <c r="A776" s="46" t="inlineStr">
        <is>
          <t>R-HB-0775</t>
        </is>
      </c>
      <c r="B776" s="47" t="n">
        <v>45579</v>
      </c>
      <c r="C776" s="46" t="inlineStr">
        <is>
          <t>2024-10</t>
        </is>
      </c>
      <c r="D776" s="46" t="n">
        <v>2024</v>
      </c>
      <c r="E776" s="46" t="inlineStr">
        <is>
          <t>P-HB-004</t>
        </is>
      </c>
      <c r="F776" s="46" t="inlineStr">
        <is>
          <t>C-HB-08</t>
        </is>
      </c>
      <c r="G776" s="48" t="inlineStr">
        <is>
          <t>중국</t>
        </is>
      </c>
      <c r="H776" s="46" t="inlineStr">
        <is>
          <t>CN</t>
        </is>
      </c>
      <c r="I776" s="49" t="n">
        <v>24333</v>
      </c>
      <c r="J776" s="46" t="inlineStr">
        <is>
          <t>EA</t>
        </is>
      </c>
      <c r="K776" s="50" t="n">
        <v>26.77</v>
      </c>
      <c r="L776" s="50" t="n">
        <v>694739.3100000001</v>
      </c>
      <c r="M776" s="46" t="inlineStr">
        <is>
          <t>USD</t>
        </is>
      </c>
      <c r="N776" s="46" t="inlineStr">
        <is>
          <t>FOB</t>
        </is>
      </c>
      <c r="O776" s="46" t="inlineStr">
        <is>
          <t>N</t>
        </is>
      </c>
      <c r="P776" s="50" t="n">
        <v>1362.3691</v>
      </c>
      <c r="Q776" s="49">
        <f>IF(OR(L776="",M776="",P776=""),"",L776*P776)</f>
        <v/>
      </c>
    </row>
    <row r="777" ht="15" customHeight="1" s="32">
      <c r="A777" s="46" t="inlineStr">
        <is>
          <t>R-HB-0776</t>
        </is>
      </c>
      <c r="B777" s="47" t="n">
        <v>45579</v>
      </c>
      <c r="C777" s="46" t="inlineStr">
        <is>
          <t>2024-10</t>
        </is>
      </c>
      <c r="D777" s="46" t="n">
        <v>2024</v>
      </c>
      <c r="E777" s="46" t="inlineStr">
        <is>
          <t>P-HB-004</t>
        </is>
      </c>
      <c r="F777" s="46" t="inlineStr">
        <is>
          <t>C-HB-09</t>
        </is>
      </c>
      <c r="G777" s="48" t="inlineStr">
        <is>
          <t>중국</t>
        </is>
      </c>
      <c r="H777" s="46" t="inlineStr">
        <is>
          <t>CN</t>
        </is>
      </c>
      <c r="I777" s="49" t="n">
        <v>15523</v>
      </c>
      <c r="J777" s="46" t="inlineStr">
        <is>
          <t>EA</t>
        </is>
      </c>
      <c r="K777" s="50" t="n">
        <v>17.08</v>
      </c>
      <c r="L777" s="50" t="n">
        <v>430482.54</v>
      </c>
      <c r="M777" s="46" t="inlineStr">
        <is>
          <t>USD</t>
        </is>
      </c>
      <c r="N777" s="46" t="inlineStr">
        <is>
          <t>FOB</t>
        </is>
      </c>
      <c r="O777" s="46" t="inlineStr">
        <is>
          <t>N</t>
        </is>
      </c>
      <c r="P777" s="50" t="n">
        <v>1362.3691</v>
      </c>
      <c r="Q777" s="49">
        <f>IF(OR(L777="",M777="",P777=""),"",L777*P777)</f>
        <v/>
      </c>
    </row>
    <row r="778" ht="15" customHeight="1" s="32">
      <c r="A778" s="46" t="inlineStr">
        <is>
          <t>R-HB-0777</t>
        </is>
      </c>
      <c r="B778" s="47" t="n">
        <v>45580</v>
      </c>
      <c r="C778" s="46" t="inlineStr">
        <is>
          <t>2024-10</t>
        </is>
      </c>
      <c r="D778" s="46" t="n">
        <v>2024</v>
      </c>
      <c r="E778" s="46" t="inlineStr">
        <is>
          <t>P-HB-001</t>
        </is>
      </c>
      <c r="F778" s="46" t="inlineStr">
        <is>
          <t>C-HB-06</t>
        </is>
      </c>
      <c r="G778" s="48" t="inlineStr">
        <is>
          <t>베트남</t>
        </is>
      </c>
      <c r="H778" s="46" t="inlineStr">
        <is>
          <t>VN</t>
        </is>
      </c>
      <c r="I778" s="49" t="n">
        <v>121664</v>
      </c>
      <c r="J778" s="46" t="inlineStr">
        <is>
          <t>EA</t>
        </is>
      </c>
      <c r="K778" s="50" t="n">
        <v>54.75</v>
      </c>
      <c r="L778" s="50" t="n">
        <v>634173.3100000001</v>
      </c>
      <c r="M778" s="46" t="inlineStr">
        <is>
          <t>USD</t>
        </is>
      </c>
      <c r="N778" s="46" t="inlineStr">
        <is>
          <t>FOB</t>
        </is>
      </c>
      <c r="O778" s="46" t="inlineStr">
        <is>
          <t>N</t>
        </is>
      </c>
      <c r="P778" s="50" t="n">
        <v>1362.3691</v>
      </c>
      <c r="Q778" s="49">
        <f>IF(OR(L778="",M778="",P778=""),"",L778*P778)</f>
        <v/>
      </c>
    </row>
    <row r="779" ht="15" customHeight="1" s="32">
      <c r="A779" s="46" t="inlineStr">
        <is>
          <t>R-HB-0778</t>
        </is>
      </c>
      <c r="B779" s="47" t="n">
        <v>45580</v>
      </c>
      <c r="C779" s="46" t="inlineStr">
        <is>
          <t>2024-10</t>
        </is>
      </c>
      <c r="D779" s="46" t="n">
        <v>2024</v>
      </c>
      <c r="E779" s="46" t="inlineStr">
        <is>
          <t>P-HB-001</t>
        </is>
      </c>
      <c r="F779" s="46" t="inlineStr">
        <is>
          <t>C-HB-08</t>
        </is>
      </c>
      <c r="G779" s="48" t="inlineStr">
        <is>
          <t>중국</t>
        </is>
      </c>
      <c r="H779" s="46" t="inlineStr">
        <is>
          <t>CN</t>
        </is>
      </c>
      <c r="I779" s="49" t="n">
        <v>205145</v>
      </c>
      <c r="J779" s="46" t="inlineStr">
        <is>
          <t>EA</t>
        </is>
      </c>
      <c r="K779" s="50" t="n">
        <v>92.31999999999999</v>
      </c>
      <c r="L779" s="50" t="n">
        <v>1134210.23</v>
      </c>
      <c r="M779" s="46" t="inlineStr">
        <is>
          <t>USD</t>
        </is>
      </c>
      <c r="N779" s="46" t="inlineStr">
        <is>
          <t>FOB</t>
        </is>
      </c>
      <c r="O779" s="46" t="inlineStr">
        <is>
          <t>N</t>
        </is>
      </c>
      <c r="P779" s="50" t="n">
        <v>1362.3691</v>
      </c>
      <c r="Q779" s="49">
        <f>IF(OR(L779="",M779="",P779=""),"",L779*P779)</f>
        <v/>
      </c>
    </row>
    <row r="780" ht="15" customHeight="1" s="32">
      <c r="A780" s="46" t="inlineStr">
        <is>
          <t>R-HB-0779</t>
        </is>
      </c>
      <c r="B780" s="47" t="n">
        <v>45582</v>
      </c>
      <c r="C780" s="46" t="inlineStr">
        <is>
          <t>2024-10</t>
        </is>
      </c>
      <c r="D780" s="46" t="n">
        <v>2024</v>
      </c>
      <c r="E780" s="46" t="inlineStr">
        <is>
          <t>P-HB-003</t>
        </is>
      </c>
      <c r="F780" s="46" t="inlineStr">
        <is>
          <t>C-HB-03</t>
        </is>
      </c>
      <c r="G780" s="48" t="inlineStr">
        <is>
          <t>멕시코</t>
        </is>
      </c>
      <c r="H780" s="46" t="inlineStr">
        <is>
          <t>MX</t>
        </is>
      </c>
      <c r="I780" s="49" t="n">
        <v>13747</v>
      </c>
      <c r="J780" s="46" t="inlineStr">
        <is>
          <t>EA</t>
        </is>
      </c>
      <c r="K780" s="50" t="n">
        <v>8.94</v>
      </c>
      <c r="L780" s="50" t="n">
        <v>106239.1</v>
      </c>
      <c r="M780" s="46" t="inlineStr">
        <is>
          <t>USD</t>
        </is>
      </c>
      <c r="N780" s="46" t="inlineStr">
        <is>
          <t>FOB</t>
        </is>
      </c>
      <c r="O780" s="46" t="inlineStr">
        <is>
          <t>N</t>
        </is>
      </c>
      <c r="P780" s="50" t="n">
        <v>1362.3691</v>
      </c>
      <c r="Q780" s="49">
        <f>IF(OR(L780="",M780="",P780=""),"",L780*P780)</f>
        <v/>
      </c>
    </row>
    <row r="781" ht="15" customHeight="1" s="32">
      <c r="A781" s="46" t="inlineStr">
        <is>
          <t>R-HB-0780</t>
        </is>
      </c>
      <c r="B781" s="47" t="n">
        <v>45582</v>
      </c>
      <c r="C781" s="46" t="inlineStr">
        <is>
          <t>2024-10</t>
        </is>
      </c>
      <c r="D781" s="46" t="n">
        <v>2024</v>
      </c>
      <c r="E781" s="46" t="inlineStr">
        <is>
          <t>P-HB-002</t>
        </is>
      </c>
      <c r="F781" s="46" t="inlineStr">
        <is>
          <t>C-HB-04</t>
        </is>
      </c>
      <c r="G781" s="48" t="inlineStr">
        <is>
          <t>캐나다</t>
        </is>
      </c>
      <c r="H781" s="46" t="inlineStr">
        <is>
          <t>CA</t>
        </is>
      </c>
      <c r="I781" s="49" t="n">
        <v>60</v>
      </c>
      <c r="J781" s="46" t="inlineStr">
        <is>
          <t>EA</t>
        </is>
      </c>
      <c r="K781" s="50" t="n">
        <v>0.13</v>
      </c>
      <c r="L781" s="50" t="n">
        <v>22162.67</v>
      </c>
      <c r="M781" s="46" t="inlineStr">
        <is>
          <t>USD</t>
        </is>
      </c>
      <c r="N781" s="46" t="inlineStr">
        <is>
          <t>FOB</t>
        </is>
      </c>
      <c r="O781" s="46" t="inlineStr">
        <is>
          <t>N</t>
        </is>
      </c>
      <c r="P781" s="50" t="n">
        <v>1362.3691</v>
      </c>
      <c r="Q781" s="49">
        <f>IF(OR(L781="",M781="",P781=""),"",L781*P781)</f>
        <v/>
      </c>
    </row>
    <row r="782" ht="15" customHeight="1" s="32">
      <c r="A782" s="46" t="inlineStr">
        <is>
          <t>R-HB-0781</t>
        </is>
      </c>
      <c r="B782" s="47" t="n">
        <v>45582</v>
      </c>
      <c r="C782" s="46" t="inlineStr">
        <is>
          <t>2024-10</t>
        </is>
      </c>
      <c r="D782" s="46" t="n">
        <v>2024</v>
      </c>
      <c r="E782" s="46" t="inlineStr">
        <is>
          <t>P-HB-002</t>
        </is>
      </c>
      <c r="F782" s="46" t="inlineStr">
        <is>
          <t>C-HB-06</t>
        </is>
      </c>
      <c r="G782" s="48" t="inlineStr">
        <is>
          <t>베트남</t>
        </is>
      </c>
      <c r="H782" s="46" t="inlineStr">
        <is>
          <t>VN</t>
        </is>
      </c>
      <c r="I782" s="49" t="n">
        <v>442</v>
      </c>
      <c r="J782" s="46" t="inlineStr">
        <is>
          <t>EA</t>
        </is>
      </c>
      <c r="K782" s="50" t="n">
        <v>0.97</v>
      </c>
      <c r="L782" s="50" t="n">
        <v>160142.43</v>
      </c>
      <c r="M782" s="46" t="inlineStr">
        <is>
          <t>USD</t>
        </is>
      </c>
      <c r="N782" s="46" t="inlineStr">
        <is>
          <t>FOB</t>
        </is>
      </c>
      <c r="O782" s="46" t="inlineStr">
        <is>
          <t>N</t>
        </is>
      </c>
      <c r="P782" s="50" t="n">
        <v>1362.3691</v>
      </c>
      <c r="Q782" s="49">
        <f>IF(OR(L782="",M782="",P782=""),"",L782*P782)</f>
        <v/>
      </c>
    </row>
    <row r="783" ht="15" customHeight="1" s="32">
      <c r="A783" s="46" t="inlineStr">
        <is>
          <t>R-HB-0782</t>
        </is>
      </c>
      <c r="B783" s="47" t="n">
        <v>45582</v>
      </c>
      <c r="C783" s="46" t="inlineStr">
        <is>
          <t>2024-10</t>
        </is>
      </c>
      <c r="D783" s="46" t="n">
        <v>2024</v>
      </c>
      <c r="E783" s="46" t="inlineStr">
        <is>
          <t>P-HB-004</t>
        </is>
      </c>
      <c r="F783" s="46" t="inlineStr">
        <is>
          <t>C-HB-06</t>
        </is>
      </c>
      <c r="G783" s="48" t="inlineStr">
        <is>
          <t>베트남</t>
        </is>
      </c>
      <c r="H783" s="46" t="inlineStr">
        <is>
          <t>VN</t>
        </is>
      </c>
      <c r="I783" s="49" t="n">
        <v>12597</v>
      </c>
      <c r="J783" s="46" t="inlineStr">
        <is>
          <t>EA</t>
        </is>
      </c>
      <c r="K783" s="50" t="n">
        <v>13.86</v>
      </c>
      <c r="L783" s="50" t="n">
        <v>362658.39</v>
      </c>
      <c r="M783" s="46" t="inlineStr">
        <is>
          <t>USD</t>
        </is>
      </c>
      <c r="N783" s="46" t="inlineStr">
        <is>
          <t>FOB</t>
        </is>
      </c>
      <c r="O783" s="46" t="inlineStr">
        <is>
          <t>N</t>
        </is>
      </c>
      <c r="P783" s="50" t="n">
        <v>1362.3691</v>
      </c>
      <c r="Q783" s="49">
        <f>IF(OR(L783="",M783="",P783=""),"",L783*P783)</f>
        <v/>
      </c>
    </row>
    <row r="784" ht="15" customHeight="1" s="32">
      <c r="A784" s="46" t="inlineStr">
        <is>
          <t>R-HB-0783</t>
        </is>
      </c>
      <c r="B784" s="47" t="n">
        <v>45583</v>
      </c>
      <c r="C784" s="46" t="inlineStr">
        <is>
          <t>2024-10</t>
        </is>
      </c>
      <c r="D784" s="46" t="n">
        <v>2024</v>
      </c>
      <c r="E784" s="46" t="inlineStr">
        <is>
          <t>P-HB-004</t>
        </is>
      </c>
      <c r="F784" s="46" t="inlineStr">
        <is>
          <t>C-HB-04</t>
        </is>
      </c>
      <c r="G784" s="48" t="inlineStr">
        <is>
          <t>캐나다</t>
        </is>
      </c>
      <c r="H784" s="46" t="inlineStr">
        <is>
          <t>CA</t>
        </is>
      </c>
      <c r="I784" s="49" t="n">
        <v>1698</v>
      </c>
      <c r="J784" s="46" t="inlineStr">
        <is>
          <t>EA</t>
        </is>
      </c>
      <c r="K784" s="50" t="n">
        <v>1.87</v>
      </c>
      <c r="L784" s="50" t="n">
        <v>49395.46</v>
      </c>
      <c r="M784" s="46" t="inlineStr">
        <is>
          <t>USD</t>
        </is>
      </c>
      <c r="N784" s="46" t="inlineStr">
        <is>
          <t>FOB</t>
        </is>
      </c>
      <c r="O784" s="46" t="inlineStr">
        <is>
          <t>N</t>
        </is>
      </c>
      <c r="P784" s="50" t="n">
        <v>1362.3691</v>
      </c>
      <c r="Q784" s="49">
        <f>IF(OR(L784="",M784="",P784=""),"",L784*P784)</f>
        <v/>
      </c>
    </row>
    <row r="785" ht="15" customHeight="1" s="32">
      <c r="A785" s="46" t="inlineStr">
        <is>
          <t>R-HB-0784</t>
        </is>
      </c>
      <c r="B785" s="47" t="n">
        <v>45583</v>
      </c>
      <c r="C785" s="46" t="inlineStr">
        <is>
          <t>2024-10</t>
        </is>
      </c>
      <c r="D785" s="46" t="n">
        <v>2024</v>
      </c>
      <c r="E785" s="46" t="inlineStr">
        <is>
          <t>P-HB-002</t>
        </is>
      </c>
      <c r="F785" s="46" t="inlineStr">
        <is>
          <t>C-HB-09</t>
        </is>
      </c>
      <c r="G785" s="48" t="inlineStr">
        <is>
          <t>중국</t>
        </is>
      </c>
      <c r="H785" s="46" t="inlineStr">
        <is>
          <t>CN</t>
        </is>
      </c>
      <c r="I785" s="49" t="n">
        <v>541</v>
      </c>
      <c r="J785" s="46" t="inlineStr">
        <is>
          <t>EA</t>
        </is>
      </c>
      <c r="K785" s="50" t="n">
        <v>1.19</v>
      </c>
      <c r="L785" s="50" t="n">
        <v>194710</v>
      </c>
      <c r="M785" s="46" t="inlineStr">
        <is>
          <t>USD</t>
        </is>
      </c>
      <c r="N785" s="46" t="inlineStr">
        <is>
          <t>FOB</t>
        </is>
      </c>
      <c r="O785" s="46" t="inlineStr">
        <is>
          <t>N</t>
        </is>
      </c>
      <c r="P785" s="50" t="n">
        <v>1362.3691</v>
      </c>
      <c r="Q785" s="49">
        <f>IF(OR(L785="",M785="",P785=""),"",L785*P785)</f>
        <v/>
      </c>
    </row>
    <row r="786" ht="15" customHeight="1" s="32">
      <c r="A786" s="46" t="inlineStr">
        <is>
          <t>R-HB-0785</t>
        </is>
      </c>
      <c r="B786" s="47" t="n">
        <v>45585</v>
      </c>
      <c r="C786" s="46" t="inlineStr">
        <is>
          <t>2024-10</t>
        </is>
      </c>
      <c r="D786" s="46" t="n">
        <v>2024</v>
      </c>
      <c r="E786" s="46" t="inlineStr">
        <is>
          <t>P-HB-003</t>
        </is>
      </c>
      <c r="F786" s="46" t="inlineStr">
        <is>
          <t>C-HB-05</t>
        </is>
      </c>
      <c r="G786" s="48" t="inlineStr">
        <is>
          <t>독일</t>
        </is>
      </c>
      <c r="H786" s="46" t="inlineStr">
        <is>
          <t>DE</t>
        </is>
      </c>
      <c r="I786" s="49" t="n">
        <v>61417</v>
      </c>
      <c r="J786" s="46" t="inlineStr">
        <is>
          <t>EA</t>
        </is>
      </c>
      <c r="K786" s="50" t="n">
        <v>39.92</v>
      </c>
      <c r="L786" s="50" t="n">
        <v>469960.55</v>
      </c>
      <c r="M786" s="46" t="inlineStr">
        <is>
          <t>USD</t>
        </is>
      </c>
      <c r="N786" s="46" t="inlineStr">
        <is>
          <t>FOB</t>
        </is>
      </c>
      <c r="O786" s="46" t="inlineStr">
        <is>
          <t>N</t>
        </is>
      </c>
      <c r="P786" s="50" t="n">
        <v>1362.3691</v>
      </c>
      <c r="Q786" s="49">
        <f>IF(OR(L786="",M786="",P786=""),"",L786*P786)</f>
        <v/>
      </c>
    </row>
    <row r="787" ht="15" customHeight="1" s="32">
      <c r="A787" s="46" t="inlineStr">
        <is>
          <t>R-HB-0786</t>
        </is>
      </c>
      <c r="B787" s="47" t="n">
        <v>45585</v>
      </c>
      <c r="C787" s="46" t="inlineStr">
        <is>
          <t>2024-10</t>
        </is>
      </c>
      <c r="D787" s="46" t="n">
        <v>2024</v>
      </c>
      <c r="E787" s="46" t="inlineStr">
        <is>
          <t>P-HB-003</t>
        </is>
      </c>
      <c r="F787" s="46" t="inlineStr">
        <is>
          <t>C-HB-06</t>
        </is>
      </c>
      <c r="G787" s="48" t="inlineStr">
        <is>
          <t>베트남</t>
        </is>
      </c>
      <c r="H787" s="46" t="inlineStr">
        <is>
          <t>VN</t>
        </is>
      </c>
      <c r="I787" s="49" t="n">
        <v>42637</v>
      </c>
      <c r="J787" s="46" t="inlineStr">
        <is>
          <t>EA</t>
        </is>
      </c>
      <c r="K787" s="50" t="n">
        <v>27.71</v>
      </c>
      <c r="L787" s="50" t="n">
        <v>328345.83</v>
      </c>
      <c r="M787" s="46" t="inlineStr">
        <is>
          <t>USD</t>
        </is>
      </c>
      <c r="N787" s="46" t="inlineStr">
        <is>
          <t>FOB</t>
        </is>
      </c>
      <c r="O787" s="46" t="inlineStr">
        <is>
          <t>N</t>
        </is>
      </c>
      <c r="P787" s="50" t="n">
        <v>1362.3691</v>
      </c>
      <c r="Q787" s="49">
        <f>IF(OR(L787="",M787="",P787=""),"",L787*P787)</f>
        <v/>
      </c>
    </row>
    <row r="788" ht="15" customHeight="1" s="32">
      <c r="A788" s="46" t="inlineStr">
        <is>
          <t>R-HB-0787</t>
        </is>
      </c>
      <c r="B788" s="47" t="n">
        <v>45585</v>
      </c>
      <c r="C788" s="46" t="inlineStr">
        <is>
          <t>2024-10</t>
        </is>
      </c>
      <c r="D788" s="46" t="n">
        <v>2024</v>
      </c>
      <c r="E788" s="46" t="inlineStr">
        <is>
          <t>P-HB-003</t>
        </is>
      </c>
      <c r="F788" s="46" t="inlineStr">
        <is>
          <t>C-HB-09</t>
        </is>
      </c>
      <c r="G788" s="48" t="inlineStr">
        <is>
          <t>중국</t>
        </is>
      </c>
      <c r="H788" s="46" t="inlineStr">
        <is>
          <t>CN</t>
        </is>
      </c>
      <c r="I788" s="49" t="n">
        <v>58874</v>
      </c>
      <c r="J788" s="46" t="inlineStr">
        <is>
          <t>EA</t>
        </is>
      </c>
      <c r="K788" s="50" t="n">
        <v>38.27</v>
      </c>
      <c r="L788" s="50" t="n">
        <v>457376.26</v>
      </c>
      <c r="M788" s="46" t="inlineStr">
        <is>
          <t>USD</t>
        </is>
      </c>
      <c r="N788" s="46" t="inlineStr">
        <is>
          <t>FOB</t>
        </is>
      </c>
      <c r="O788" s="46" t="inlineStr">
        <is>
          <t>N</t>
        </is>
      </c>
      <c r="P788" s="50" t="n">
        <v>1362.3691</v>
      </c>
      <c r="Q788" s="49">
        <f>IF(OR(L788="",M788="",P788=""),"",L788*P788)</f>
        <v/>
      </c>
    </row>
    <row r="789" ht="15" customHeight="1" s="32">
      <c r="A789" s="46" t="inlineStr">
        <is>
          <t>R-HB-0788</t>
        </is>
      </c>
      <c r="B789" s="47" t="n">
        <v>45586</v>
      </c>
      <c r="C789" s="46" t="inlineStr">
        <is>
          <t>2024-10</t>
        </is>
      </c>
      <c r="D789" s="46" t="n">
        <v>2024</v>
      </c>
      <c r="E789" s="46" t="inlineStr">
        <is>
          <t>P-HB-002</t>
        </is>
      </c>
      <c r="F789" s="46" t="inlineStr">
        <is>
          <t>C-HB-08</t>
        </is>
      </c>
      <c r="G789" s="48" t="inlineStr">
        <is>
          <t>중국</t>
        </is>
      </c>
      <c r="H789" s="46" t="inlineStr">
        <is>
          <t>CN</t>
        </is>
      </c>
      <c r="I789" s="49" t="n">
        <v>770</v>
      </c>
      <c r="J789" s="46" t="inlineStr">
        <is>
          <t>EA</t>
        </is>
      </c>
      <c r="K789" s="50" t="n">
        <v>1.69</v>
      </c>
      <c r="L789" s="50" t="n">
        <v>286941.25</v>
      </c>
      <c r="M789" s="46" t="inlineStr">
        <is>
          <t>USD</t>
        </is>
      </c>
      <c r="N789" s="46" t="inlineStr">
        <is>
          <t>FOB</t>
        </is>
      </c>
      <c r="O789" s="46" t="inlineStr">
        <is>
          <t>N</t>
        </is>
      </c>
      <c r="P789" s="50" t="n">
        <v>1362.3691</v>
      </c>
      <c r="Q789" s="49">
        <f>IF(OR(L789="",M789="",P789=""),"",L789*P789)</f>
        <v/>
      </c>
    </row>
    <row r="790" ht="15" customHeight="1" s="32">
      <c r="A790" s="46" t="inlineStr">
        <is>
          <t>R-HB-0789</t>
        </is>
      </c>
      <c r="B790" s="47" t="n">
        <v>45588</v>
      </c>
      <c r="C790" s="46" t="inlineStr">
        <is>
          <t>2024-10</t>
        </is>
      </c>
      <c r="D790" s="46" t="n">
        <v>2024</v>
      </c>
      <c r="E790" s="46" t="inlineStr">
        <is>
          <t>P-HB-002</t>
        </is>
      </c>
      <c r="F790" s="46" t="inlineStr">
        <is>
          <t>C-HB-01</t>
        </is>
      </c>
      <c r="G790" s="48" t="inlineStr">
        <is>
          <t>미국</t>
        </is>
      </c>
      <c r="H790" s="46" t="inlineStr">
        <is>
          <t>US</t>
        </is>
      </c>
      <c r="I790" s="49" t="n">
        <v>625</v>
      </c>
      <c r="J790" s="46" t="inlineStr">
        <is>
          <t>EA</t>
        </is>
      </c>
      <c r="K790" s="50" t="n">
        <v>1.38</v>
      </c>
      <c r="L790" s="50" t="n">
        <v>236728.37</v>
      </c>
      <c r="M790" s="46" t="inlineStr">
        <is>
          <t>USD</t>
        </is>
      </c>
      <c r="N790" s="46" t="inlineStr">
        <is>
          <t>FOB</t>
        </is>
      </c>
      <c r="O790" s="46" t="inlineStr">
        <is>
          <t>N</t>
        </is>
      </c>
      <c r="P790" s="50" t="n">
        <v>1362.3691</v>
      </c>
      <c r="Q790" s="49">
        <f>IF(OR(L790="",M790="",P790=""),"",L790*P790)</f>
        <v/>
      </c>
    </row>
    <row r="791" ht="15" customHeight="1" s="32">
      <c r="A791" s="46" t="inlineStr">
        <is>
          <t>R-HB-0790</t>
        </is>
      </c>
      <c r="B791" s="47" t="n">
        <v>45590</v>
      </c>
      <c r="C791" s="46" t="inlineStr">
        <is>
          <t>2024-10</t>
        </is>
      </c>
      <c r="D791" s="46" t="n">
        <v>2024</v>
      </c>
      <c r="E791" s="46" t="inlineStr">
        <is>
          <t>P-HB-003</t>
        </is>
      </c>
      <c r="F791" s="46" t="inlineStr">
        <is>
          <t>C-HB-01</t>
        </is>
      </c>
      <c r="G791" s="48" t="inlineStr">
        <is>
          <t>미국</t>
        </is>
      </c>
      <c r="H791" s="46" t="inlineStr">
        <is>
          <t>US</t>
        </is>
      </c>
      <c r="I791" s="49" t="n">
        <v>66840</v>
      </c>
      <c r="J791" s="46" t="inlineStr">
        <is>
          <t>EA</t>
        </is>
      </c>
      <c r="K791" s="50" t="n">
        <v>43.45</v>
      </c>
      <c r="L791" s="50" t="n">
        <v>516353.52</v>
      </c>
      <c r="M791" s="46" t="inlineStr">
        <is>
          <t>USD</t>
        </is>
      </c>
      <c r="N791" s="46" t="inlineStr">
        <is>
          <t>FOB</t>
        </is>
      </c>
      <c r="O791" s="46" t="inlineStr">
        <is>
          <t>N</t>
        </is>
      </c>
      <c r="P791" s="50" t="n">
        <v>1362.3691</v>
      </c>
      <c r="Q791" s="49">
        <f>IF(OR(L791="",M791="",P791=""),"",L791*P791)</f>
        <v/>
      </c>
    </row>
    <row r="792" ht="15" customHeight="1" s="32">
      <c r="A792" s="46" t="inlineStr">
        <is>
          <t>R-HB-0791</t>
        </is>
      </c>
      <c r="B792" s="47" t="n">
        <v>45590</v>
      </c>
      <c r="C792" s="46" t="inlineStr">
        <is>
          <t>2024-10</t>
        </is>
      </c>
      <c r="D792" s="46" t="n">
        <v>2024</v>
      </c>
      <c r="E792" s="46" t="inlineStr">
        <is>
          <t>P-HB-002</t>
        </is>
      </c>
      <c r="F792" s="46" t="inlineStr">
        <is>
          <t>C-HB-03</t>
        </is>
      </c>
      <c r="G792" s="48" t="inlineStr">
        <is>
          <t>멕시코</t>
        </is>
      </c>
      <c r="H792" s="46" t="inlineStr">
        <is>
          <t>MX</t>
        </is>
      </c>
      <c r="I792" s="49" t="n">
        <v>133</v>
      </c>
      <c r="J792" s="46" t="inlineStr">
        <is>
          <t>EA</t>
        </is>
      </c>
      <c r="K792" s="50" t="n">
        <v>0.29</v>
      </c>
      <c r="L792" s="50" t="n">
        <v>50336.31</v>
      </c>
      <c r="M792" s="46" t="inlineStr">
        <is>
          <t>USD</t>
        </is>
      </c>
      <c r="N792" s="46" t="inlineStr">
        <is>
          <t>FOB</t>
        </is>
      </c>
      <c r="O792" s="46" t="inlineStr">
        <is>
          <t>N</t>
        </is>
      </c>
      <c r="P792" s="50" t="n">
        <v>1362.3691</v>
      </c>
      <c r="Q792" s="49">
        <f>IF(OR(L792="",M792="",P792=""),"",L792*P792)</f>
        <v/>
      </c>
    </row>
    <row r="793" ht="15" customHeight="1" s="32">
      <c r="A793" s="46" t="inlineStr">
        <is>
          <t>R-HB-0792</t>
        </is>
      </c>
      <c r="B793" s="47" t="n">
        <v>45591</v>
      </c>
      <c r="C793" s="46" t="inlineStr">
        <is>
          <t>2024-10</t>
        </is>
      </c>
      <c r="D793" s="46" t="n">
        <v>2024</v>
      </c>
      <c r="E793" s="46" t="inlineStr">
        <is>
          <t>P-HB-004</t>
        </is>
      </c>
      <c r="F793" s="46" t="inlineStr">
        <is>
          <t>C-HB-03</t>
        </is>
      </c>
      <c r="G793" s="48" t="inlineStr">
        <is>
          <t>멕시코</t>
        </is>
      </c>
      <c r="H793" s="46" t="inlineStr">
        <is>
          <t>MX</t>
        </is>
      </c>
      <c r="I793" s="49" t="n">
        <v>4086</v>
      </c>
      <c r="J793" s="46" t="inlineStr">
        <is>
          <t>EA</t>
        </is>
      </c>
      <c r="K793" s="50" t="n">
        <v>4.49</v>
      </c>
      <c r="L793" s="50" t="n">
        <v>111931.39</v>
      </c>
      <c r="M793" s="46" t="inlineStr">
        <is>
          <t>USD</t>
        </is>
      </c>
      <c r="N793" s="46" t="inlineStr">
        <is>
          <t>FOB</t>
        </is>
      </c>
      <c r="O793" s="46" t="inlineStr">
        <is>
          <t>N</t>
        </is>
      </c>
      <c r="P793" s="50" t="n">
        <v>1362.3691</v>
      </c>
      <c r="Q793" s="49">
        <f>IF(OR(L793="",M793="",P793=""),"",L793*P793)</f>
        <v/>
      </c>
    </row>
    <row r="794" ht="15" customHeight="1" s="32">
      <c r="A794" s="46" t="inlineStr">
        <is>
          <t>R-HB-0793</t>
        </is>
      </c>
      <c r="B794" s="47" t="n">
        <v>45599</v>
      </c>
      <c r="C794" s="46" t="inlineStr">
        <is>
          <t>2024-11</t>
        </is>
      </c>
      <c r="D794" s="46" t="n">
        <v>2024</v>
      </c>
      <c r="E794" s="46" t="inlineStr">
        <is>
          <t>P-HB-002</t>
        </is>
      </c>
      <c r="F794" s="46" t="inlineStr">
        <is>
          <t>C-HB-01</t>
        </is>
      </c>
      <c r="G794" s="48" t="inlineStr">
        <is>
          <t>미국</t>
        </is>
      </c>
      <c r="H794" s="46" t="inlineStr">
        <is>
          <t>US</t>
        </is>
      </c>
      <c r="I794" s="49" t="n">
        <v>693</v>
      </c>
      <c r="J794" s="46" t="inlineStr">
        <is>
          <t>EA</t>
        </is>
      </c>
      <c r="K794" s="50" t="n">
        <v>1.52</v>
      </c>
      <c r="L794" s="50" t="n">
        <v>254306.39</v>
      </c>
      <c r="M794" s="46" t="inlineStr">
        <is>
          <t>USD</t>
        </is>
      </c>
      <c r="N794" s="46" t="inlineStr">
        <is>
          <t>FOB</t>
        </is>
      </c>
      <c r="O794" s="46" t="inlineStr">
        <is>
          <t>N</t>
        </is>
      </c>
      <c r="P794" s="50" t="n">
        <v>1395.02</v>
      </c>
      <c r="Q794" s="49">
        <f>IF(OR(L794="",M794="",P794=""),"",L794*P794)</f>
        <v/>
      </c>
    </row>
    <row r="795" ht="15" customHeight="1" s="32">
      <c r="A795" s="46" t="inlineStr">
        <is>
          <t>R-HB-0794</t>
        </is>
      </c>
      <c r="B795" s="47" t="n">
        <v>45599</v>
      </c>
      <c r="C795" s="46" t="inlineStr">
        <is>
          <t>2024-11</t>
        </is>
      </c>
      <c r="D795" s="46" t="n">
        <v>2024</v>
      </c>
      <c r="E795" s="46" t="inlineStr">
        <is>
          <t>P-HB-002</t>
        </is>
      </c>
      <c r="F795" s="46" t="inlineStr">
        <is>
          <t>C-HB-02</t>
        </is>
      </c>
      <c r="G795" s="48" t="inlineStr">
        <is>
          <t>미국</t>
        </is>
      </c>
      <c r="H795" s="46" t="inlineStr">
        <is>
          <t>US</t>
        </is>
      </c>
      <c r="I795" s="49" t="n">
        <v>345</v>
      </c>
      <c r="J795" s="46" t="inlineStr">
        <is>
          <t>EA</t>
        </is>
      </c>
      <c r="K795" s="50" t="n">
        <v>0.76</v>
      </c>
      <c r="L795" s="50" t="n">
        <v>130969.89</v>
      </c>
      <c r="M795" s="46" t="inlineStr">
        <is>
          <t>USD</t>
        </is>
      </c>
      <c r="N795" s="46" t="inlineStr">
        <is>
          <t>FOB</t>
        </is>
      </c>
      <c r="O795" s="46" t="inlineStr">
        <is>
          <t>N</t>
        </is>
      </c>
      <c r="P795" s="50" t="n">
        <v>1395.02</v>
      </c>
      <c r="Q795" s="49">
        <f>IF(OR(L795="",M795="",P795=""),"",L795*P795)</f>
        <v/>
      </c>
    </row>
    <row r="796" ht="15" customHeight="1" s="32">
      <c r="A796" s="46" t="inlineStr">
        <is>
          <t>R-HB-0795</t>
        </is>
      </c>
      <c r="B796" s="47" t="n">
        <v>45599</v>
      </c>
      <c r="C796" s="46" t="inlineStr">
        <is>
          <t>2024-11</t>
        </is>
      </c>
      <c r="D796" s="46" t="n">
        <v>2024</v>
      </c>
      <c r="E796" s="46" t="inlineStr">
        <is>
          <t>P-HB-004</t>
        </is>
      </c>
      <c r="F796" s="46" t="inlineStr">
        <is>
          <t>C-HB-04</t>
        </is>
      </c>
      <c r="G796" s="48" t="inlineStr">
        <is>
          <t>캐나다</t>
        </is>
      </c>
      <c r="H796" s="46" t="inlineStr">
        <is>
          <t>CA</t>
        </is>
      </c>
      <c r="I796" s="49" t="n">
        <v>1804</v>
      </c>
      <c r="J796" s="46" t="inlineStr">
        <is>
          <t>EA</t>
        </is>
      </c>
      <c r="K796" s="50" t="n">
        <v>1.98</v>
      </c>
      <c r="L796" s="50" t="n">
        <v>49752.64</v>
      </c>
      <c r="M796" s="46" t="inlineStr">
        <is>
          <t>USD</t>
        </is>
      </c>
      <c r="N796" s="46" t="inlineStr">
        <is>
          <t>FOB</t>
        </is>
      </c>
      <c r="O796" s="46" t="inlineStr">
        <is>
          <t>N</t>
        </is>
      </c>
      <c r="P796" s="50" t="n">
        <v>1395.02</v>
      </c>
      <c r="Q796" s="49">
        <f>IF(OR(L796="",M796="",P796=""),"",L796*P796)</f>
        <v/>
      </c>
    </row>
    <row r="797" ht="15" customHeight="1" s="32">
      <c r="A797" s="46" t="inlineStr">
        <is>
          <t>R-HB-0796</t>
        </is>
      </c>
      <c r="B797" s="47" t="n">
        <v>45599</v>
      </c>
      <c r="C797" s="46" t="inlineStr">
        <is>
          <t>2024-11</t>
        </is>
      </c>
      <c r="D797" s="46" t="n">
        <v>2024</v>
      </c>
      <c r="E797" s="46" t="inlineStr">
        <is>
          <t>P-HB-002</t>
        </is>
      </c>
      <c r="F797" s="46" t="inlineStr">
        <is>
          <t>C-HB-05</t>
        </is>
      </c>
      <c r="G797" s="48" t="inlineStr">
        <is>
          <t>독일</t>
        </is>
      </c>
      <c r="H797" s="46" t="inlineStr">
        <is>
          <t>DE</t>
        </is>
      </c>
      <c r="I797" s="49" t="n">
        <v>598</v>
      </c>
      <c r="J797" s="46" t="inlineStr">
        <is>
          <t>EA</t>
        </is>
      </c>
      <c r="K797" s="50" t="n">
        <v>1.32</v>
      </c>
      <c r="L797" s="50" t="n">
        <v>224882.71</v>
      </c>
      <c r="M797" s="46" t="inlineStr">
        <is>
          <t>USD</t>
        </is>
      </c>
      <c r="N797" s="46" t="inlineStr">
        <is>
          <t>FOB</t>
        </is>
      </c>
      <c r="O797" s="46" t="inlineStr">
        <is>
          <t>N</t>
        </is>
      </c>
      <c r="P797" s="50" t="n">
        <v>1395.02</v>
      </c>
      <c r="Q797" s="49">
        <f>IF(OR(L797="",M797="",P797=""),"",L797*P797)</f>
        <v/>
      </c>
    </row>
    <row r="798" ht="15" customHeight="1" s="32">
      <c r="A798" s="46" t="inlineStr">
        <is>
          <t>R-HB-0797</t>
        </is>
      </c>
      <c r="B798" s="47" t="n">
        <v>45599</v>
      </c>
      <c r="C798" s="46" t="inlineStr">
        <is>
          <t>2024-11</t>
        </is>
      </c>
      <c r="D798" s="46" t="n">
        <v>2024</v>
      </c>
      <c r="E798" s="46" t="inlineStr">
        <is>
          <t>P-HB-003</t>
        </is>
      </c>
      <c r="F798" s="46" t="inlineStr">
        <is>
          <t>C-HB-05</t>
        </is>
      </c>
      <c r="G798" s="48" t="inlineStr">
        <is>
          <t>독일</t>
        </is>
      </c>
      <c r="H798" s="46" t="inlineStr">
        <is>
          <t>DE</t>
        </is>
      </c>
      <c r="I798" s="49" t="n">
        <v>61791</v>
      </c>
      <c r="J798" s="46" t="inlineStr">
        <is>
          <t>EA</t>
        </is>
      </c>
      <c r="K798" s="50" t="n">
        <v>40.16</v>
      </c>
      <c r="L798" s="50" t="n">
        <v>493033.74</v>
      </c>
      <c r="M798" s="46" t="inlineStr">
        <is>
          <t>USD</t>
        </is>
      </c>
      <c r="N798" s="46" t="inlineStr">
        <is>
          <t>FOB</t>
        </is>
      </c>
      <c r="O798" s="46" t="inlineStr">
        <is>
          <t>N</t>
        </is>
      </c>
      <c r="P798" s="50" t="n">
        <v>1395.02</v>
      </c>
      <c r="Q798" s="49">
        <f>IF(OR(L798="",M798="",P798=""),"",L798*P798)</f>
        <v/>
      </c>
    </row>
    <row r="799" ht="15" customHeight="1" s="32">
      <c r="A799" s="46" t="inlineStr">
        <is>
          <t>R-HB-0798</t>
        </is>
      </c>
      <c r="B799" s="47" t="n">
        <v>45600</v>
      </c>
      <c r="C799" s="46" t="inlineStr">
        <is>
          <t>2024-11</t>
        </is>
      </c>
      <c r="D799" s="46" t="n">
        <v>2024</v>
      </c>
      <c r="E799" s="46" t="inlineStr">
        <is>
          <t>P-HB-001</t>
        </is>
      </c>
      <c r="F799" s="46" t="inlineStr">
        <is>
          <t>C-HB-04</t>
        </is>
      </c>
      <c r="G799" s="48" t="inlineStr">
        <is>
          <t>캐나다</t>
        </is>
      </c>
      <c r="H799" s="46" t="inlineStr">
        <is>
          <t>CA</t>
        </is>
      </c>
      <c r="I799" s="49" t="n">
        <v>17221</v>
      </c>
      <c r="J799" s="46" t="inlineStr">
        <is>
          <t>EA</t>
        </is>
      </c>
      <c r="K799" s="50" t="n">
        <v>7.75</v>
      </c>
      <c r="L799" s="50" t="n">
        <v>95387.17999999999</v>
      </c>
      <c r="M799" s="46" t="inlineStr">
        <is>
          <t>USD</t>
        </is>
      </c>
      <c r="N799" s="46" t="inlineStr">
        <is>
          <t>FOB</t>
        </is>
      </c>
      <c r="O799" s="46" t="inlineStr">
        <is>
          <t>N</t>
        </is>
      </c>
      <c r="P799" s="50" t="n">
        <v>1395.02</v>
      </c>
      <c r="Q799" s="49">
        <f>IF(OR(L799="",M799="",P799=""),"",L799*P799)</f>
        <v/>
      </c>
    </row>
    <row r="800" ht="15" customHeight="1" s="32">
      <c r="A800" s="46" t="inlineStr">
        <is>
          <t>R-HB-0799</t>
        </is>
      </c>
      <c r="B800" s="47" t="n">
        <v>45601</v>
      </c>
      <c r="C800" s="46" t="inlineStr">
        <is>
          <t>2024-11</t>
        </is>
      </c>
      <c r="D800" s="46" t="n">
        <v>2024</v>
      </c>
      <c r="E800" s="46" t="inlineStr">
        <is>
          <t>P-HB-002</t>
        </is>
      </c>
      <c r="F800" s="46" t="inlineStr">
        <is>
          <t>C-HB-04</t>
        </is>
      </c>
      <c r="G800" s="48" t="inlineStr">
        <is>
          <t>캐나다</t>
        </is>
      </c>
      <c r="H800" s="46" t="inlineStr">
        <is>
          <t>CA</t>
        </is>
      </c>
      <c r="I800" s="49" t="n">
        <v>59</v>
      </c>
      <c r="J800" s="46" t="inlineStr">
        <is>
          <t>EA</t>
        </is>
      </c>
      <c r="K800" s="50" t="n">
        <v>0.13</v>
      </c>
      <c r="L800" s="50" t="n">
        <v>22641.72</v>
      </c>
      <c r="M800" s="46" t="inlineStr">
        <is>
          <t>USD</t>
        </is>
      </c>
      <c r="N800" s="46" t="inlineStr">
        <is>
          <t>FOB</t>
        </is>
      </c>
      <c r="O800" s="46" t="inlineStr">
        <is>
          <t>N</t>
        </is>
      </c>
      <c r="P800" s="50" t="n">
        <v>1395.02</v>
      </c>
      <c r="Q800" s="49">
        <f>IF(OR(L800="",M800="",P800=""),"",L800*P800)</f>
        <v/>
      </c>
    </row>
    <row r="801" ht="15" customHeight="1" s="32">
      <c r="A801" s="46" t="inlineStr">
        <is>
          <t>R-HB-0800</t>
        </is>
      </c>
      <c r="B801" s="47" t="n">
        <v>45601</v>
      </c>
      <c r="C801" s="46" t="inlineStr">
        <is>
          <t>2024-11</t>
        </is>
      </c>
      <c r="D801" s="46" t="n">
        <v>2024</v>
      </c>
      <c r="E801" s="46" t="inlineStr">
        <is>
          <t>P-HB-003</t>
        </is>
      </c>
      <c r="F801" s="46" t="inlineStr">
        <is>
          <t>C-HB-06</t>
        </is>
      </c>
      <c r="G801" s="48" t="inlineStr">
        <is>
          <t>베트남</t>
        </is>
      </c>
      <c r="H801" s="46" t="inlineStr">
        <is>
          <t>VN</t>
        </is>
      </c>
      <c r="I801" s="49" t="n">
        <v>43976</v>
      </c>
      <c r="J801" s="46" t="inlineStr">
        <is>
          <t>EA</t>
        </is>
      </c>
      <c r="K801" s="50" t="n">
        <v>28.58</v>
      </c>
      <c r="L801" s="50" t="n">
        <v>327545.99</v>
      </c>
      <c r="M801" s="46" t="inlineStr">
        <is>
          <t>USD</t>
        </is>
      </c>
      <c r="N801" s="46" t="inlineStr">
        <is>
          <t>FOB</t>
        </is>
      </c>
      <c r="O801" s="46" t="inlineStr">
        <is>
          <t>N</t>
        </is>
      </c>
      <c r="P801" s="50" t="n">
        <v>1395.02</v>
      </c>
      <c r="Q801" s="49">
        <f>IF(OR(L801="",M801="",P801=""),"",L801*P801)</f>
        <v/>
      </c>
    </row>
    <row r="802" ht="15" customHeight="1" s="32">
      <c r="A802" s="46" t="inlineStr">
        <is>
          <t>R-HB-0801</t>
        </is>
      </c>
      <c r="B802" s="47" t="n">
        <v>45602</v>
      </c>
      <c r="C802" s="46" t="inlineStr">
        <is>
          <t>2024-11</t>
        </is>
      </c>
      <c r="D802" s="46" t="n">
        <v>2024</v>
      </c>
      <c r="E802" s="46" t="inlineStr">
        <is>
          <t>P-HB-001</t>
        </is>
      </c>
      <c r="F802" s="46" t="inlineStr">
        <is>
          <t>C-HB-01</t>
        </is>
      </c>
      <c r="G802" s="48" t="inlineStr">
        <is>
          <t>미국</t>
        </is>
      </c>
      <c r="H802" s="46" t="inlineStr">
        <is>
          <t>US</t>
        </is>
      </c>
      <c r="I802" s="49" t="n">
        <v>167918</v>
      </c>
      <c r="J802" s="46" t="inlineStr">
        <is>
          <t>EA</t>
        </is>
      </c>
      <c r="K802" s="50" t="n">
        <v>75.56</v>
      </c>
      <c r="L802" s="50" t="n">
        <v>949102.48</v>
      </c>
      <c r="M802" s="46" t="inlineStr">
        <is>
          <t>USD</t>
        </is>
      </c>
      <c r="N802" s="46" t="inlineStr">
        <is>
          <t>FOB</t>
        </is>
      </c>
      <c r="O802" s="46" t="inlineStr">
        <is>
          <t>N</t>
        </is>
      </c>
      <c r="P802" s="50" t="n">
        <v>1395.02</v>
      </c>
      <c r="Q802" s="49">
        <f>IF(OR(L802="",M802="",P802=""),"",L802*P802)</f>
        <v/>
      </c>
    </row>
    <row r="803" ht="15" customHeight="1" s="32">
      <c r="A803" s="46" t="inlineStr">
        <is>
          <t>R-HB-0802</t>
        </is>
      </c>
      <c r="B803" s="47" t="n">
        <v>45603</v>
      </c>
      <c r="C803" s="46" t="inlineStr">
        <is>
          <t>2024-11</t>
        </is>
      </c>
      <c r="D803" s="46" t="n">
        <v>2024</v>
      </c>
      <c r="E803" s="46" t="inlineStr">
        <is>
          <t>P-HB-004</t>
        </is>
      </c>
      <c r="F803" s="46" t="inlineStr">
        <is>
          <t>C-HB-03</t>
        </is>
      </c>
      <c r="G803" s="48" t="inlineStr">
        <is>
          <t>멕시코</t>
        </is>
      </c>
      <c r="H803" s="46" t="inlineStr">
        <is>
          <t>MX</t>
        </is>
      </c>
      <c r="I803" s="49" t="n">
        <v>3830</v>
      </c>
      <c r="J803" s="46" t="inlineStr">
        <is>
          <t>EA</t>
        </is>
      </c>
      <c r="K803" s="50" t="n">
        <v>4.21</v>
      </c>
      <c r="L803" s="50" t="n">
        <v>106967.59</v>
      </c>
      <c r="M803" s="46" t="inlineStr">
        <is>
          <t>USD</t>
        </is>
      </c>
      <c r="N803" s="46" t="inlineStr">
        <is>
          <t>FOB</t>
        </is>
      </c>
      <c r="O803" s="46" t="inlineStr">
        <is>
          <t>N</t>
        </is>
      </c>
      <c r="P803" s="50" t="n">
        <v>1395.02</v>
      </c>
      <c r="Q803" s="49">
        <f>IF(OR(L803="",M803="",P803=""),"",L803*P803)</f>
        <v/>
      </c>
    </row>
    <row r="804" ht="15" customHeight="1" s="32">
      <c r="A804" s="46" t="inlineStr">
        <is>
          <t>R-HB-0803</t>
        </is>
      </c>
      <c r="B804" s="47" t="n">
        <v>45603</v>
      </c>
      <c r="C804" s="46" t="inlineStr">
        <is>
          <t>2024-11</t>
        </is>
      </c>
      <c r="D804" s="46" t="n">
        <v>2024</v>
      </c>
      <c r="E804" s="46" t="inlineStr">
        <is>
          <t>P-HB-001</t>
        </is>
      </c>
      <c r="F804" s="46" t="inlineStr">
        <is>
          <t>C-HB-09</t>
        </is>
      </c>
      <c r="G804" s="48" t="inlineStr">
        <is>
          <t>중국</t>
        </is>
      </c>
      <c r="H804" s="46" t="inlineStr">
        <is>
          <t>CN</t>
        </is>
      </c>
      <c r="I804" s="49" t="n">
        <v>135857</v>
      </c>
      <c r="J804" s="46" t="inlineStr">
        <is>
          <t>EA</t>
        </is>
      </c>
      <c r="K804" s="50" t="n">
        <v>61.14</v>
      </c>
      <c r="L804" s="50" t="n">
        <v>736727.71</v>
      </c>
      <c r="M804" s="46" t="inlineStr">
        <is>
          <t>USD</t>
        </is>
      </c>
      <c r="N804" s="46" t="inlineStr">
        <is>
          <t>FOB</t>
        </is>
      </c>
      <c r="O804" s="46" t="inlineStr">
        <is>
          <t>N</t>
        </is>
      </c>
      <c r="P804" s="50" t="n">
        <v>1395.02</v>
      </c>
      <c r="Q804" s="49">
        <f>IF(OR(L804="",M804="",P804=""),"",L804*P804)</f>
        <v/>
      </c>
    </row>
    <row r="805" ht="15" customHeight="1" s="32">
      <c r="A805" s="46" t="inlineStr">
        <is>
          <t>R-HB-0804</t>
        </is>
      </c>
      <c r="B805" s="47" t="n">
        <v>45604</v>
      </c>
      <c r="C805" s="46" t="inlineStr">
        <is>
          <t>2024-11</t>
        </is>
      </c>
      <c r="D805" s="46" t="n">
        <v>2024</v>
      </c>
      <c r="E805" s="46" t="inlineStr">
        <is>
          <t>P-HB-004</t>
        </is>
      </c>
      <c r="F805" s="46" t="inlineStr">
        <is>
          <t>C-HB-01</t>
        </is>
      </c>
      <c r="G805" s="48" t="inlineStr">
        <is>
          <t>미국</t>
        </is>
      </c>
      <c r="H805" s="46" t="inlineStr">
        <is>
          <t>US</t>
        </is>
      </c>
      <c r="I805" s="49" t="n">
        <v>19130</v>
      </c>
      <c r="J805" s="46" t="inlineStr">
        <is>
          <t>EA</t>
        </is>
      </c>
      <c r="K805" s="50" t="n">
        <v>21.04</v>
      </c>
      <c r="L805" s="50" t="n">
        <v>555309.21</v>
      </c>
      <c r="M805" s="46" t="inlineStr">
        <is>
          <t>USD</t>
        </is>
      </c>
      <c r="N805" s="46" t="inlineStr">
        <is>
          <t>FOB</t>
        </is>
      </c>
      <c r="O805" s="46" t="inlineStr">
        <is>
          <t>N</t>
        </is>
      </c>
      <c r="P805" s="50" t="n">
        <v>1395.02</v>
      </c>
      <c r="Q805" s="49">
        <f>IF(OR(L805="",M805="",P805=""),"",L805*P805)</f>
        <v/>
      </c>
    </row>
    <row r="806" ht="15" customHeight="1" s="32">
      <c r="A806" s="46" t="inlineStr">
        <is>
          <t>R-HB-0805</t>
        </is>
      </c>
      <c r="B806" s="47" t="n">
        <v>45605</v>
      </c>
      <c r="C806" s="46" t="inlineStr">
        <is>
          <t>2024-11</t>
        </is>
      </c>
      <c r="D806" s="46" t="n">
        <v>2024</v>
      </c>
      <c r="E806" s="46" t="inlineStr">
        <is>
          <t>P-HB-004</t>
        </is>
      </c>
      <c r="F806" s="46" t="inlineStr">
        <is>
          <t>C-HB-06</t>
        </is>
      </c>
      <c r="G806" s="48" t="inlineStr">
        <is>
          <t>베트남</t>
        </is>
      </c>
      <c r="H806" s="46" t="inlineStr">
        <is>
          <t>VN</t>
        </is>
      </c>
      <c r="I806" s="49" t="n">
        <v>11661</v>
      </c>
      <c r="J806" s="46" t="inlineStr">
        <is>
          <t>EA</t>
        </is>
      </c>
      <c r="K806" s="50" t="n">
        <v>12.83</v>
      </c>
      <c r="L806" s="50" t="n">
        <v>316681.4</v>
      </c>
      <c r="M806" s="46" t="inlineStr">
        <is>
          <t>USD</t>
        </is>
      </c>
      <c r="N806" s="46" t="inlineStr">
        <is>
          <t>FOB</t>
        </is>
      </c>
      <c r="O806" s="46" t="inlineStr">
        <is>
          <t>N</t>
        </is>
      </c>
      <c r="P806" s="50" t="n">
        <v>1395.02</v>
      </c>
      <c r="Q806" s="49">
        <f>IF(OR(L806="",M806="",P806=""),"",L806*P806)</f>
        <v/>
      </c>
    </row>
    <row r="807" ht="15" customHeight="1" s="32">
      <c r="A807" s="46" t="inlineStr">
        <is>
          <t>R-HB-0806</t>
        </is>
      </c>
      <c r="B807" s="47" t="n">
        <v>45605</v>
      </c>
      <c r="C807" s="46" t="inlineStr">
        <is>
          <t>2024-11</t>
        </is>
      </c>
      <c r="D807" s="46" t="n">
        <v>2024</v>
      </c>
      <c r="E807" s="46" t="inlineStr">
        <is>
          <t>P-HB-003</t>
        </is>
      </c>
      <c r="F807" s="46" t="inlineStr">
        <is>
          <t>C-HB-08</t>
        </is>
      </c>
      <c r="G807" s="48" t="inlineStr">
        <is>
          <t>중국</t>
        </is>
      </c>
      <c r="H807" s="46" t="inlineStr">
        <is>
          <t>CN</t>
        </is>
      </c>
      <c r="I807" s="49" t="n">
        <v>79507</v>
      </c>
      <c r="J807" s="46" t="inlineStr">
        <is>
          <t>EA</t>
        </is>
      </c>
      <c r="K807" s="50" t="n">
        <v>51.68</v>
      </c>
      <c r="L807" s="50" t="n">
        <v>605375</v>
      </c>
      <c r="M807" s="46" t="inlineStr">
        <is>
          <t>USD</t>
        </is>
      </c>
      <c r="N807" s="46" t="inlineStr">
        <is>
          <t>FOB</t>
        </is>
      </c>
      <c r="O807" s="46" t="inlineStr">
        <is>
          <t>N</t>
        </is>
      </c>
      <c r="P807" s="50" t="n">
        <v>1395.02</v>
      </c>
      <c r="Q807" s="49">
        <f>IF(OR(L807="",M807="",P807=""),"",L807*P807)</f>
        <v/>
      </c>
    </row>
    <row r="808" ht="15" customHeight="1" s="32">
      <c r="A808" s="46" t="inlineStr">
        <is>
          <t>R-HB-0807</t>
        </is>
      </c>
      <c r="B808" s="47" t="n">
        <v>45607</v>
      </c>
      <c r="C808" s="46" t="inlineStr">
        <is>
          <t>2024-11</t>
        </is>
      </c>
      <c r="D808" s="46" t="n">
        <v>2024</v>
      </c>
      <c r="E808" s="46" t="inlineStr">
        <is>
          <t>P-HB-004</t>
        </is>
      </c>
      <c r="F808" s="46" t="inlineStr">
        <is>
          <t>C-HB-05</t>
        </is>
      </c>
      <c r="G808" s="48" t="inlineStr">
        <is>
          <t>독일</t>
        </is>
      </c>
      <c r="H808" s="46" t="inlineStr">
        <is>
          <t>DE</t>
        </is>
      </c>
      <c r="I808" s="49" t="n">
        <v>16255</v>
      </c>
      <c r="J808" s="46" t="inlineStr">
        <is>
          <t>EA</t>
        </is>
      </c>
      <c r="K808" s="50" t="n">
        <v>17.88</v>
      </c>
      <c r="L808" s="50" t="n">
        <v>459791.45</v>
      </c>
      <c r="M808" s="46" t="inlineStr">
        <is>
          <t>USD</t>
        </is>
      </c>
      <c r="N808" s="46" t="inlineStr">
        <is>
          <t>FOB</t>
        </is>
      </c>
      <c r="O808" s="46" t="inlineStr">
        <is>
          <t>N</t>
        </is>
      </c>
      <c r="P808" s="50" t="n">
        <v>1395.02</v>
      </c>
      <c r="Q808" s="49">
        <f>IF(OR(L808="",M808="",P808=""),"",L808*P808)</f>
        <v/>
      </c>
    </row>
    <row r="809" ht="15" customHeight="1" s="32">
      <c r="A809" s="46" t="inlineStr">
        <is>
          <t>R-HB-0808</t>
        </is>
      </c>
      <c r="B809" s="47" t="n">
        <v>45607</v>
      </c>
      <c r="C809" s="46" t="inlineStr">
        <is>
          <t>2024-11</t>
        </is>
      </c>
      <c r="D809" s="46" t="n">
        <v>2024</v>
      </c>
      <c r="E809" s="46" t="inlineStr">
        <is>
          <t>P-HB-002</t>
        </is>
      </c>
      <c r="F809" s="46" t="inlineStr">
        <is>
          <t>C-HB-06</t>
        </is>
      </c>
      <c r="G809" s="48" t="inlineStr">
        <is>
          <t>베트남</t>
        </is>
      </c>
      <c r="H809" s="46" t="inlineStr">
        <is>
          <t>VN</t>
        </is>
      </c>
      <c r="I809" s="49" t="n">
        <v>433</v>
      </c>
      <c r="J809" s="46" t="inlineStr">
        <is>
          <t>EA</t>
        </is>
      </c>
      <c r="K809" s="50" t="n">
        <v>0.95</v>
      </c>
      <c r="L809" s="50" t="n">
        <v>158111.67</v>
      </c>
      <c r="M809" s="46" t="inlineStr">
        <is>
          <t>USD</t>
        </is>
      </c>
      <c r="N809" s="46" t="inlineStr">
        <is>
          <t>FOB</t>
        </is>
      </c>
      <c r="O809" s="46" t="inlineStr">
        <is>
          <t>N</t>
        </is>
      </c>
      <c r="P809" s="50" t="n">
        <v>1395.02</v>
      </c>
      <c r="Q809" s="49">
        <f>IF(OR(L809="",M809="",P809=""),"",L809*P809)</f>
        <v/>
      </c>
    </row>
    <row r="810" ht="15" customHeight="1" s="32">
      <c r="A810" s="46" t="inlineStr">
        <is>
          <t>R-HB-0809</t>
        </is>
      </c>
      <c r="B810" s="47" t="n">
        <v>45607</v>
      </c>
      <c r="C810" s="46" t="inlineStr">
        <is>
          <t>2024-11</t>
        </is>
      </c>
      <c r="D810" s="46" t="n">
        <v>2024</v>
      </c>
      <c r="E810" s="46" t="inlineStr">
        <is>
          <t>P-HB-001</t>
        </is>
      </c>
      <c r="F810" s="46" t="inlineStr">
        <is>
          <t>C-HB-07</t>
        </is>
      </c>
      <c r="G810" s="48" t="inlineStr">
        <is>
          <t>인도</t>
        </is>
      </c>
      <c r="H810" s="46" t="inlineStr">
        <is>
          <t>IN</t>
        </is>
      </c>
      <c r="I810" s="49" t="n">
        <v>78193</v>
      </c>
      <c r="J810" s="46" t="inlineStr">
        <is>
          <t>EA</t>
        </is>
      </c>
      <c r="K810" s="50" t="n">
        <v>35.19</v>
      </c>
      <c r="L810" s="50" t="n">
        <v>418951.94</v>
      </c>
      <c r="M810" s="46" t="inlineStr">
        <is>
          <t>USD</t>
        </is>
      </c>
      <c r="N810" s="46" t="inlineStr">
        <is>
          <t>FOB</t>
        </is>
      </c>
      <c r="O810" s="46" t="inlineStr">
        <is>
          <t>N</t>
        </is>
      </c>
      <c r="P810" s="50" t="n">
        <v>1395.02</v>
      </c>
      <c r="Q810" s="49">
        <f>IF(OR(L810="",M810="",P810=""),"",L810*P810)</f>
        <v/>
      </c>
    </row>
    <row r="811" ht="15" customHeight="1" s="32">
      <c r="A811" s="46" t="inlineStr">
        <is>
          <t>R-HB-0810</t>
        </is>
      </c>
      <c r="B811" s="47" t="n">
        <v>45607</v>
      </c>
      <c r="C811" s="46" t="inlineStr">
        <is>
          <t>2024-11</t>
        </is>
      </c>
      <c r="D811" s="46" t="n">
        <v>2024</v>
      </c>
      <c r="E811" s="46" t="inlineStr">
        <is>
          <t>P-HB-004</t>
        </is>
      </c>
      <c r="F811" s="46" t="inlineStr">
        <is>
          <t>C-HB-08</t>
        </is>
      </c>
      <c r="G811" s="48" t="inlineStr">
        <is>
          <t>중국</t>
        </is>
      </c>
      <c r="H811" s="46" t="inlineStr">
        <is>
          <t>CN</t>
        </is>
      </c>
      <c r="I811" s="49" t="n">
        <v>23648</v>
      </c>
      <c r="J811" s="46" t="inlineStr">
        <is>
          <t>EA</t>
        </is>
      </c>
      <c r="K811" s="50" t="n">
        <v>26.01</v>
      </c>
      <c r="L811" s="50" t="n">
        <v>654376.49</v>
      </c>
      <c r="M811" s="46" t="inlineStr">
        <is>
          <t>USD</t>
        </is>
      </c>
      <c r="N811" s="46" t="inlineStr">
        <is>
          <t>FOB</t>
        </is>
      </c>
      <c r="O811" s="46" t="inlineStr">
        <is>
          <t>N</t>
        </is>
      </c>
      <c r="P811" s="50" t="n">
        <v>1395.02</v>
      </c>
      <c r="Q811" s="49">
        <f>IF(OR(L811="",M811="",P811=""),"",L811*P811)</f>
        <v/>
      </c>
    </row>
    <row r="812" ht="15" customHeight="1" s="32">
      <c r="A812" s="46" t="inlineStr">
        <is>
          <t>R-HB-0811</t>
        </is>
      </c>
      <c r="B812" s="47" t="n">
        <v>45608</v>
      </c>
      <c r="C812" s="46" t="inlineStr">
        <is>
          <t>2024-11</t>
        </is>
      </c>
      <c r="D812" s="46" t="n">
        <v>2024</v>
      </c>
      <c r="E812" s="46" t="inlineStr">
        <is>
          <t>P-HB-004</t>
        </is>
      </c>
      <c r="F812" s="46" t="inlineStr">
        <is>
          <t>C-HB-09</t>
        </is>
      </c>
      <c r="G812" s="48" t="inlineStr">
        <is>
          <t>중국</t>
        </is>
      </c>
      <c r="H812" s="46" t="inlineStr">
        <is>
          <t>CN</t>
        </is>
      </c>
      <c r="I812" s="49" t="n">
        <v>16026</v>
      </c>
      <c r="J812" s="46" t="inlineStr">
        <is>
          <t>EA</t>
        </is>
      </c>
      <c r="K812" s="50" t="n">
        <v>17.63</v>
      </c>
      <c r="L812" s="50" t="n">
        <v>452147.77</v>
      </c>
      <c r="M812" s="46" t="inlineStr">
        <is>
          <t>USD</t>
        </is>
      </c>
      <c r="N812" s="46" t="inlineStr">
        <is>
          <t>FOB</t>
        </is>
      </c>
      <c r="O812" s="46" t="inlineStr">
        <is>
          <t>N</t>
        </is>
      </c>
      <c r="P812" s="50" t="n">
        <v>1395.02</v>
      </c>
      <c r="Q812" s="49">
        <f>IF(OR(L812="",M812="",P812=""),"",L812*P812)</f>
        <v/>
      </c>
    </row>
    <row r="813" ht="15" customHeight="1" s="32">
      <c r="A813" s="46" t="inlineStr">
        <is>
          <t>R-HB-0812</t>
        </is>
      </c>
      <c r="B813" s="47" t="n">
        <v>45609</v>
      </c>
      <c r="C813" s="46" t="inlineStr">
        <is>
          <t>2024-11</t>
        </is>
      </c>
      <c r="D813" s="46" t="n">
        <v>2024</v>
      </c>
      <c r="E813" s="46" t="inlineStr">
        <is>
          <t>P-HB-003</t>
        </is>
      </c>
      <c r="F813" s="46" t="inlineStr">
        <is>
          <t>C-HB-02</t>
        </is>
      </c>
      <c r="G813" s="48" t="inlineStr">
        <is>
          <t>미국</t>
        </is>
      </c>
      <c r="H813" s="46" t="inlineStr">
        <is>
          <t>US</t>
        </is>
      </c>
      <c r="I813" s="49" t="n">
        <v>39613</v>
      </c>
      <c r="J813" s="46" t="inlineStr">
        <is>
          <t>EA</t>
        </is>
      </c>
      <c r="K813" s="50" t="n">
        <v>25.75</v>
      </c>
      <c r="L813" s="50" t="n">
        <v>298814.55</v>
      </c>
      <c r="M813" s="46" t="inlineStr">
        <is>
          <t>USD</t>
        </is>
      </c>
      <c r="N813" s="46" t="inlineStr">
        <is>
          <t>FOB</t>
        </is>
      </c>
      <c r="O813" s="46" t="inlineStr">
        <is>
          <t>N</t>
        </is>
      </c>
      <c r="P813" s="50" t="n">
        <v>1395.02</v>
      </c>
      <c r="Q813" s="49">
        <f>IF(OR(L813="",M813="",P813=""),"",L813*P813)</f>
        <v/>
      </c>
    </row>
    <row r="814" ht="15" customHeight="1" s="32">
      <c r="A814" s="46" t="inlineStr">
        <is>
          <t>R-HB-0813</t>
        </is>
      </c>
      <c r="B814" s="47" t="n">
        <v>45610</v>
      </c>
      <c r="C814" s="46" t="inlineStr">
        <is>
          <t>2024-11</t>
        </is>
      </c>
      <c r="D814" s="46" t="n">
        <v>2024</v>
      </c>
      <c r="E814" s="46" t="inlineStr">
        <is>
          <t>P-HB-001</t>
        </is>
      </c>
      <c r="F814" s="46" t="inlineStr">
        <is>
          <t>C-HB-03</t>
        </is>
      </c>
      <c r="G814" s="48" t="inlineStr">
        <is>
          <t>멕시코</t>
        </is>
      </c>
      <c r="H814" s="46" t="inlineStr">
        <is>
          <t>MX</t>
        </is>
      </c>
      <c r="I814" s="49" t="n">
        <v>31468</v>
      </c>
      <c r="J814" s="46" t="inlineStr">
        <is>
          <t>EA</t>
        </is>
      </c>
      <c r="K814" s="50" t="n">
        <v>14.16</v>
      </c>
      <c r="L814" s="50" t="n">
        <v>170652.46</v>
      </c>
      <c r="M814" s="46" t="inlineStr">
        <is>
          <t>USD</t>
        </is>
      </c>
      <c r="N814" s="46" t="inlineStr">
        <is>
          <t>FOB</t>
        </is>
      </c>
      <c r="O814" s="46" t="inlineStr">
        <is>
          <t>N</t>
        </is>
      </c>
      <c r="P814" s="50" t="n">
        <v>1395.02</v>
      </c>
      <c r="Q814" s="49">
        <f>IF(OR(L814="",M814="",P814=""),"",L814*P814)</f>
        <v/>
      </c>
    </row>
    <row r="815" ht="15" customHeight="1" s="32">
      <c r="A815" s="46" t="inlineStr">
        <is>
          <t>R-HB-0814</t>
        </is>
      </c>
      <c r="B815" s="47" t="n">
        <v>45610</v>
      </c>
      <c r="C815" s="46" t="inlineStr">
        <is>
          <t>2024-11</t>
        </is>
      </c>
      <c r="D815" s="46" t="n">
        <v>2024</v>
      </c>
      <c r="E815" s="46" t="inlineStr">
        <is>
          <t>P-HB-004</t>
        </is>
      </c>
      <c r="F815" s="46" t="inlineStr">
        <is>
          <t>C-HB-07</t>
        </is>
      </c>
      <c r="G815" s="48" t="inlineStr">
        <is>
          <t>인도</t>
        </is>
      </c>
      <c r="H815" s="46" t="inlineStr">
        <is>
          <t>IN</t>
        </is>
      </c>
      <c r="I815" s="49" t="n">
        <v>7169</v>
      </c>
      <c r="J815" s="46" t="inlineStr">
        <is>
          <t>EA</t>
        </is>
      </c>
      <c r="K815" s="50" t="n">
        <v>7.89</v>
      </c>
      <c r="L815" s="50" t="n">
        <v>207598.98</v>
      </c>
      <c r="M815" s="46" t="inlineStr">
        <is>
          <t>USD</t>
        </is>
      </c>
      <c r="N815" s="46" t="inlineStr">
        <is>
          <t>FOB</t>
        </is>
      </c>
      <c r="O815" s="46" t="inlineStr">
        <is>
          <t>N</t>
        </is>
      </c>
      <c r="P815" s="50" t="n">
        <v>1395.02</v>
      </c>
      <c r="Q815" s="49">
        <f>IF(OR(L815="",M815="",P815=""),"",L815*P815)</f>
        <v/>
      </c>
    </row>
    <row r="816" ht="15" customHeight="1" s="32">
      <c r="A816" s="46" t="inlineStr">
        <is>
          <t>R-HB-0815</t>
        </is>
      </c>
      <c r="B816" s="47" t="n">
        <v>45611</v>
      </c>
      <c r="C816" s="46" t="inlineStr">
        <is>
          <t>2024-11</t>
        </is>
      </c>
      <c r="D816" s="46" t="n">
        <v>2024</v>
      </c>
      <c r="E816" s="46" t="inlineStr">
        <is>
          <t>P-HB-001</t>
        </is>
      </c>
      <c r="F816" s="46" t="inlineStr">
        <is>
          <t>C-HB-06</t>
        </is>
      </c>
      <c r="G816" s="48" t="inlineStr">
        <is>
          <t>베트남</t>
        </is>
      </c>
      <c r="H816" s="46" t="inlineStr">
        <is>
          <t>VN</t>
        </is>
      </c>
      <c r="I816" s="49" t="n">
        <v>115990</v>
      </c>
      <c r="J816" s="46" t="inlineStr">
        <is>
          <t>EA</t>
        </is>
      </c>
      <c r="K816" s="50" t="n">
        <v>52.2</v>
      </c>
      <c r="L816" s="50" t="n">
        <v>629503</v>
      </c>
      <c r="M816" s="46" t="inlineStr">
        <is>
          <t>USD</t>
        </is>
      </c>
      <c r="N816" s="46" t="inlineStr">
        <is>
          <t>FOB</t>
        </is>
      </c>
      <c r="O816" s="46" t="inlineStr">
        <is>
          <t>N</t>
        </is>
      </c>
      <c r="P816" s="50" t="n">
        <v>1395.02</v>
      </c>
      <c r="Q816" s="49">
        <f>IF(OR(L816="",M816="",P816=""),"",L816*P816)</f>
        <v/>
      </c>
    </row>
    <row r="817" ht="15" customHeight="1" s="32">
      <c r="A817" s="46" t="inlineStr">
        <is>
          <t>R-HB-0816</t>
        </is>
      </c>
      <c r="B817" s="47" t="n">
        <v>45611</v>
      </c>
      <c r="C817" s="46" t="inlineStr">
        <is>
          <t>2024-11</t>
        </is>
      </c>
      <c r="D817" s="46" t="n">
        <v>2024</v>
      </c>
      <c r="E817" s="46" t="inlineStr">
        <is>
          <t>P-HB-002</t>
        </is>
      </c>
      <c r="F817" s="46" t="inlineStr">
        <is>
          <t>C-HB-09</t>
        </is>
      </c>
      <c r="G817" s="48" t="inlineStr">
        <is>
          <t>중국</t>
        </is>
      </c>
      <c r="H817" s="46" t="inlineStr">
        <is>
          <t>CN</t>
        </is>
      </c>
      <c r="I817" s="49" t="n">
        <v>589</v>
      </c>
      <c r="J817" s="46" t="inlineStr">
        <is>
          <t>EA</t>
        </is>
      </c>
      <c r="K817" s="50" t="n">
        <v>1.3</v>
      </c>
      <c r="L817" s="50" t="n">
        <v>217305.41</v>
      </c>
      <c r="M817" s="46" t="inlineStr">
        <is>
          <t>USD</t>
        </is>
      </c>
      <c r="N817" s="46" t="inlineStr">
        <is>
          <t>FOB</t>
        </is>
      </c>
      <c r="O817" s="46" t="inlineStr">
        <is>
          <t>N</t>
        </is>
      </c>
      <c r="P817" s="50" t="n">
        <v>1395.02</v>
      </c>
      <c r="Q817" s="49">
        <f>IF(OR(L817="",M817="",P817=""),"",L817*P817)</f>
        <v/>
      </c>
    </row>
    <row r="818" ht="15" customHeight="1" s="32">
      <c r="A818" s="46" t="inlineStr">
        <is>
          <t>R-HB-0817</t>
        </is>
      </c>
      <c r="B818" s="47" t="n">
        <v>45612</v>
      </c>
      <c r="C818" s="46" t="inlineStr">
        <is>
          <t>2024-11</t>
        </is>
      </c>
      <c r="D818" s="46" t="n">
        <v>2024</v>
      </c>
      <c r="E818" s="46" t="inlineStr">
        <is>
          <t>P-HB-003</t>
        </is>
      </c>
      <c r="F818" s="46" t="inlineStr">
        <is>
          <t>C-HB-01</t>
        </is>
      </c>
      <c r="G818" s="48" t="inlineStr">
        <is>
          <t>미국</t>
        </is>
      </c>
      <c r="H818" s="46" t="inlineStr">
        <is>
          <t>US</t>
        </is>
      </c>
      <c r="I818" s="49" t="n">
        <v>77264</v>
      </c>
      <c r="J818" s="46" t="inlineStr">
        <is>
          <t>EA</t>
        </is>
      </c>
      <c r="K818" s="50" t="n">
        <v>50.22</v>
      </c>
      <c r="L818" s="50" t="n">
        <v>573135.58</v>
      </c>
      <c r="M818" s="46" t="inlineStr">
        <is>
          <t>USD</t>
        </is>
      </c>
      <c r="N818" s="46" t="inlineStr">
        <is>
          <t>FOB</t>
        </is>
      </c>
      <c r="O818" s="46" t="inlineStr">
        <is>
          <t>N</t>
        </is>
      </c>
      <c r="P818" s="50" t="n">
        <v>1395.02</v>
      </c>
      <c r="Q818" s="49">
        <f>IF(OR(L818="",M818="",P818=""),"",L818*P818)</f>
        <v/>
      </c>
    </row>
    <row r="819" ht="15" customHeight="1" s="32">
      <c r="A819" s="46" t="inlineStr">
        <is>
          <t>R-HB-0818</t>
        </is>
      </c>
      <c r="B819" s="47" t="n">
        <v>45612</v>
      </c>
      <c r="C819" s="46" t="inlineStr">
        <is>
          <t>2024-11</t>
        </is>
      </c>
      <c r="D819" s="46" t="n">
        <v>2024</v>
      </c>
      <c r="E819" s="46" t="inlineStr">
        <is>
          <t>P-HB-001</t>
        </is>
      </c>
      <c r="F819" s="46" t="inlineStr">
        <is>
          <t>C-HB-02</t>
        </is>
      </c>
      <c r="G819" s="48" t="inlineStr">
        <is>
          <t>미국</t>
        </is>
      </c>
      <c r="H819" s="46" t="inlineStr">
        <is>
          <t>US</t>
        </is>
      </c>
      <c r="I819" s="49" t="n">
        <v>102550</v>
      </c>
      <c r="J819" s="46" t="inlineStr">
        <is>
          <t>EA</t>
        </is>
      </c>
      <c r="K819" s="50" t="n">
        <v>46.15</v>
      </c>
      <c r="L819" s="50" t="n">
        <v>578336.51</v>
      </c>
      <c r="M819" s="46" t="inlineStr">
        <is>
          <t>USD</t>
        </is>
      </c>
      <c r="N819" s="46" t="inlineStr">
        <is>
          <t>FOB</t>
        </is>
      </c>
      <c r="O819" s="46" t="inlineStr">
        <is>
          <t>N</t>
        </is>
      </c>
      <c r="P819" s="50" t="n">
        <v>1395.02</v>
      </c>
      <c r="Q819" s="49">
        <f>IF(OR(L819="",M819="",P819=""),"",L819*P819)</f>
        <v/>
      </c>
    </row>
    <row r="820" ht="15" customHeight="1" s="32">
      <c r="A820" s="46" t="inlineStr">
        <is>
          <t>R-HB-0819</t>
        </is>
      </c>
      <c r="B820" s="47" t="n">
        <v>45612</v>
      </c>
      <c r="C820" s="46" t="inlineStr">
        <is>
          <t>2024-11</t>
        </is>
      </c>
      <c r="D820" s="46" t="n">
        <v>2024</v>
      </c>
      <c r="E820" s="46" t="inlineStr">
        <is>
          <t>P-HB-004</t>
        </is>
      </c>
      <c r="F820" s="46" t="inlineStr">
        <is>
          <t>C-HB-02</t>
        </is>
      </c>
      <c r="G820" s="48" t="inlineStr">
        <is>
          <t>미국</t>
        </is>
      </c>
      <c r="H820" s="46" t="inlineStr">
        <is>
          <t>US</t>
        </is>
      </c>
      <c r="I820" s="49" t="n">
        <v>10165</v>
      </c>
      <c r="J820" s="46" t="inlineStr">
        <is>
          <t>EA</t>
        </is>
      </c>
      <c r="K820" s="50" t="n">
        <v>11.18</v>
      </c>
      <c r="L820" s="50" t="n">
        <v>285038.53</v>
      </c>
      <c r="M820" s="46" t="inlineStr">
        <is>
          <t>USD</t>
        </is>
      </c>
      <c r="N820" s="46" t="inlineStr">
        <is>
          <t>FOB</t>
        </is>
      </c>
      <c r="O820" s="46" t="inlineStr">
        <is>
          <t>N</t>
        </is>
      </c>
      <c r="P820" s="50" t="n">
        <v>1395.02</v>
      </c>
      <c r="Q820" s="49">
        <f>IF(OR(L820="",M820="",P820=""),"",L820*P820)</f>
        <v/>
      </c>
    </row>
    <row r="821" ht="15" customHeight="1" s="32">
      <c r="A821" s="46" t="inlineStr">
        <is>
          <t>R-HB-0820</t>
        </is>
      </c>
      <c r="B821" s="47" t="n">
        <v>45612</v>
      </c>
      <c r="C821" s="46" t="inlineStr">
        <is>
          <t>2024-11</t>
        </is>
      </c>
      <c r="D821" s="46" t="n">
        <v>2024</v>
      </c>
      <c r="E821" s="46" t="inlineStr">
        <is>
          <t>P-HB-003</t>
        </is>
      </c>
      <c r="F821" s="46" t="inlineStr">
        <is>
          <t>C-HB-07</t>
        </is>
      </c>
      <c r="G821" s="48" t="inlineStr">
        <is>
          <t>인도</t>
        </is>
      </c>
      <c r="H821" s="46" t="inlineStr">
        <is>
          <t>IN</t>
        </is>
      </c>
      <c r="I821" s="49" t="n">
        <v>27897</v>
      </c>
      <c r="J821" s="46" t="inlineStr">
        <is>
          <t>EA</t>
        </is>
      </c>
      <c r="K821" s="50" t="n">
        <v>18.13</v>
      </c>
      <c r="L821" s="50" t="n">
        <v>217033.13</v>
      </c>
      <c r="M821" s="46" t="inlineStr">
        <is>
          <t>USD</t>
        </is>
      </c>
      <c r="N821" s="46" t="inlineStr">
        <is>
          <t>FOB</t>
        </is>
      </c>
      <c r="O821" s="46" t="inlineStr">
        <is>
          <t>N</t>
        </is>
      </c>
      <c r="P821" s="50" t="n">
        <v>1395.02</v>
      </c>
      <c r="Q821" s="49">
        <f>IF(OR(L821="",M821="",P821=""),"",L821*P821)</f>
        <v/>
      </c>
    </row>
    <row r="822" ht="15" customHeight="1" s="32">
      <c r="A822" s="46" t="inlineStr">
        <is>
          <t>R-HB-0821</t>
        </is>
      </c>
      <c r="B822" s="47" t="n">
        <v>45613</v>
      </c>
      <c r="C822" s="46" t="inlineStr">
        <is>
          <t>2024-11</t>
        </is>
      </c>
      <c r="D822" s="46" t="n">
        <v>2024</v>
      </c>
      <c r="E822" s="46" t="inlineStr">
        <is>
          <t>P-HB-003</t>
        </is>
      </c>
      <c r="F822" s="46" t="inlineStr">
        <is>
          <t>C-HB-04</t>
        </is>
      </c>
      <c r="G822" s="48" t="inlineStr">
        <is>
          <t>캐나다</t>
        </is>
      </c>
      <c r="H822" s="46" t="inlineStr">
        <is>
          <t>CA</t>
        </is>
      </c>
      <c r="I822" s="49" t="n">
        <v>7026</v>
      </c>
      <c r="J822" s="46" t="inlineStr">
        <is>
          <t>EA</t>
        </is>
      </c>
      <c r="K822" s="50" t="n">
        <v>4.57</v>
      </c>
      <c r="L822" s="50" t="n">
        <v>52347.36</v>
      </c>
      <c r="M822" s="46" t="inlineStr">
        <is>
          <t>USD</t>
        </is>
      </c>
      <c r="N822" s="46" t="inlineStr">
        <is>
          <t>FOB</t>
        </is>
      </c>
      <c r="O822" s="46" t="inlineStr">
        <is>
          <t>N</t>
        </is>
      </c>
      <c r="P822" s="50" t="n">
        <v>1395.02</v>
      </c>
      <c r="Q822" s="49">
        <f>IF(OR(L822="",M822="",P822=""),"",L822*P822)</f>
        <v/>
      </c>
    </row>
    <row r="823" ht="15" customHeight="1" s="32">
      <c r="A823" s="46" t="inlineStr">
        <is>
          <t>R-HB-0822</t>
        </is>
      </c>
      <c r="B823" s="47" t="n">
        <v>45613</v>
      </c>
      <c r="C823" s="46" t="inlineStr">
        <is>
          <t>2024-11</t>
        </is>
      </c>
      <c r="D823" s="46" t="n">
        <v>2024</v>
      </c>
      <c r="E823" s="46" t="inlineStr">
        <is>
          <t>P-HB-002</t>
        </is>
      </c>
      <c r="F823" s="46" t="inlineStr">
        <is>
          <t>C-HB-07</t>
        </is>
      </c>
      <c r="G823" s="48" t="inlineStr">
        <is>
          <t>인도</t>
        </is>
      </c>
      <c r="H823" s="46" t="inlineStr">
        <is>
          <t>IN</t>
        </is>
      </c>
      <c r="I823" s="49" t="n">
        <v>282</v>
      </c>
      <c r="J823" s="46" t="inlineStr">
        <is>
          <t>EA</t>
        </is>
      </c>
      <c r="K823" s="50" t="n">
        <v>0.62</v>
      </c>
      <c r="L823" s="50" t="n">
        <v>103138.43</v>
      </c>
      <c r="M823" s="46" t="inlineStr">
        <is>
          <t>USD</t>
        </is>
      </c>
      <c r="N823" s="46" t="inlineStr">
        <is>
          <t>FOB</t>
        </is>
      </c>
      <c r="O823" s="46" t="inlineStr">
        <is>
          <t>N</t>
        </is>
      </c>
      <c r="P823" s="50" t="n">
        <v>1395.02</v>
      </c>
      <c r="Q823" s="49">
        <f>IF(OR(L823="",M823="",P823=""),"",L823*P823)</f>
        <v/>
      </c>
    </row>
    <row r="824" ht="15" customHeight="1" s="32">
      <c r="A824" s="46" t="inlineStr">
        <is>
          <t>R-HB-0823</t>
        </is>
      </c>
      <c r="B824" s="47" t="n">
        <v>45617</v>
      </c>
      <c r="C824" s="46" t="inlineStr">
        <is>
          <t>2024-11</t>
        </is>
      </c>
      <c r="D824" s="46" t="n">
        <v>2024</v>
      </c>
      <c r="E824" s="46" t="inlineStr">
        <is>
          <t>P-HB-001</t>
        </is>
      </c>
      <c r="F824" s="46" t="inlineStr">
        <is>
          <t>C-HB-08</t>
        </is>
      </c>
      <c r="G824" s="48" t="inlineStr">
        <is>
          <t>중국</t>
        </is>
      </c>
      <c r="H824" s="46" t="inlineStr">
        <is>
          <t>CN</t>
        </is>
      </c>
      <c r="I824" s="49" t="n">
        <v>195854</v>
      </c>
      <c r="J824" s="46" t="inlineStr">
        <is>
          <t>EA</t>
        </is>
      </c>
      <c r="K824" s="50" t="n">
        <v>88.13</v>
      </c>
      <c r="L824" s="50" t="n">
        <v>1098851.09</v>
      </c>
      <c r="M824" s="46" t="inlineStr">
        <is>
          <t>USD</t>
        </is>
      </c>
      <c r="N824" s="46" t="inlineStr">
        <is>
          <t>FOB</t>
        </is>
      </c>
      <c r="O824" s="46" t="inlineStr">
        <is>
          <t>N</t>
        </is>
      </c>
      <c r="P824" s="50" t="n">
        <v>1395.02</v>
      </c>
      <c r="Q824" s="49">
        <f>IF(OR(L824="",M824="",P824=""),"",L824*P824)</f>
        <v/>
      </c>
    </row>
    <row r="825" ht="15" customHeight="1" s="32">
      <c r="A825" s="46" t="inlineStr">
        <is>
          <t>R-HB-0824</t>
        </is>
      </c>
      <c r="B825" s="47" t="n">
        <v>45618</v>
      </c>
      <c r="C825" s="46" t="inlineStr">
        <is>
          <t>2024-11</t>
        </is>
      </c>
      <c r="D825" s="46" t="n">
        <v>2024</v>
      </c>
      <c r="E825" s="46" t="inlineStr">
        <is>
          <t>P-HB-002</t>
        </is>
      </c>
      <c r="F825" s="46" t="inlineStr">
        <is>
          <t>C-HB-03</t>
        </is>
      </c>
      <c r="G825" s="48" t="inlineStr">
        <is>
          <t>멕시코</t>
        </is>
      </c>
      <c r="H825" s="46" t="inlineStr">
        <is>
          <t>MX</t>
        </is>
      </c>
      <c r="I825" s="49" t="n">
        <v>130</v>
      </c>
      <c r="J825" s="46" t="inlineStr">
        <is>
          <t>EA</t>
        </is>
      </c>
      <c r="K825" s="50" t="n">
        <v>0.29</v>
      </c>
      <c r="L825" s="50" t="n">
        <v>50105.26</v>
      </c>
      <c r="M825" s="46" t="inlineStr">
        <is>
          <t>USD</t>
        </is>
      </c>
      <c r="N825" s="46" t="inlineStr">
        <is>
          <t>FOB</t>
        </is>
      </c>
      <c r="O825" s="46" t="inlineStr">
        <is>
          <t>N</t>
        </is>
      </c>
      <c r="P825" s="50" t="n">
        <v>1395.02</v>
      </c>
      <c r="Q825" s="49">
        <f>IF(OR(L825="",M825="",P825=""),"",L825*P825)</f>
        <v/>
      </c>
    </row>
    <row r="826" ht="15" customHeight="1" s="32">
      <c r="A826" s="46" t="inlineStr">
        <is>
          <t>R-HB-0825</t>
        </is>
      </c>
      <c r="B826" s="47" t="n">
        <v>45618</v>
      </c>
      <c r="C826" s="46" t="inlineStr">
        <is>
          <t>2024-11</t>
        </is>
      </c>
      <c r="D826" s="46" t="n">
        <v>2024</v>
      </c>
      <c r="E826" s="46" t="inlineStr">
        <is>
          <t>P-HB-003</t>
        </is>
      </c>
      <c r="F826" s="46" t="inlineStr">
        <is>
          <t>C-HB-03</t>
        </is>
      </c>
      <c r="G826" s="48" t="inlineStr">
        <is>
          <t>멕시코</t>
        </is>
      </c>
      <c r="H826" s="46" t="inlineStr">
        <is>
          <t>MX</t>
        </is>
      </c>
      <c r="I826" s="49" t="n">
        <v>13568</v>
      </c>
      <c r="J826" s="46" t="inlineStr">
        <is>
          <t>EA</t>
        </is>
      </c>
      <c r="K826" s="50" t="n">
        <v>8.82</v>
      </c>
      <c r="L826" s="50" t="n">
        <v>103342.97</v>
      </c>
      <c r="M826" s="46" t="inlineStr">
        <is>
          <t>USD</t>
        </is>
      </c>
      <c r="N826" s="46" t="inlineStr">
        <is>
          <t>FOB</t>
        </is>
      </c>
      <c r="O826" s="46" t="inlineStr">
        <is>
          <t>N</t>
        </is>
      </c>
      <c r="P826" s="50" t="n">
        <v>1395.02</v>
      </c>
      <c r="Q826" s="49">
        <f>IF(OR(L826="",M826="",P826=""),"",L826*P826)</f>
        <v/>
      </c>
    </row>
    <row r="827" ht="15" customHeight="1" s="32">
      <c r="A827" s="46" t="inlineStr">
        <is>
          <t>R-HB-0826</t>
        </is>
      </c>
      <c r="B827" s="47" t="n">
        <v>45618</v>
      </c>
      <c r="C827" s="46" t="inlineStr">
        <is>
          <t>2024-11</t>
        </is>
      </c>
      <c r="D827" s="46" t="n">
        <v>2024</v>
      </c>
      <c r="E827" s="46" t="inlineStr">
        <is>
          <t>P-HB-002</t>
        </is>
      </c>
      <c r="F827" s="46" t="inlineStr">
        <is>
          <t>C-HB-08</t>
        </is>
      </c>
      <c r="G827" s="48" t="inlineStr">
        <is>
          <t>중국</t>
        </is>
      </c>
      <c r="H827" s="46" t="inlineStr">
        <is>
          <t>CN</t>
        </is>
      </c>
      <c r="I827" s="49" t="n">
        <v>777</v>
      </c>
      <c r="J827" s="46" t="inlineStr">
        <is>
          <t>EA</t>
        </is>
      </c>
      <c r="K827" s="50" t="n">
        <v>1.71</v>
      </c>
      <c r="L827" s="50" t="n">
        <v>304103.75</v>
      </c>
      <c r="M827" s="46" t="inlineStr">
        <is>
          <t>USD</t>
        </is>
      </c>
      <c r="N827" s="46" t="inlineStr">
        <is>
          <t>FOB</t>
        </is>
      </c>
      <c r="O827" s="46" t="inlineStr">
        <is>
          <t>N</t>
        </is>
      </c>
      <c r="P827" s="50" t="n">
        <v>1395.02</v>
      </c>
      <c r="Q827" s="49">
        <f>IF(OR(L827="",M827="",P827=""),"",L827*P827)</f>
        <v/>
      </c>
    </row>
    <row r="828" ht="15" customHeight="1" s="32">
      <c r="A828" s="46" t="inlineStr">
        <is>
          <t>R-HB-0827</t>
        </is>
      </c>
      <c r="B828" s="47" t="n">
        <v>45620</v>
      </c>
      <c r="C828" s="46" t="inlineStr">
        <is>
          <t>2024-11</t>
        </is>
      </c>
      <c r="D828" s="46" t="n">
        <v>2024</v>
      </c>
      <c r="E828" s="46" t="inlineStr">
        <is>
          <t>P-HB-001</t>
        </is>
      </c>
      <c r="F828" s="46" t="inlineStr">
        <is>
          <t>C-HB-05</t>
        </is>
      </c>
      <c r="G828" s="48" t="inlineStr">
        <is>
          <t>독일</t>
        </is>
      </c>
      <c r="H828" s="46" t="inlineStr">
        <is>
          <t>DE</t>
        </is>
      </c>
      <c r="I828" s="49" t="n">
        <v>150556</v>
      </c>
      <c r="J828" s="46" t="inlineStr">
        <is>
          <t>EA</t>
        </is>
      </c>
      <c r="K828" s="50" t="n">
        <v>67.75</v>
      </c>
      <c r="L828" s="50" t="n">
        <v>844484.1800000001</v>
      </c>
      <c r="M828" s="46" t="inlineStr">
        <is>
          <t>USD</t>
        </is>
      </c>
      <c r="N828" s="46" t="inlineStr">
        <is>
          <t>FOB</t>
        </is>
      </c>
      <c r="O828" s="46" t="inlineStr">
        <is>
          <t>N</t>
        </is>
      </c>
      <c r="P828" s="50" t="n">
        <v>1395.02</v>
      </c>
      <c r="Q828" s="49">
        <f>IF(OR(L828="",M828="",P828=""),"",L828*P828)</f>
        <v/>
      </c>
    </row>
    <row r="829" ht="15" customHeight="1" s="32">
      <c r="A829" s="46" t="inlineStr">
        <is>
          <t>R-HB-0828</t>
        </is>
      </c>
      <c r="B829" s="47" t="n">
        <v>45620</v>
      </c>
      <c r="C829" s="46" t="inlineStr">
        <is>
          <t>2024-11</t>
        </is>
      </c>
      <c r="D829" s="46" t="n">
        <v>2024</v>
      </c>
      <c r="E829" s="46" t="inlineStr">
        <is>
          <t>P-HB-003</t>
        </is>
      </c>
      <c r="F829" s="46" t="inlineStr">
        <is>
          <t>C-HB-09</t>
        </is>
      </c>
      <c r="G829" s="48" t="inlineStr">
        <is>
          <t>중국</t>
        </is>
      </c>
      <c r="H829" s="46" t="inlineStr">
        <is>
          <t>CN</t>
        </is>
      </c>
      <c r="I829" s="49" t="n">
        <v>53999</v>
      </c>
      <c r="J829" s="46" t="inlineStr">
        <is>
          <t>EA</t>
        </is>
      </c>
      <c r="K829" s="50" t="n">
        <v>35.1</v>
      </c>
      <c r="L829" s="50" t="n">
        <v>401742.1</v>
      </c>
      <c r="M829" s="46" t="inlineStr">
        <is>
          <t>USD</t>
        </is>
      </c>
      <c r="N829" s="46" t="inlineStr">
        <is>
          <t>FOB</t>
        </is>
      </c>
      <c r="O829" s="46" t="inlineStr">
        <is>
          <t>N</t>
        </is>
      </c>
      <c r="P829" s="50" t="n">
        <v>1395.02</v>
      </c>
      <c r="Q829" s="49">
        <f>IF(OR(L829="",M829="",P829=""),"",L829*P829)</f>
        <v/>
      </c>
    </row>
    <row r="830" ht="15" customHeight="1" s="32">
      <c r="A830" s="46" t="inlineStr">
        <is>
          <t>R-HB-0829</t>
        </is>
      </c>
      <c r="B830" s="47" t="n">
        <v>45629</v>
      </c>
      <c r="C830" s="46" t="inlineStr">
        <is>
          <t>2024-12</t>
        </is>
      </c>
      <c r="D830" s="46" t="n">
        <v>2024</v>
      </c>
      <c r="E830" s="46" t="inlineStr">
        <is>
          <t>P-HB-003</t>
        </is>
      </c>
      <c r="F830" s="46" t="inlineStr">
        <is>
          <t>C-HB-04</t>
        </is>
      </c>
      <c r="G830" s="48" t="inlineStr">
        <is>
          <t>캐나다</t>
        </is>
      </c>
      <c r="H830" s="46" t="inlineStr">
        <is>
          <t>CA</t>
        </is>
      </c>
      <c r="I830" s="49" t="n">
        <v>6628</v>
      </c>
      <c r="J830" s="46" t="inlineStr">
        <is>
          <t>EA</t>
        </is>
      </c>
      <c r="K830" s="50" t="n">
        <v>4.31</v>
      </c>
      <c r="L830" s="50" t="n">
        <v>51844.37</v>
      </c>
      <c r="M830" s="46" t="inlineStr">
        <is>
          <t>USD</t>
        </is>
      </c>
      <c r="N830" s="46" t="inlineStr">
        <is>
          <t>FOB</t>
        </is>
      </c>
      <c r="O830" s="46" t="inlineStr">
        <is>
          <t>N</t>
        </is>
      </c>
      <c r="P830" s="50" t="n">
        <v>1439.9967</v>
      </c>
      <c r="Q830" s="49">
        <f>IF(OR(L830="",M830="",P830=""),"",L830*P830)</f>
        <v/>
      </c>
    </row>
    <row r="831" ht="15" customHeight="1" s="32">
      <c r="A831" s="46" t="inlineStr">
        <is>
          <t>R-HB-0830</t>
        </is>
      </c>
      <c r="B831" s="47" t="n">
        <v>45630</v>
      </c>
      <c r="C831" s="46" t="inlineStr">
        <is>
          <t>2024-12</t>
        </is>
      </c>
      <c r="D831" s="46" t="n">
        <v>2024</v>
      </c>
      <c r="E831" s="46" t="inlineStr">
        <is>
          <t>P-HB-001</t>
        </is>
      </c>
      <c r="F831" s="46" t="inlineStr">
        <is>
          <t>C-HB-03</t>
        </is>
      </c>
      <c r="G831" s="48" t="inlineStr">
        <is>
          <t>멕시코</t>
        </is>
      </c>
      <c r="H831" s="46" t="inlineStr">
        <is>
          <t>MX</t>
        </is>
      </c>
      <c r="I831" s="49" t="n">
        <v>29255</v>
      </c>
      <c r="J831" s="46" t="inlineStr">
        <is>
          <t>EA</t>
        </is>
      </c>
      <c r="K831" s="50" t="n">
        <v>13.16</v>
      </c>
      <c r="L831" s="50" t="n">
        <v>166575.61</v>
      </c>
      <c r="M831" s="46" t="inlineStr">
        <is>
          <t>USD</t>
        </is>
      </c>
      <c r="N831" s="46" t="inlineStr">
        <is>
          <t>FOB</t>
        </is>
      </c>
      <c r="O831" s="46" t="inlineStr">
        <is>
          <t>N</t>
        </is>
      </c>
      <c r="P831" s="50" t="n">
        <v>1439.9967</v>
      </c>
      <c r="Q831" s="49">
        <f>IF(OR(L831="",M831="",P831=""),"",L831*P831)</f>
        <v/>
      </c>
    </row>
    <row r="832" ht="15" customHeight="1" s="32">
      <c r="A832" s="46" t="inlineStr">
        <is>
          <t>R-HB-0831</t>
        </is>
      </c>
      <c r="B832" s="47" t="n">
        <v>45630</v>
      </c>
      <c r="C832" s="46" t="inlineStr">
        <is>
          <t>2024-12</t>
        </is>
      </c>
      <c r="D832" s="46" t="n">
        <v>2024</v>
      </c>
      <c r="E832" s="46" t="inlineStr">
        <is>
          <t>P-HB-002</t>
        </is>
      </c>
      <c r="F832" s="46" t="inlineStr">
        <is>
          <t>C-HB-09</t>
        </is>
      </c>
      <c r="G832" s="48" t="inlineStr">
        <is>
          <t>중국</t>
        </is>
      </c>
      <c r="H832" s="46" t="inlineStr">
        <is>
          <t>CN</t>
        </is>
      </c>
      <c r="I832" s="49" t="n">
        <v>552</v>
      </c>
      <c r="J832" s="46" t="inlineStr">
        <is>
          <t>EA</t>
        </is>
      </c>
      <c r="K832" s="50" t="n">
        <v>1.21</v>
      </c>
      <c r="L832" s="50" t="n">
        <v>203149.83</v>
      </c>
      <c r="M832" s="46" t="inlineStr">
        <is>
          <t>USD</t>
        </is>
      </c>
      <c r="N832" s="46" t="inlineStr">
        <is>
          <t>FOB</t>
        </is>
      </c>
      <c r="O832" s="46" t="inlineStr">
        <is>
          <t>N</t>
        </is>
      </c>
      <c r="P832" s="50" t="n">
        <v>1439.9967</v>
      </c>
      <c r="Q832" s="49">
        <f>IF(OR(L832="",M832="",P832=""),"",L832*P832)</f>
        <v/>
      </c>
    </row>
    <row r="833" ht="15" customHeight="1" s="32">
      <c r="A833" s="46" t="inlineStr">
        <is>
          <t>R-HB-0832</t>
        </is>
      </c>
      <c r="B833" s="47" t="n">
        <v>45631</v>
      </c>
      <c r="C833" s="46" t="inlineStr">
        <is>
          <t>2024-12</t>
        </is>
      </c>
      <c r="D833" s="46" t="n">
        <v>2024</v>
      </c>
      <c r="E833" s="46" t="inlineStr">
        <is>
          <t>P-HB-004</t>
        </is>
      </c>
      <c r="F833" s="46" t="inlineStr">
        <is>
          <t>C-HB-03</t>
        </is>
      </c>
      <c r="G833" s="48" t="inlineStr">
        <is>
          <t>멕시코</t>
        </is>
      </c>
      <c r="H833" s="46" t="inlineStr">
        <is>
          <t>MX</t>
        </is>
      </c>
      <c r="I833" s="49" t="n">
        <v>3866</v>
      </c>
      <c r="J833" s="46" t="inlineStr">
        <is>
          <t>EA</t>
        </is>
      </c>
      <c r="K833" s="50" t="n">
        <v>4.25</v>
      </c>
      <c r="L833" s="50" t="n">
        <v>109378.66</v>
      </c>
      <c r="M833" s="46" t="inlineStr">
        <is>
          <t>USD</t>
        </is>
      </c>
      <c r="N833" s="46" t="inlineStr">
        <is>
          <t>FOB</t>
        </is>
      </c>
      <c r="O833" s="46" t="inlineStr">
        <is>
          <t>N</t>
        </is>
      </c>
      <c r="P833" s="50" t="n">
        <v>1439.9967</v>
      </c>
      <c r="Q833" s="49">
        <f>IF(OR(L833="",M833="",P833=""),"",L833*P833)</f>
        <v/>
      </c>
    </row>
    <row r="834" ht="15" customHeight="1" s="32">
      <c r="A834" s="46" t="inlineStr">
        <is>
          <t>R-HB-0833</t>
        </is>
      </c>
      <c r="B834" s="47" t="n">
        <v>45632</v>
      </c>
      <c r="C834" s="46" t="inlineStr">
        <is>
          <t>2024-12</t>
        </is>
      </c>
      <c r="D834" s="46" t="n">
        <v>2024</v>
      </c>
      <c r="E834" s="46" t="inlineStr">
        <is>
          <t>P-HB-004</t>
        </is>
      </c>
      <c r="F834" s="46" t="inlineStr">
        <is>
          <t>C-HB-04</t>
        </is>
      </c>
      <c r="G834" s="48" t="inlineStr">
        <is>
          <t>캐나다</t>
        </is>
      </c>
      <c r="H834" s="46" t="inlineStr">
        <is>
          <t>CA</t>
        </is>
      </c>
      <c r="I834" s="49" t="n">
        <v>1944</v>
      </c>
      <c r="J834" s="46" t="inlineStr">
        <is>
          <t>EA</t>
        </is>
      </c>
      <c r="K834" s="50" t="n">
        <v>2.14</v>
      </c>
      <c r="L834" s="50" t="n">
        <v>52828.5</v>
      </c>
      <c r="M834" s="46" t="inlineStr">
        <is>
          <t>USD</t>
        </is>
      </c>
      <c r="N834" s="46" t="inlineStr">
        <is>
          <t>FOB</t>
        </is>
      </c>
      <c r="O834" s="46" t="inlineStr">
        <is>
          <t>N</t>
        </is>
      </c>
      <c r="P834" s="50" t="n">
        <v>1439.9967</v>
      </c>
      <c r="Q834" s="49">
        <f>IF(OR(L834="",M834="",P834=""),"",L834*P834)</f>
        <v/>
      </c>
    </row>
    <row r="835" ht="15" customHeight="1" s="32">
      <c r="A835" s="46" t="inlineStr">
        <is>
          <t>R-HB-0834</t>
        </is>
      </c>
      <c r="B835" s="47" t="n">
        <v>45632</v>
      </c>
      <c r="C835" s="46" t="inlineStr">
        <is>
          <t>2024-12</t>
        </is>
      </c>
      <c r="D835" s="46" t="n">
        <v>2024</v>
      </c>
      <c r="E835" s="46" t="inlineStr">
        <is>
          <t>P-HB-001</t>
        </is>
      </c>
      <c r="F835" s="46" t="inlineStr">
        <is>
          <t>C-HB-08</t>
        </is>
      </c>
      <c r="G835" s="48" t="inlineStr">
        <is>
          <t>중국</t>
        </is>
      </c>
      <c r="H835" s="46" t="inlineStr">
        <is>
          <t>CN</t>
        </is>
      </c>
      <c r="I835" s="49" t="n">
        <v>200769</v>
      </c>
      <c r="J835" s="46" t="inlineStr">
        <is>
          <t>EA</t>
        </is>
      </c>
      <c r="K835" s="50" t="n">
        <v>90.34999999999999</v>
      </c>
      <c r="L835" s="50" t="n">
        <v>1076222.73</v>
      </c>
      <c r="M835" s="46" t="inlineStr">
        <is>
          <t>USD</t>
        </is>
      </c>
      <c r="N835" s="46" t="inlineStr">
        <is>
          <t>FOB</t>
        </is>
      </c>
      <c r="O835" s="46" t="inlineStr">
        <is>
          <t>N</t>
        </is>
      </c>
      <c r="P835" s="50" t="n">
        <v>1439.9967</v>
      </c>
      <c r="Q835" s="49">
        <f>IF(OR(L835="",M835="",P835=""),"",L835*P835)</f>
        <v/>
      </c>
    </row>
    <row r="836" ht="15" customHeight="1" s="32">
      <c r="A836" s="46" t="inlineStr">
        <is>
          <t>R-HB-0835</t>
        </is>
      </c>
      <c r="B836" s="47" t="n">
        <v>45633</v>
      </c>
      <c r="C836" s="46" t="inlineStr">
        <is>
          <t>2024-12</t>
        </is>
      </c>
      <c r="D836" s="46" t="n">
        <v>2024</v>
      </c>
      <c r="E836" s="46" t="inlineStr">
        <is>
          <t>P-HB-002</t>
        </is>
      </c>
      <c r="F836" s="46" t="inlineStr">
        <is>
          <t>C-HB-01</t>
        </is>
      </c>
      <c r="G836" s="48" t="inlineStr">
        <is>
          <t>미국</t>
        </is>
      </c>
      <c r="H836" s="46" t="inlineStr">
        <is>
          <t>US</t>
        </is>
      </c>
      <c r="I836" s="49" t="n">
        <v>643</v>
      </c>
      <c r="J836" s="46" t="inlineStr">
        <is>
          <t>EA</t>
        </is>
      </c>
      <c r="K836" s="50" t="n">
        <v>1.41</v>
      </c>
      <c r="L836" s="50" t="n">
        <v>254252.69</v>
      </c>
      <c r="M836" s="46" t="inlineStr">
        <is>
          <t>USD</t>
        </is>
      </c>
      <c r="N836" s="46" t="inlineStr">
        <is>
          <t>FOB</t>
        </is>
      </c>
      <c r="O836" s="46" t="inlineStr">
        <is>
          <t>N</t>
        </is>
      </c>
      <c r="P836" s="50" t="n">
        <v>1439.9967</v>
      </c>
      <c r="Q836" s="49">
        <f>IF(OR(L836="",M836="",P836=""),"",L836*P836)</f>
        <v/>
      </c>
    </row>
    <row r="837" ht="15" customHeight="1" s="32">
      <c r="A837" s="46" t="inlineStr">
        <is>
          <t>R-HB-0836</t>
        </is>
      </c>
      <c r="B837" s="47" t="n">
        <v>45633</v>
      </c>
      <c r="C837" s="46" t="inlineStr">
        <is>
          <t>2024-12</t>
        </is>
      </c>
      <c r="D837" s="46" t="n">
        <v>2024</v>
      </c>
      <c r="E837" s="46" t="inlineStr">
        <is>
          <t>P-HB-003</t>
        </is>
      </c>
      <c r="F837" s="46" t="inlineStr">
        <is>
          <t>C-HB-08</t>
        </is>
      </c>
      <c r="G837" s="48" t="inlineStr">
        <is>
          <t>중국</t>
        </is>
      </c>
      <c r="H837" s="46" t="inlineStr">
        <is>
          <t>CN</t>
        </is>
      </c>
      <c r="I837" s="49" t="n">
        <v>79203</v>
      </c>
      <c r="J837" s="46" t="inlineStr">
        <is>
          <t>EA</t>
        </is>
      </c>
      <c r="K837" s="50" t="n">
        <v>51.48</v>
      </c>
      <c r="L837" s="50" t="n">
        <v>636520.74</v>
      </c>
      <c r="M837" s="46" t="inlineStr">
        <is>
          <t>USD</t>
        </is>
      </c>
      <c r="N837" s="46" t="inlineStr">
        <is>
          <t>FOB</t>
        </is>
      </c>
      <c r="O837" s="46" t="inlineStr">
        <is>
          <t>N</t>
        </is>
      </c>
      <c r="P837" s="50" t="n">
        <v>1439.9967</v>
      </c>
      <c r="Q837" s="49">
        <f>IF(OR(L837="",M837="",P837=""),"",L837*P837)</f>
        <v/>
      </c>
    </row>
    <row r="838" ht="15" customHeight="1" s="32">
      <c r="A838" s="46" t="inlineStr">
        <is>
          <t>R-HB-0837</t>
        </is>
      </c>
      <c r="B838" s="47" t="n">
        <v>45634</v>
      </c>
      <c r="C838" s="46" t="inlineStr">
        <is>
          <t>2024-12</t>
        </is>
      </c>
      <c r="D838" s="46" t="n">
        <v>2024</v>
      </c>
      <c r="E838" s="46" t="inlineStr">
        <is>
          <t>P-HB-001</t>
        </is>
      </c>
      <c r="F838" s="46" t="inlineStr">
        <is>
          <t>C-HB-04</t>
        </is>
      </c>
      <c r="G838" s="48" t="inlineStr">
        <is>
          <t>캐나다</t>
        </is>
      </c>
      <c r="H838" s="46" t="inlineStr">
        <is>
          <t>CA</t>
        </is>
      </c>
      <c r="I838" s="49" t="n">
        <v>15402</v>
      </c>
      <c r="J838" s="46" t="inlineStr">
        <is>
          <t>EA</t>
        </is>
      </c>
      <c r="K838" s="50" t="n">
        <v>6.93</v>
      </c>
      <c r="L838" s="50" t="n">
        <v>83760.86</v>
      </c>
      <c r="M838" s="46" t="inlineStr">
        <is>
          <t>USD</t>
        </is>
      </c>
      <c r="N838" s="46" t="inlineStr">
        <is>
          <t>FOB</t>
        </is>
      </c>
      <c r="O838" s="46" t="inlineStr">
        <is>
          <t>N</t>
        </is>
      </c>
      <c r="P838" s="50" t="n">
        <v>1439.9967</v>
      </c>
      <c r="Q838" s="49">
        <f>IF(OR(L838="",M838="",P838=""),"",L838*P838)</f>
        <v/>
      </c>
    </row>
    <row r="839" ht="15" customHeight="1" s="32">
      <c r="A839" s="46" t="inlineStr">
        <is>
          <t>R-HB-0838</t>
        </is>
      </c>
      <c r="B839" s="47" t="n">
        <v>45634</v>
      </c>
      <c r="C839" s="46" t="inlineStr">
        <is>
          <t>2024-12</t>
        </is>
      </c>
      <c r="D839" s="46" t="n">
        <v>2024</v>
      </c>
      <c r="E839" s="46" t="inlineStr">
        <is>
          <t>P-HB-001</t>
        </is>
      </c>
      <c r="F839" s="46" t="inlineStr">
        <is>
          <t>C-HB-07</t>
        </is>
      </c>
      <c r="G839" s="48" t="inlineStr">
        <is>
          <t>인도</t>
        </is>
      </c>
      <c r="H839" s="46" t="inlineStr">
        <is>
          <t>IN</t>
        </is>
      </c>
      <c r="I839" s="49" t="n">
        <v>70211</v>
      </c>
      <c r="J839" s="46" t="inlineStr">
        <is>
          <t>EA</t>
        </is>
      </c>
      <c r="K839" s="50" t="n">
        <v>31.59</v>
      </c>
      <c r="L839" s="50" t="n">
        <v>403541.92</v>
      </c>
      <c r="M839" s="46" t="inlineStr">
        <is>
          <t>USD</t>
        </is>
      </c>
      <c r="N839" s="46" t="inlineStr">
        <is>
          <t>FOB</t>
        </is>
      </c>
      <c r="O839" s="46" t="inlineStr">
        <is>
          <t>N</t>
        </is>
      </c>
      <c r="P839" s="50" t="n">
        <v>1439.9967</v>
      </c>
      <c r="Q839" s="49">
        <f>IF(OR(L839="",M839="",P839=""),"",L839*P839)</f>
        <v/>
      </c>
    </row>
    <row r="840" ht="15" customHeight="1" s="32">
      <c r="A840" s="46" t="inlineStr">
        <is>
          <t>R-HB-0839</t>
        </is>
      </c>
      <c r="B840" s="47" t="n">
        <v>45635</v>
      </c>
      <c r="C840" s="46" t="inlineStr">
        <is>
          <t>2024-12</t>
        </is>
      </c>
      <c r="D840" s="46" t="n">
        <v>2024</v>
      </c>
      <c r="E840" s="46" t="inlineStr">
        <is>
          <t>P-HB-001</t>
        </is>
      </c>
      <c r="F840" s="46" t="inlineStr">
        <is>
          <t>C-HB-01</t>
        </is>
      </c>
      <c r="G840" s="48" t="inlineStr">
        <is>
          <t>미국</t>
        </is>
      </c>
      <c r="H840" s="46" t="inlineStr">
        <is>
          <t>US</t>
        </is>
      </c>
      <c r="I840" s="49" t="n">
        <v>190015</v>
      </c>
      <c r="J840" s="46" t="inlineStr">
        <is>
          <t>EA</t>
        </is>
      </c>
      <c r="K840" s="50" t="n">
        <v>85.51000000000001</v>
      </c>
      <c r="L840" s="50" t="n">
        <v>1087334.91</v>
      </c>
      <c r="M840" s="46" t="inlineStr">
        <is>
          <t>USD</t>
        </is>
      </c>
      <c r="N840" s="46" t="inlineStr">
        <is>
          <t>FOB</t>
        </is>
      </c>
      <c r="O840" s="46" t="inlineStr">
        <is>
          <t>N</t>
        </is>
      </c>
      <c r="P840" s="50" t="n">
        <v>1439.9967</v>
      </c>
      <c r="Q840" s="49">
        <f>IF(OR(L840="",M840="",P840=""),"",L840*P840)</f>
        <v/>
      </c>
    </row>
    <row r="841" ht="15" customHeight="1" s="32">
      <c r="A841" s="46" t="inlineStr">
        <is>
          <t>R-HB-0840</t>
        </is>
      </c>
      <c r="B841" s="47" t="n">
        <v>45636</v>
      </c>
      <c r="C841" s="46" t="inlineStr">
        <is>
          <t>2024-12</t>
        </is>
      </c>
      <c r="D841" s="46" t="n">
        <v>2024</v>
      </c>
      <c r="E841" s="46" t="inlineStr">
        <is>
          <t>P-HB-001</t>
        </is>
      </c>
      <c r="F841" s="46" t="inlineStr">
        <is>
          <t>C-HB-02</t>
        </is>
      </c>
      <c r="G841" s="48" t="inlineStr">
        <is>
          <t>미국</t>
        </is>
      </c>
      <c r="H841" s="46" t="inlineStr">
        <is>
          <t>US</t>
        </is>
      </c>
      <c r="I841" s="49" t="n">
        <v>91000</v>
      </c>
      <c r="J841" s="46" t="inlineStr">
        <is>
          <t>EA</t>
        </is>
      </c>
      <c r="K841" s="50" t="n">
        <v>40.95</v>
      </c>
      <c r="L841" s="50" t="n">
        <v>520115.76</v>
      </c>
      <c r="M841" s="46" t="inlineStr">
        <is>
          <t>USD</t>
        </is>
      </c>
      <c r="N841" s="46" t="inlineStr">
        <is>
          <t>FOB</t>
        </is>
      </c>
      <c r="O841" s="46" t="inlineStr">
        <is>
          <t>N</t>
        </is>
      </c>
      <c r="P841" s="50" t="n">
        <v>1439.9967</v>
      </c>
      <c r="Q841" s="49">
        <f>IF(OR(L841="",M841="",P841=""),"",L841*P841)</f>
        <v/>
      </c>
    </row>
    <row r="842" ht="15" customHeight="1" s="32">
      <c r="A842" s="46" t="inlineStr">
        <is>
          <t>R-HB-0841</t>
        </is>
      </c>
      <c r="B842" s="47" t="n">
        <v>45636</v>
      </c>
      <c r="C842" s="46" t="inlineStr">
        <is>
          <t>2024-12</t>
        </is>
      </c>
      <c r="D842" s="46" t="n">
        <v>2024</v>
      </c>
      <c r="E842" s="46" t="inlineStr">
        <is>
          <t>P-HB-004</t>
        </is>
      </c>
      <c r="F842" s="46" t="inlineStr">
        <is>
          <t>C-HB-06</t>
        </is>
      </c>
      <c r="G842" s="48" t="inlineStr">
        <is>
          <t>베트남</t>
        </is>
      </c>
      <c r="H842" s="46" t="inlineStr">
        <is>
          <t>VN</t>
        </is>
      </c>
      <c r="I842" s="49" t="n">
        <v>11578</v>
      </c>
      <c r="J842" s="46" t="inlineStr">
        <is>
          <t>EA</t>
        </is>
      </c>
      <c r="K842" s="50" t="n">
        <v>12.74</v>
      </c>
      <c r="L842" s="50" t="n">
        <v>320692.4</v>
      </c>
      <c r="M842" s="46" t="inlineStr">
        <is>
          <t>USD</t>
        </is>
      </c>
      <c r="N842" s="46" t="inlineStr">
        <is>
          <t>FOB</t>
        </is>
      </c>
      <c r="O842" s="46" t="inlineStr">
        <is>
          <t>N</t>
        </is>
      </c>
      <c r="P842" s="50" t="n">
        <v>1439.9967</v>
      </c>
      <c r="Q842" s="49">
        <f>IF(OR(L842="",M842="",P842=""),"",L842*P842)</f>
        <v/>
      </c>
    </row>
    <row r="843" ht="15" customHeight="1" s="32">
      <c r="A843" s="46" t="inlineStr">
        <is>
          <t>R-HB-0842</t>
        </is>
      </c>
      <c r="B843" s="47" t="n">
        <v>45636</v>
      </c>
      <c r="C843" s="46" t="inlineStr">
        <is>
          <t>2024-12</t>
        </is>
      </c>
      <c r="D843" s="46" t="n">
        <v>2024</v>
      </c>
      <c r="E843" s="46" t="inlineStr">
        <is>
          <t>P-HB-004</t>
        </is>
      </c>
      <c r="F843" s="46" t="inlineStr">
        <is>
          <t>C-HB-09</t>
        </is>
      </c>
      <c r="G843" s="48" t="inlineStr">
        <is>
          <t>중국</t>
        </is>
      </c>
      <c r="H843" s="46" t="inlineStr">
        <is>
          <t>CN</t>
        </is>
      </c>
      <c r="I843" s="49" t="n">
        <v>14790</v>
      </c>
      <c r="J843" s="46" t="inlineStr">
        <is>
          <t>EA</t>
        </is>
      </c>
      <c r="K843" s="50" t="n">
        <v>16.27</v>
      </c>
      <c r="L843" s="50" t="n">
        <v>413475.79</v>
      </c>
      <c r="M843" s="46" t="inlineStr">
        <is>
          <t>USD</t>
        </is>
      </c>
      <c r="N843" s="46" t="inlineStr">
        <is>
          <t>FOB</t>
        </is>
      </c>
      <c r="O843" s="46" t="inlineStr">
        <is>
          <t>N</t>
        </is>
      </c>
      <c r="P843" s="50" t="n">
        <v>1439.9967</v>
      </c>
      <c r="Q843" s="49">
        <f>IF(OR(L843="",M843="",P843=""),"",L843*P843)</f>
        <v/>
      </c>
    </row>
    <row r="844" ht="15" customHeight="1" s="32">
      <c r="A844" s="46" t="inlineStr">
        <is>
          <t>R-HB-0843</t>
        </is>
      </c>
      <c r="B844" s="47" t="n">
        <v>45637</v>
      </c>
      <c r="C844" s="46" t="inlineStr">
        <is>
          <t>2024-12</t>
        </is>
      </c>
      <c r="D844" s="46" t="n">
        <v>2024</v>
      </c>
      <c r="E844" s="46" t="inlineStr">
        <is>
          <t>P-HB-001</t>
        </is>
      </c>
      <c r="F844" s="46" t="inlineStr">
        <is>
          <t>C-HB-06</t>
        </is>
      </c>
      <c r="G844" s="48" t="inlineStr">
        <is>
          <t>베트남</t>
        </is>
      </c>
      <c r="H844" s="46" t="inlineStr">
        <is>
          <t>VN</t>
        </is>
      </c>
      <c r="I844" s="49" t="n">
        <v>105777</v>
      </c>
      <c r="J844" s="46" t="inlineStr">
        <is>
          <t>EA</t>
        </is>
      </c>
      <c r="K844" s="50" t="n">
        <v>47.6</v>
      </c>
      <c r="L844" s="50" t="n">
        <v>577088.4399999999</v>
      </c>
      <c r="M844" s="46" t="inlineStr">
        <is>
          <t>USD</t>
        </is>
      </c>
      <c r="N844" s="46" t="inlineStr">
        <is>
          <t>FOB</t>
        </is>
      </c>
      <c r="O844" s="46" t="inlineStr">
        <is>
          <t>N</t>
        </is>
      </c>
      <c r="P844" s="50" t="n">
        <v>1439.9967</v>
      </c>
      <c r="Q844" s="49">
        <f>IF(OR(L844="",M844="",P844=""),"",L844*P844)</f>
        <v/>
      </c>
    </row>
    <row r="845" ht="15" customHeight="1" s="32">
      <c r="A845" s="46" t="inlineStr">
        <is>
          <t>R-HB-0844</t>
        </is>
      </c>
      <c r="B845" s="47" t="n">
        <v>45637</v>
      </c>
      <c r="C845" s="46" t="inlineStr">
        <is>
          <t>2024-12</t>
        </is>
      </c>
      <c r="D845" s="46" t="n">
        <v>2024</v>
      </c>
      <c r="E845" s="46" t="inlineStr">
        <is>
          <t>P-HB-003</t>
        </is>
      </c>
      <c r="F845" s="46" t="inlineStr">
        <is>
          <t>C-HB-07</t>
        </is>
      </c>
      <c r="G845" s="48" t="inlineStr">
        <is>
          <t>인도</t>
        </is>
      </c>
      <c r="H845" s="46" t="inlineStr">
        <is>
          <t>IN</t>
        </is>
      </c>
      <c r="I845" s="49" t="n">
        <v>28048</v>
      </c>
      <c r="J845" s="46" t="inlineStr">
        <is>
          <t>EA</t>
        </is>
      </c>
      <c r="K845" s="50" t="n">
        <v>18.23</v>
      </c>
      <c r="L845" s="50" t="n">
        <v>212318.7</v>
      </c>
      <c r="M845" s="46" t="inlineStr">
        <is>
          <t>USD</t>
        </is>
      </c>
      <c r="N845" s="46" t="inlineStr">
        <is>
          <t>FOB</t>
        </is>
      </c>
      <c r="O845" s="46" t="inlineStr">
        <is>
          <t>N</t>
        </is>
      </c>
      <c r="P845" s="50" t="n">
        <v>1439.9967</v>
      </c>
      <c r="Q845" s="49">
        <f>IF(OR(L845="",M845="",P845=""),"",L845*P845)</f>
        <v/>
      </c>
    </row>
    <row r="846" ht="15" customHeight="1" s="32">
      <c r="A846" s="46" t="inlineStr">
        <is>
          <t>R-HB-0845</t>
        </is>
      </c>
      <c r="B846" s="47" t="n">
        <v>45638</v>
      </c>
      <c r="C846" s="46" t="inlineStr">
        <is>
          <t>2024-12</t>
        </is>
      </c>
      <c r="D846" s="46" t="n">
        <v>2024</v>
      </c>
      <c r="E846" s="46" t="inlineStr">
        <is>
          <t>P-HB-002</t>
        </is>
      </c>
      <c r="F846" s="46" t="inlineStr">
        <is>
          <t>C-HB-06</t>
        </is>
      </c>
      <c r="G846" s="48" t="inlineStr">
        <is>
          <t>베트남</t>
        </is>
      </c>
      <c r="H846" s="46" t="inlineStr">
        <is>
          <t>VN</t>
        </is>
      </c>
      <c r="I846" s="49" t="n">
        <v>353</v>
      </c>
      <c r="J846" s="46" t="inlineStr">
        <is>
          <t>EA</t>
        </is>
      </c>
      <c r="K846" s="50" t="n">
        <v>0.78</v>
      </c>
      <c r="L846" s="50" t="n">
        <v>136551.32</v>
      </c>
      <c r="M846" s="46" t="inlineStr">
        <is>
          <t>USD</t>
        </is>
      </c>
      <c r="N846" s="46" t="inlineStr">
        <is>
          <t>FOB</t>
        </is>
      </c>
      <c r="O846" s="46" t="inlineStr">
        <is>
          <t>N</t>
        </is>
      </c>
      <c r="P846" s="50" t="n">
        <v>1439.9967</v>
      </c>
      <c r="Q846" s="49">
        <f>IF(OR(L846="",M846="",P846=""),"",L846*P846)</f>
        <v/>
      </c>
    </row>
    <row r="847" ht="15" customHeight="1" s="32">
      <c r="A847" s="46" t="inlineStr">
        <is>
          <t>R-HB-0846</t>
        </is>
      </c>
      <c r="B847" s="47" t="n">
        <v>45640</v>
      </c>
      <c r="C847" s="46" t="inlineStr">
        <is>
          <t>2024-12</t>
        </is>
      </c>
      <c r="D847" s="46" t="n">
        <v>2024</v>
      </c>
      <c r="E847" s="46" t="inlineStr">
        <is>
          <t>P-HB-002</t>
        </is>
      </c>
      <c r="F847" s="46" t="inlineStr">
        <is>
          <t>C-HB-05</t>
        </is>
      </c>
      <c r="G847" s="48" t="inlineStr">
        <is>
          <t>독일</t>
        </is>
      </c>
      <c r="H847" s="46" t="inlineStr">
        <is>
          <t>DE</t>
        </is>
      </c>
      <c r="I847" s="49" t="n">
        <v>544</v>
      </c>
      <c r="J847" s="46" t="inlineStr">
        <is>
          <t>EA</t>
        </is>
      </c>
      <c r="K847" s="50" t="n">
        <v>1.2</v>
      </c>
      <c r="L847" s="50" t="n">
        <v>210355.08</v>
      </c>
      <c r="M847" s="46" t="inlineStr">
        <is>
          <t>USD</t>
        </is>
      </c>
      <c r="N847" s="46" t="inlineStr">
        <is>
          <t>FOB</t>
        </is>
      </c>
      <c r="O847" s="46" t="inlineStr">
        <is>
          <t>N</t>
        </is>
      </c>
      <c r="P847" s="50" t="n">
        <v>1439.9967</v>
      </c>
      <c r="Q847" s="49">
        <f>IF(OR(L847="",M847="",P847=""),"",L847*P847)</f>
        <v/>
      </c>
    </row>
    <row r="848" ht="15" customHeight="1" s="32">
      <c r="A848" s="46" t="inlineStr">
        <is>
          <t>R-HB-0847</t>
        </is>
      </c>
      <c r="B848" s="47" t="n">
        <v>45640</v>
      </c>
      <c r="C848" s="46" t="inlineStr">
        <is>
          <t>2024-12</t>
        </is>
      </c>
      <c r="D848" s="46" t="n">
        <v>2024</v>
      </c>
      <c r="E848" s="46" t="inlineStr">
        <is>
          <t>P-HB-004</t>
        </is>
      </c>
      <c r="F848" s="46" t="inlineStr">
        <is>
          <t>C-HB-07</t>
        </is>
      </c>
      <c r="G848" s="48" t="inlineStr">
        <is>
          <t>인도</t>
        </is>
      </c>
      <c r="H848" s="46" t="inlineStr">
        <is>
          <t>IN</t>
        </is>
      </c>
      <c r="I848" s="49" t="n">
        <v>8720</v>
      </c>
      <c r="J848" s="46" t="inlineStr">
        <is>
          <t>EA</t>
        </is>
      </c>
      <c r="K848" s="50" t="n">
        <v>9.59</v>
      </c>
      <c r="L848" s="50" t="n">
        <v>235472.47</v>
      </c>
      <c r="M848" s="46" t="inlineStr">
        <is>
          <t>USD</t>
        </is>
      </c>
      <c r="N848" s="46" t="inlineStr">
        <is>
          <t>FOB</t>
        </is>
      </c>
      <c r="O848" s="46" t="inlineStr">
        <is>
          <t>N</t>
        </is>
      </c>
      <c r="P848" s="50" t="n">
        <v>1439.9967</v>
      </c>
      <c r="Q848" s="49">
        <f>IF(OR(L848="",M848="",P848=""),"",L848*P848)</f>
        <v/>
      </c>
    </row>
    <row r="849" ht="15" customHeight="1" s="32">
      <c r="A849" s="46" t="inlineStr">
        <is>
          <t>R-HB-0848</t>
        </is>
      </c>
      <c r="B849" s="47" t="n">
        <v>45640</v>
      </c>
      <c r="C849" s="46" t="inlineStr">
        <is>
          <t>2024-12</t>
        </is>
      </c>
      <c r="D849" s="46" t="n">
        <v>2024</v>
      </c>
      <c r="E849" s="46" t="inlineStr">
        <is>
          <t>P-HB-001</t>
        </is>
      </c>
      <c r="F849" s="46" t="inlineStr">
        <is>
          <t>C-HB-09</t>
        </is>
      </c>
      <c r="G849" s="48" t="inlineStr">
        <is>
          <t>중국</t>
        </is>
      </c>
      <c r="H849" s="46" t="inlineStr">
        <is>
          <t>CN</t>
        </is>
      </c>
      <c r="I849" s="49" t="n">
        <v>133523</v>
      </c>
      <c r="J849" s="46" t="inlineStr">
        <is>
          <t>EA</t>
        </is>
      </c>
      <c r="K849" s="50" t="n">
        <v>60.09</v>
      </c>
      <c r="L849" s="50" t="n">
        <v>712077.24</v>
      </c>
      <c r="M849" s="46" t="inlineStr">
        <is>
          <t>USD</t>
        </is>
      </c>
      <c r="N849" s="46" t="inlineStr">
        <is>
          <t>FOB</t>
        </is>
      </c>
      <c r="O849" s="46" t="inlineStr">
        <is>
          <t>N</t>
        </is>
      </c>
      <c r="P849" s="50" t="n">
        <v>1439.9967</v>
      </c>
      <c r="Q849" s="49">
        <f>IF(OR(L849="",M849="",P849=""),"",L849*P849)</f>
        <v/>
      </c>
    </row>
    <row r="850" ht="15" customHeight="1" s="32">
      <c r="A850" s="46" t="inlineStr">
        <is>
          <t>R-HB-0849</t>
        </is>
      </c>
      <c r="B850" s="47" t="n">
        <v>45642</v>
      </c>
      <c r="C850" s="46" t="inlineStr">
        <is>
          <t>2024-12</t>
        </is>
      </c>
      <c r="D850" s="46" t="n">
        <v>2024</v>
      </c>
      <c r="E850" s="46" t="inlineStr">
        <is>
          <t>P-HB-004</t>
        </is>
      </c>
      <c r="F850" s="46" t="inlineStr">
        <is>
          <t>C-HB-01</t>
        </is>
      </c>
      <c r="G850" s="48" t="inlineStr">
        <is>
          <t>미국</t>
        </is>
      </c>
      <c r="H850" s="46" t="inlineStr">
        <is>
          <t>US</t>
        </is>
      </c>
      <c r="I850" s="49" t="n">
        <v>21313</v>
      </c>
      <c r="J850" s="46" t="inlineStr">
        <is>
          <t>EA</t>
        </is>
      </c>
      <c r="K850" s="50" t="n">
        <v>23.44</v>
      </c>
      <c r="L850" s="50" t="n">
        <v>588645.54</v>
      </c>
      <c r="M850" s="46" t="inlineStr">
        <is>
          <t>USD</t>
        </is>
      </c>
      <c r="N850" s="46" t="inlineStr">
        <is>
          <t>FOB</t>
        </is>
      </c>
      <c r="O850" s="46" t="inlineStr">
        <is>
          <t>N</t>
        </is>
      </c>
      <c r="P850" s="50" t="n">
        <v>1439.9967</v>
      </c>
      <c r="Q850" s="49">
        <f>IF(OR(L850="",M850="",P850=""),"",L850*P850)</f>
        <v/>
      </c>
    </row>
    <row r="851" ht="15" customHeight="1" s="32">
      <c r="A851" s="46" t="inlineStr">
        <is>
          <t>R-HB-0850</t>
        </is>
      </c>
      <c r="B851" s="47" t="n">
        <v>45644</v>
      </c>
      <c r="C851" s="46" t="inlineStr">
        <is>
          <t>2024-12</t>
        </is>
      </c>
      <c r="D851" s="46" t="n">
        <v>2024</v>
      </c>
      <c r="E851" s="46" t="inlineStr">
        <is>
          <t>P-HB-002</t>
        </is>
      </c>
      <c r="F851" s="46" t="inlineStr">
        <is>
          <t>C-HB-02</t>
        </is>
      </c>
      <c r="G851" s="48" t="inlineStr">
        <is>
          <t>미국</t>
        </is>
      </c>
      <c r="H851" s="46" t="inlineStr">
        <is>
          <t>US</t>
        </is>
      </c>
      <c r="I851" s="49" t="n">
        <v>326</v>
      </c>
      <c r="J851" s="46" t="inlineStr">
        <is>
          <t>EA</t>
        </is>
      </c>
      <c r="K851" s="50" t="n">
        <v>0.72</v>
      </c>
      <c r="L851" s="50" t="n">
        <v>125447.56</v>
      </c>
      <c r="M851" s="46" t="inlineStr">
        <is>
          <t>USD</t>
        </is>
      </c>
      <c r="N851" s="46" t="inlineStr">
        <is>
          <t>FOB</t>
        </is>
      </c>
      <c r="O851" s="46" t="inlineStr">
        <is>
          <t>N</t>
        </is>
      </c>
      <c r="P851" s="50" t="n">
        <v>1439.9967</v>
      </c>
      <c r="Q851" s="49">
        <f>IF(OR(L851="",M851="",P851=""),"",L851*P851)</f>
        <v/>
      </c>
    </row>
    <row r="852" ht="15" customHeight="1" s="32">
      <c r="A852" s="46" t="inlineStr">
        <is>
          <t>R-HB-0851</t>
        </is>
      </c>
      <c r="B852" s="47" t="n">
        <v>45644</v>
      </c>
      <c r="C852" s="46" t="inlineStr">
        <is>
          <t>2024-12</t>
        </is>
      </c>
      <c r="D852" s="46" t="n">
        <v>2024</v>
      </c>
      <c r="E852" s="46" t="inlineStr">
        <is>
          <t>P-HB-002</t>
        </is>
      </c>
      <c r="F852" s="46" t="inlineStr">
        <is>
          <t>C-HB-04</t>
        </is>
      </c>
      <c r="G852" s="48" t="inlineStr">
        <is>
          <t>캐나다</t>
        </is>
      </c>
      <c r="H852" s="46" t="inlineStr">
        <is>
          <t>CA</t>
        </is>
      </c>
      <c r="I852" s="49" t="n">
        <v>61</v>
      </c>
      <c r="J852" s="46" t="inlineStr">
        <is>
          <t>EA</t>
        </is>
      </c>
      <c r="K852" s="50" t="n">
        <v>0.13</v>
      </c>
      <c r="L852" s="50" t="n">
        <v>23655.23</v>
      </c>
      <c r="M852" s="46" t="inlineStr">
        <is>
          <t>USD</t>
        </is>
      </c>
      <c r="N852" s="46" t="inlineStr">
        <is>
          <t>FOB</t>
        </is>
      </c>
      <c r="O852" s="46" t="inlineStr">
        <is>
          <t>N</t>
        </is>
      </c>
      <c r="P852" s="50" t="n">
        <v>1439.9967</v>
      </c>
      <c r="Q852" s="49">
        <f>IF(OR(L852="",M852="",P852=""),"",L852*P852)</f>
        <v/>
      </c>
    </row>
    <row r="853" ht="15" customHeight="1" s="32">
      <c r="A853" s="46" t="inlineStr">
        <is>
          <t>R-HB-0852</t>
        </is>
      </c>
      <c r="B853" s="47" t="n">
        <v>45644</v>
      </c>
      <c r="C853" s="46" t="inlineStr">
        <is>
          <t>2024-12</t>
        </is>
      </c>
      <c r="D853" s="46" t="n">
        <v>2024</v>
      </c>
      <c r="E853" s="46" t="inlineStr">
        <is>
          <t>P-HB-003</t>
        </is>
      </c>
      <c r="F853" s="46" t="inlineStr">
        <is>
          <t>C-HB-06</t>
        </is>
      </c>
      <c r="G853" s="48" t="inlineStr">
        <is>
          <t>베트남</t>
        </is>
      </c>
      <c r="H853" s="46" t="inlineStr">
        <is>
          <t>VN</t>
        </is>
      </c>
      <c r="I853" s="49" t="n">
        <v>38602</v>
      </c>
      <c r="J853" s="46" t="inlineStr">
        <is>
          <t>EA</t>
        </is>
      </c>
      <c r="K853" s="50" t="n">
        <v>25.09</v>
      </c>
      <c r="L853" s="50" t="n">
        <v>298834.83</v>
      </c>
      <c r="M853" s="46" t="inlineStr">
        <is>
          <t>USD</t>
        </is>
      </c>
      <c r="N853" s="46" t="inlineStr">
        <is>
          <t>FOB</t>
        </is>
      </c>
      <c r="O853" s="46" t="inlineStr">
        <is>
          <t>N</t>
        </is>
      </c>
      <c r="P853" s="50" t="n">
        <v>1439.9967</v>
      </c>
      <c r="Q853" s="49">
        <f>IF(OR(L853="",M853="",P853=""),"",L853*P853)</f>
        <v/>
      </c>
    </row>
    <row r="854" ht="15" customHeight="1" s="32">
      <c r="A854" s="46" t="inlineStr">
        <is>
          <t>R-HB-0853</t>
        </is>
      </c>
      <c r="B854" s="47" t="n">
        <v>45645</v>
      </c>
      <c r="C854" s="46" t="inlineStr">
        <is>
          <t>2024-12</t>
        </is>
      </c>
      <c r="D854" s="46" t="n">
        <v>2024</v>
      </c>
      <c r="E854" s="46" t="inlineStr">
        <is>
          <t>P-HB-004</t>
        </is>
      </c>
      <c r="F854" s="46" t="inlineStr">
        <is>
          <t>C-HB-02</t>
        </is>
      </c>
      <c r="G854" s="48" t="inlineStr">
        <is>
          <t>미국</t>
        </is>
      </c>
      <c r="H854" s="46" t="inlineStr">
        <is>
          <t>US</t>
        </is>
      </c>
      <c r="I854" s="49" t="n">
        <v>11053</v>
      </c>
      <c r="J854" s="46" t="inlineStr">
        <is>
          <t>EA</t>
        </is>
      </c>
      <c r="K854" s="50" t="n">
        <v>12.16</v>
      </c>
      <c r="L854" s="50" t="n">
        <v>314645.35</v>
      </c>
      <c r="M854" s="46" t="inlineStr">
        <is>
          <t>USD</t>
        </is>
      </c>
      <c r="N854" s="46" t="inlineStr">
        <is>
          <t>FOB</t>
        </is>
      </c>
      <c r="O854" s="46" t="inlineStr">
        <is>
          <t>N</t>
        </is>
      </c>
      <c r="P854" s="50" t="n">
        <v>1439.9967</v>
      </c>
      <c r="Q854" s="49">
        <f>IF(OR(L854="",M854="",P854=""),"",L854*P854)</f>
        <v/>
      </c>
    </row>
    <row r="855" ht="15" customHeight="1" s="32">
      <c r="A855" s="46" t="inlineStr">
        <is>
          <t>R-HB-0854</t>
        </is>
      </c>
      <c r="B855" s="47" t="n">
        <v>45645</v>
      </c>
      <c r="C855" s="46" t="inlineStr">
        <is>
          <t>2024-12</t>
        </is>
      </c>
      <c r="D855" s="46" t="n">
        <v>2024</v>
      </c>
      <c r="E855" s="46" t="inlineStr">
        <is>
          <t>P-HB-002</t>
        </is>
      </c>
      <c r="F855" s="46" t="inlineStr">
        <is>
          <t>C-HB-03</t>
        </is>
      </c>
      <c r="G855" s="48" t="inlineStr">
        <is>
          <t>멕시코</t>
        </is>
      </c>
      <c r="H855" s="46" t="inlineStr">
        <is>
          <t>MX</t>
        </is>
      </c>
      <c r="I855" s="49" t="n">
        <v>109</v>
      </c>
      <c r="J855" s="46" t="inlineStr">
        <is>
          <t>EA</t>
        </is>
      </c>
      <c r="K855" s="50" t="n">
        <v>0.24</v>
      </c>
      <c r="L855" s="50" t="n">
        <v>41253.05</v>
      </c>
      <c r="M855" s="46" t="inlineStr">
        <is>
          <t>USD</t>
        </is>
      </c>
      <c r="N855" s="46" t="inlineStr">
        <is>
          <t>FOB</t>
        </is>
      </c>
      <c r="O855" s="46" t="inlineStr">
        <is>
          <t>N</t>
        </is>
      </c>
      <c r="P855" s="50" t="n">
        <v>1439.9967</v>
      </c>
      <c r="Q855" s="49">
        <f>IF(OR(L855="",M855="",P855=""),"",L855*P855)</f>
        <v/>
      </c>
    </row>
    <row r="856" ht="15" customHeight="1" s="32">
      <c r="A856" s="46" t="inlineStr">
        <is>
          <t>R-HB-0855</t>
        </is>
      </c>
      <c r="B856" s="47" t="n">
        <v>45646</v>
      </c>
      <c r="C856" s="46" t="inlineStr">
        <is>
          <t>2024-12</t>
        </is>
      </c>
      <c r="D856" s="46" t="n">
        <v>2024</v>
      </c>
      <c r="E856" s="46" t="inlineStr">
        <is>
          <t>P-HB-003</t>
        </is>
      </c>
      <c r="F856" s="46" t="inlineStr">
        <is>
          <t>C-HB-05</t>
        </is>
      </c>
      <c r="G856" s="48" t="inlineStr">
        <is>
          <t>독일</t>
        </is>
      </c>
      <c r="H856" s="46" t="inlineStr">
        <is>
          <t>DE</t>
        </is>
      </c>
      <c r="I856" s="49" t="n">
        <v>64634</v>
      </c>
      <c r="J856" s="46" t="inlineStr">
        <is>
          <t>EA</t>
        </is>
      </c>
      <c r="K856" s="50" t="n">
        <v>42.01</v>
      </c>
      <c r="L856" s="50" t="n">
        <v>487667.36</v>
      </c>
      <c r="M856" s="46" t="inlineStr">
        <is>
          <t>USD</t>
        </is>
      </c>
      <c r="N856" s="46" t="inlineStr">
        <is>
          <t>FOB</t>
        </is>
      </c>
      <c r="O856" s="46" t="inlineStr">
        <is>
          <t>N</t>
        </is>
      </c>
      <c r="P856" s="50" t="n">
        <v>1439.9967</v>
      </c>
      <c r="Q856" s="49">
        <f>IF(OR(L856="",M856="",P856=""),"",L856*P856)</f>
        <v/>
      </c>
    </row>
    <row r="857" ht="15" customHeight="1" s="32">
      <c r="A857" s="46" t="inlineStr">
        <is>
          <t>R-HB-0856</t>
        </is>
      </c>
      <c r="B857" s="47" t="n">
        <v>45646</v>
      </c>
      <c r="C857" s="46" t="inlineStr">
        <is>
          <t>2024-12</t>
        </is>
      </c>
      <c r="D857" s="46" t="n">
        <v>2024</v>
      </c>
      <c r="E857" s="46" t="inlineStr">
        <is>
          <t>P-HB-002</t>
        </is>
      </c>
      <c r="F857" s="46" t="inlineStr">
        <is>
          <t>C-HB-07</t>
        </is>
      </c>
      <c r="G857" s="48" t="inlineStr">
        <is>
          <t>인도</t>
        </is>
      </c>
      <c r="H857" s="46" t="inlineStr">
        <is>
          <t>IN</t>
        </is>
      </c>
      <c r="I857" s="49" t="n">
        <v>267</v>
      </c>
      <c r="J857" s="46" t="inlineStr">
        <is>
          <t>EA</t>
        </is>
      </c>
      <c r="K857" s="50" t="n">
        <v>0.59</v>
      </c>
      <c r="L857" s="50" t="n">
        <v>102464.2</v>
      </c>
      <c r="M857" s="46" t="inlineStr">
        <is>
          <t>USD</t>
        </is>
      </c>
      <c r="N857" s="46" t="inlineStr">
        <is>
          <t>FOB</t>
        </is>
      </c>
      <c r="O857" s="46" t="inlineStr">
        <is>
          <t>N</t>
        </is>
      </c>
      <c r="P857" s="50" t="n">
        <v>1439.9967</v>
      </c>
      <c r="Q857" s="49">
        <f>IF(OR(L857="",M857="",P857=""),"",L857*P857)</f>
        <v/>
      </c>
    </row>
    <row r="858" ht="15" customHeight="1" s="32">
      <c r="A858" s="46" t="inlineStr">
        <is>
          <t>R-HB-0857</t>
        </is>
      </c>
      <c r="B858" s="47" t="n">
        <v>45646</v>
      </c>
      <c r="C858" s="46" t="inlineStr">
        <is>
          <t>2024-12</t>
        </is>
      </c>
      <c r="D858" s="46" t="n">
        <v>2024</v>
      </c>
      <c r="E858" s="46" t="inlineStr">
        <is>
          <t>P-HB-004</t>
        </is>
      </c>
      <c r="F858" s="46" t="inlineStr">
        <is>
          <t>C-HB-08</t>
        </is>
      </c>
      <c r="G858" s="48" t="inlineStr">
        <is>
          <t>중국</t>
        </is>
      </c>
      <c r="H858" s="46" t="inlineStr">
        <is>
          <t>CN</t>
        </is>
      </c>
      <c r="I858" s="49" t="n">
        <v>21512</v>
      </c>
      <c r="J858" s="46" t="inlineStr">
        <is>
          <t>EA</t>
        </is>
      </c>
      <c r="K858" s="50" t="n">
        <v>23.66</v>
      </c>
      <c r="L858" s="50" t="n">
        <v>612174.1800000001</v>
      </c>
      <c r="M858" s="46" t="inlineStr">
        <is>
          <t>USD</t>
        </is>
      </c>
      <c r="N858" s="46" t="inlineStr">
        <is>
          <t>FOB</t>
        </is>
      </c>
      <c r="O858" s="46" t="inlineStr">
        <is>
          <t>N</t>
        </is>
      </c>
      <c r="P858" s="50" t="n">
        <v>1439.9967</v>
      </c>
      <c r="Q858" s="49">
        <f>IF(OR(L858="",M858="",P858=""),"",L858*P858)</f>
        <v/>
      </c>
    </row>
    <row r="859" ht="15" customHeight="1" s="32">
      <c r="A859" s="46" t="inlineStr">
        <is>
          <t>R-HB-0858</t>
        </is>
      </c>
      <c r="B859" s="47" t="n">
        <v>45649</v>
      </c>
      <c r="C859" s="46" t="inlineStr">
        <is>
          <t>2024-12</t>
        </is>
      </c>
      <c r="D859" s="46" t="n">
        <v>2024</v>
      </c>
      <c r="E859" s="46" t="inlineStr">
        <is>
          <t>P-HB-003</t>
        </is>
      </c>
      <c r="F859" s="46" t="inlineStr">
        <is>
          <t>C-HB-03</t>
        </is>
      </c>
      <c r="G859" s="48" t="inlineStr">
        <is>
          <t>멕시코</t>
        </is>
      </c>
      <c r="H859" s="46" t="inlineStr">
        <is>
          <t>MX</t>
        </is>
      </c>
      <c r="I859" s="49" t="n">
        <v>12203</v>
      </c>
      <c r="J859" s="46" t="inlineStr">
        <is>
          <t>EA</t>
        </is>
      </c>
      <c r="K859" s="50" t="n">
        <v>7.93</v>
      </c>
      <c r="L859" s="50" t="n">
        <v>94813.37</v>
      </c>
      <c r="M859" s="46" t="inlineStr">
        <is>
          <t>USD</t>
        </is>
      </c>
      <c r="N859" s="46" t="inlineStr">
        <is>
          <t>FOB</t>
        </is>
      </c>
      <c r="O859" s="46" t="inlineStr">
        <is>
          <t>N</t>
        </is>
      </c>
      <c r="P859" s="50" t="n">
        <v>1439.9967</v>
      </c>
      <c r="Q859" s="49">
        <f>IF(OR(L859="",M859="",P859=""),"",L859*P859)</f>
        <v/>
      </c>
    </row>
    <row r="860" ht="15" customHeight="1" s="32">
      <c r="A860" s="46" t="inlineStr">
        <is>
          <t>R-HB-0859</t>
        </is>
      </c>
      <c r="B860" s="47" t="n">
        <v>45649</v>
      </c>
      <c r="C860" s="46" t="inlineStr">
        <is>
          <t>2024-12</t>
        </is>
      </c>
      <c r="D860" s="46" t="n">
        <v>2024</v>
      </c>
      <c r="E860" s="46" t="inlineStr">
        <is>
          <t>P-HB-002</t>
        </is>
      </c>
      <c r="F860" s="46" t="inlineStr">
        <is>
          <t>C-HB-08</t>
        </is>
      </c>
      <c r="G860" s="48" t="inlineStr">
        <is>
          <t>중국</t>
        </is>
      </c>
      <c r="H860" s="46" t="inlineStr">
        <is>
          <t>CN</t>
        </is>
      </c>
      <c r="I860" s="49" t="n">
        <v>839</v>
      </c>
      <c r="J860" s="46" t="inlineStr">
        <is>
          <t>EA</t>
        </is>
      </c>
      <c r="K860" s="50" t="n">
        <v>1.85</v>
      </c>
      <c r="L860" s="50" t="n">
        <v>308650.08</v>
      </c>
      <c r="M860" s="46" t="inlineStr">
        <is>
          <t>USD</t>
        </is>
      </c>
      <c r="N860" s="46" t="inlineStr">
        <is>
          <t>FOB</t>
        </is>
      </c>
      <c r="O860" s="46" t="inlineStr">
        <is>
          <t>N</t>
        </is>
      </c>
      <c r="P860" s="50" t="n">
        <v>1439.9967</v>
      </c>
      <c r="Q860" s="49">
        <f>IF(OR(L860="",M860="",P860=""),"",L860*P860)</f>
        <v/>
      </c>
    </row>
    <row r="861" ht="15" customHeight="1" s="32">
      <c r="A861" s="46" t="inlineStr">
        <is>
          <t>R-HB-0860</t>
        </is>
      </c>
      <c r="B861" s="47" t="n">
        <v>45650</v>
      </c>
      <c r="C861" s="46" t="inlineStr">
        <is>
          <t>2024-12</t>
        </is>
      </c>
      <c r="D861" s="46" t="n">
        <v>2024</v>
      </c>
      <c r="E861" s="46" t="inlineStr">
        <is>
          <t>P-HB-004</t>
        </is>
      </c>
      <c r="F861" s="46" t="inlineStr">
        <is>
          <t>C-HB-05</t>
        </is>
      </c>
      <c r="G861" s="48" t="inlineStr">
        <is>
          <t>독일</t>
        </is>
      </c>
      <c r="H861" s="46" t="inlineStr">
        <is>
          <t>DE</t>
        </is>
      </c>
      <c r="I861" s="49" t="n">
        <v>16987</v>
      </c>
      <c r="J861" s="46" t="inlineStr">
        <is>
          <t>EA</t>
        </is>
      </c>
      <c r="K861" s="50" t="n">
        <v>18.69</v>
      </c>
      <c r="L861" s="50" t="n">
        <v>477083.73</v>
      </c>
      <c r="M861" s="46" t="inlineStr">
        <is>
          <t>USD</t>
        </is>
      </c>
      <c r="N861" s="46" t="inlineStr">
        <is>
          <t>FOB</t>
        </is>
      </c>
      <c r="O861" s="46" t="inlineStr">
        <is>
          <t>N</t>
        </is>
      </c>
      <c r="P861" s="50" t="n">
        <v>1439.9967</v>
      </c>
      <c r="Q861" s="49">
        <f>IF(OR(L861="",M861="",P861=""),"",L861*P861)</f>
        <v/>
      </c>
    </row>
    <row r="862" ht="15" customHeight="1" s="32">
      <c r="A862" s="46" t="inlineStr">
        <is>
          <t>R-HB-0861</t>
        </is>
      </c>
      <c r="B862" s="47" t="n">
        <v>45651</v>
      </c>
      <c r="C862" s="46" t="inlineStr">
        <is>
          <t>2024-12</t>
        </is>
      </c>
      <c r="D862" s="46" t="n">
        <v>2024</v>
      </c>
      <c r="E862" s="46" t="inlineStr">
        <is>
          <t>P-HB-001</t>
        </is>
      </c>
      <c r="F862" s="46" t="inlineStr">
        <is>
          <t>C-HB-05</t>
        </is>
      </c>
      <c r="G862" s="48" t="inlineStr">
        <is>
          <t>독일</t>
        </is>
      </c>
      <c r="H862" s="46" t="inlineStr">
        <is>
          <t>DE</t>
        </is>
      </c>
      <c r="I862" s="49" t="n">
        <v>164371</v>
      </c>
      <c r="J862" s="46" t="inlineStr">
        <is>
          <t>EA</t>
        </is>
      </c>
      <c r="K862" s="50" t="n">
        <v>73.97</v>
      </c>
      <c r="L862" s="50" t="n">
        <v>898121.83</v>
      </c>
      <c r="M862" s="46" t="inlineStr">
        <is>
          <t>USD</t>
        </is>
      </c>
      <c r="N862" s="46" t="inlineStr">
        <is>
          <t>FOB</t>
        </is>
      </c>
      <c r="O862" s="46" t="inlineStr">
        <is>
          <t>N</t>
        </is>
      </c>
      <c r="P862" s="50" t="n">
        <v>1439.9967</v>
      </c>
      <c r="Q862" s="49">
        <f>IF(OR(L862="",M862="",P862=""),"",L862*P862)</f>
        <v/>
      </c>
    </row>
    <row r="863" ht="15" customHeight="1" s="32">
      <c r="A863" s="46" t="inlineStr">
        <is>
          <t>R-HB-0862</t>
        </is>
      </c>
      <c r="B863" s="47" t="n">
        <v>45651</v>
      </c>
      <c r="C863" s="46" t="inlineStr">
        <is>
          <t>2024-12</t>
        </is>
      </c>
      <c r="D863" s="46" t="n">
        <v>2024</v>
      </c>
      <c r="E863" s="46" t="inlineStr">
        <is>
          <t>P-HB-003</t>
        </is>
      </c>
      <c r="F863" s="46" t="inlineStr">
        <is>
          <t>C-HB-09</t>
        </is>
      </c>
      <c r="G863" s="48" t="inlineStr">
        <is>
          <t>중국</t>
        </is>
      </c>
      <c r="H863" s="46" t="inlineStr">
        <is>
          <t>CN</t>
        </is>
      </c>
      <c r="I863" s="49" t="n">
        <v>54327</v>
      </c>
      <c r="J863" s="46" t="inlineStr">
        <is>
          <t>EA</t>
        </is>
      </c>
      <c r="K863" s="50" t="n">
        <v>35.31</v>
      </c>
      <c r="L863" s="50" t="n">
        <v>410944.62</v>
      </c>
      <c r="M863" s="46" t="inlineStr">
        <is>
          <t>USD</t>
        </is>
      </c>
      <c r="N863" s="46" t="inlineStr">
        <is>
          <t>FOB</t>
        </is>
      </c>
      <c r="O863" s="46" t="inlineStr">
        <is>
          <t>N</t>
        </is>
      </c>
      <c r="P863" s="50" t="n">
        <v>1439.9967</v>
      </c>
      <c r="Q863" s="49">
        <f>IF(OR(L863="",M863="",P863=""),"",L863*P863)</f>
        <v/>
      </c>
    </row>
    <row r="864" ht="15" customHeight="1" s="32">
      <c r="A864" s="46" t="inlineStr">
        <is>
          <t>R-HB-0863</t>
        </is>
      </c>
      <c r="B864" s="47" t="n">
        <v>45652</v>
      </c>
      <c r="C864" s="46" t="inlineStr">
        <is>
          <t>2024-12</t>
        </is>
      </c>
      <c r="D864" s="46" t="n">
        <v>2024</v>
      </c>
      <c r="E864" s="46" t="inlineStr">
        <is>
          <t>P-HB-003</t>
        </is>
      </c>
      <c r="F864" s="46" t="inlineStr">
        <is>
          <t>C-HB-01</t>
        </is>
      </c>
      <c r="G864" s="48" t="inlineStr">
        <is>
          <t>미국</t>
        </is>
      </c>
      <c r="H864" s="46" t="inlineStr">
        <is>
          <t>US</t>
        </is>
      </c>
      <c r="I864" s="49" t="n">
        <v>67178</v>
      </c>
      <c r="J864" s="46" t="inlineStr">
        <is>
          <t>EA</t>
        </is>
      </c>
      <c r="K864" s="50" t="n">
        <v>43.67</v>
      </c>
      <c r="L864" s="50" t="n">
        <v>535568.15</v>
      </c>
      <c r="M864" s="46" t="inlineStr">
        <is>
          <t>USD</t>
        </is>
      </c>
      <c r="N864" s="46" t="inlineStr">
        <is>
          <t>FOB</t>
        </is>
      </c>
      <c r="O864" s="46" t="inlineStr">
        <is>
          <t>N</t>
        </is>
      </c>
      <c r="P864" s="50" t="n">
        <v>1439.9967</v>
      </c>
      <c r="Q864" s="49">
        <f>IF(OR(L864="",M864="",P864=""),"",L864*P864)</f>
        <v/>
      </c>
    </row>
    <row r="865" ht="15" customHeight="1" s="32">
      <c r="A865" s="46" t="inlineStr">
        <is>
          <t>R-HB-0864</t>
        </is>
      </c>
      <c r="B865" s="47" t="n">
        <v>45652</v>
      </c>
      <c r="C865" s="46" t="inlineStr">
        <is>
          <t>2024-12</t>
        </is>
      </c>
      <c r="D865" s="46" t="n">
        <v>2024</v>
      </c>
      <c r="E865" s="46" t="inlineStr">
        <is>
          <t>P-HB-003</t>
        </is>
      </c>
      <c r="F865" s="46" t="inlineStr">
        <is>
          <t>C-HB-02</t>
        </is>
      </c>
      <c r="G865" s="48" t="inlineStr">
        <is>
          <t>미국</t>
        </is>
      </c>
      <c r="H865" s="46" t="inlineStr">
        <is>
          <t>US</t>
        </is>
      </c>
      <c r="I865" s="49" t="n">
        <v>36276</v>
      </c>
      <c r="J865" s="46" t="inlineStr">
        <is>
          <t>EA</t>
        </is>
      </c>
      <c r="K865" s="50" t="n">
        <v>23.58</v>
      </c>
      <c r="L865" s="50" t="n">
        <v>284244.7</v>
      </c>
      <c r="M865" s="46" t="inlineStr">
        <is>
          <t>USD</t>
        </is>
      </c>
      <c r="N865" s="46" t="inlineStr">
        <is>
          <t>FOB</t>
        </is>
      </c>
      <c r="O865" s="46" t="inlineStr">
        <is>
          <t>N</t>
        </is>
      </c>
      <c r="P865" s="50" t="n">
        <v>1439.9967</v>
      </c>
      <c r="Q865" s="49">
        <f>IF(OR(L865="",M865="",P865=""),"",L865*P865)</f>
        <v/>
      </c>
    </row>
    <row r="866" ht="15" customHeight="1" s="32">
      <c r="A866" s="46" t="inlineStr">
        <is>
          <t>R-HB-0865</t>
        </is>
      </c>
      <c r="B866" s="47" t="n">
        <v>45660</v>
      </c>
      <c r="C866" s="46" t="inlineStr">
        <is>
          <t>2025-01</t>
        </is>
      </c>
      <c r="D866" s="46" t="n">
        <v>2025</v>
      </c>
      <c r="E866" s="46" t="inlineStr">
        <is>
          <t>P-HB-001</t>
        </is>
      </c>
      <c r="F866" s="46" t="inlineStr">
        <is>
          <t>C-HB-03</t>
        </is>
      </c>
      <c r="G866" s="48" t="inlineStr">
        <is>
          <t>멕시코</t>
        </is>
      </c>
      <c r="H866" s="46" t="inlineStr">
        <is>
          <t>MX</t>
        </is>
      </c>
      <c r="I866" s="49" t="n">
        <v>32802</v>
      </c>
      <c r="J866" s="46" t="inlineStr">
        <is>
          <t>EA</t>
        </is>
      </c>
      <c r="K866" s="50" t="n">
        <v>14.76</v>
      </c>
      <c r="L866" s="50" t="n">
        <v>189348.3</v>
      </c>
      <c r="M866" s="46" t="inlineStr">
        <is>
          <t>USD</t>
        </is>
      </c>
      <c r="N866" s="46" t="inlineStr">
        <is>
          <t>FOB</t>
        </is>
      </c>
      <c r="O866" s="46" t="inlineStr">
        <is>
          <t>N</t>
        </is>
      </c>
      <c r="P866" s="50" t="n">
        <v>1452.1919</v>
      </c>
      <c r="Q866" s="49">
        <f>IF(OR(L866="",M866="",P866=""),"",L866*P866)</f>
        <v/>
      </c>
    </row>
    <row r="867" ht="15" customHeight="1" s="32">
      <c r="A867" s="46" t="inlineStr">
        <is>
          <t>R-HB-0866</t>
        </is>
      </c>
      <c r="B867" s="47" t="n">
        <v>45660</v>
      </c>
      <c r="C867" s="46" t="inlineStr">
        <is>
          <t>2025-01</t>
        </is>
      </c>
      <c r="D867" s="46" t="n">
        <v>2025</v>
      </c>
      <c r="E867" s="46" t="inlineStr">
        <is>
          <t>P-HB-004</t>
        </is>
      </c>
      <c r="F867" s="46" t="inlineStr">
        <is>
          <t>C-HB-04</t>
        </is>
      </c>
      <c r="G867" s="48" t="inlineStr">
        <is>
          <t>캐나다</t>
        </is>
      </c>
      <c r="H867" s="46" t="inlineStr">
        <is>
          <t>CA</t>
        </is>
      </c>
      <c r="I867" s="49" t="n">
        <v>1478</v>
      </c>
      <c r="J867" s="46" t="inlineStr">
        <is>
          <t>EA</t>
        </is>
      </c>
      <c r="K867" s="50" t="n">
        <v>1.63</v>
      </c>
      <c r="L867" s="50" t="n">
        <v>40307.74</v>
      </c>
      <c r="M867" s="46" t="inlineStr">
        <is>
          <t>USD</t>
        </is>
      </c>
      <c r="N867" s="46" t="inlineStr">
        <is>
          <t>FOB</t>
        </is>
      </c>
      <c r="O867" s="46" t="inlineStr">
        <is>
          <t>N</t>
        </is>
      </c>
      <c r="P867" s="50" t="n">
        <v>1452.1919</v>
      </c>
      <c r="Q867" s="49">
        <f>IF(OR(L867="",M867="",P867=""),"",L867*P867)</f>
        <v/>
      </c>
    </row>
    <row r="868" ht="15" customHeight="1" s="32">
      <c r="A868" s="46" t="inlineStr">
        <is>
          <t>R-HB-0867</t>
        </is>
      </c>
      <c r="B868" s="47" t="n">
        <v>45660</v>
      </c>
      <c r="C868" s="46" t="inlineStr">
        <is>
          <t>2025-01</t>
        </is>
      </c>
      <c r="D868" s="46" t="n">
        <v>2025</v>
      </c>
      <c r="E868" s="46" t="inlineStr">
        <is>
          <t>P-HB-001</t>
        </is>
      </c>
      <c r="F868" s="46" t="inlineStr">
        <is>
          <t>C-HB-05</t>
        </is>
      </c>
      <c r="G868" s="48" t="inlineStr">
        <is>
          <t>독일</t>
        </is>
      </c>
      <c r="H868" s="46" t="inlineStr">
        <is>
          <t>DE</t>
        </is>
      </c>
      <c r="I868" s="49" t="n">
        <v>141056</v>
      </c>
      <c r="J868" s="46" t="inlineStr">
        <is>
          <t>EA</t>
        </is>
      </c>
      <c r="K868" s="50" t="n">
        <v>63.48</v>
      </c>
      <c r="L868" s="50" t="n">
        <v>758983.46</v>
      </c>
      <c r="M868" s="46" t="inlineStr">
        <is>
          <t>USD</t>
        </is>
      </c>
      <c r="N868" s="46" t="inlineStr">
        <is>
          <t>FOB</t>
        </is>
      </c>
      <c r="O868" s="46" t="inlineStr">
        <is>
          <t>N</t>
        </is>
      </c>
      <c r="P868" s="50" t="n">
        <v>1452.1919</v>
      </c>
      <c r="Q868" s="49">
        <f>IF(OR(L868="",M868="",P868=""),"",L868*P868)</f>
        <v/>
      </c>
    </row>
    <row r="869" ht="15" customHeight="1" s="32">
      <c r="A869" s="46" t="inlineStr">
        <is>
          <t>R-HB-0868</t>
        </is>
      </c>
      <c r="B869" s="47" t="n">
        <v>45660</v>
      </c>
      <c r="C869" s="46" t="inlineStr">
        <is>
          <t>2025-01</t>
        </is>
      </c>
      <c r="D869" s="46" t="n">
        <v>2025</v>
      </c>
      <c r="E869" s="46" t="inlineStr">
        <is>
          <t>P-HB-001</t>
        </is>
      </c>
      <c r="F869" s="46" t="inlineStr">
        <is>
          <t>C-HB-06</t>
        </is>
      </c>
      <c r="G869" s="48" t="inlineStr">
        <is>
          <t>베트남</t>
        </is>
      </c>
      <c r="H869" s="46" t="inlineStr">
        <is>
          <t>VN</t>
        </is>
      </c>
      <c r="I869" s="49" t="n">
        <v>136875</v>
      </c>
      <c r="J869" s="46" t="inlineStr">
        <is>
          <t>EA</t>
        </is>
      </c>
      <c r="K869" s="50" t="n">
        <v>61.59</v>
      </c>
      <c r="L869" s="50" t="n">
        <v>744049.62</v>
      </c>
      <c r="M869" s="46" t="inlineStr">
        <is>
          <t>USD</t>
        </is>
      </c>
      <c r="N869" s="46" t="inlineStr">
        <is>
          <t>FOB</t>
        </is>
      </c>
      <c r="O869" s="46" t="inlineStr">
        <is>
          <t>N</t>
        </is>
      </c>
      <c r="P869" s="50" t="n">
        <v>1452.1919</v>
      </c>
      <c r="Q869" s="49">
        <f>IF(OR(L869="",M869="",P869=""),"",L869*P869)</f>
        <v/>
      </c>
    </row>
    <row r="870" ht="15" customHeight="1" s="32">
      <c r="A870" s="46" t="inlineStr">
        <is>
          <t>R-HB-0869</t>
        </is>
      </c>
      <c r="B870" s="47" t="n">
        <v>45660</v>
      </c>
      <c r="C870" s="46" t="inlineStr">
        <is>
          <t>2025-01</t>
        </is>
      </c>
      <c r="D870" s="46" t="n">
        <v>2025</v>
      </c>
      <c r="E870" s="46" t="inlineStr">
        <is>
          <t>P-HB-004</t>
        </is>
      </c>
      <c r="F870" s="46" t="inlineStr">
        <is>
          <t>C-HB-07</t>
        </is>
      </c>
      <c r="G870" s="48" t="inlineStr">
        <is>
          <t>인도</t>
        </is>
      </c>
      <c r="H870" s="46" t="inlineStr">
        <is>
          <t>IN</t>
        </is>
      </c>
      <c r="I870" s="49" t="n">
        <v>7756</v>
      </c>
      <c r="J870" s="46" t="inlineStr">
        <is>
          <t>EA</t>
        </is>
      </c>
      <c r="K870" s="50" t="n">
        <v>8.529999999999999</v>
      </c>
      <c r="L870" s="50" t="n">
        <v>223472.87</v>
      </c>
      <c r="M870" s="46" t="inlineStr">
        <is>
          <t>USD</t>
        </is>
      </c>
      <c r="N870" s="46" t="inlineStr">
        <is>
          <t>FOB</t>
        </is>
      </c>
      <c r="O870" s="46" t="inlineStr">
        <is>
          <t>N</t>
        </is>
      </c>
      <c r="P870" s="50" t="n">
        <v>1452.1919</v>
      </c>
      <c r="Q870" s="49">
        <f>IF(OR(L870="",M870="",P870=""),"",L870*P870)</f>
        <v/>
      </c>
    </row>
    <row r="871" ht="15" customHeight="1" s="32">
      <c r="A871" s="46" t="inlineStr">
        <is>
          <t>R-HB-0870</t>
        </is>
      </c>
      <c r="B871" s="47" t="n">
        <v>45662</v>
      </c>
      <c r="C871" s="46" t="inlineStr">
        <is>
          <t>2025-01</t>
        </is>
      </c>
      <c r="D871" s="46" t="n">
        <v>2025</v>
      </c>
      <c r="E871" s="46" t="inlineStr">
        <is>
          <t>P-HB-002</t>
        </is>
      </c>
      <c r="F871" s="46" t="inlineStr">
        <is>
          <t>C-HB-09</t>
        </is>
      </c>
      <c r="G871" s="48" t="inlineStr">
        <is>
          <t>중국</t>
        </is>
      </c>
      <c r="H871" s="46" t="inlineStr">
        <is>
          <t>CN</t>
        </is>
      </c>
      <c r="I871" s="49" t="n">
        <v>828</v>
      </c>
      <c r="J871" s="46" t="inlineStr">
        <is>
          <t>EA</t>
        </is>
      </c>
      <c r="K871" s="50" t="n">
        <v>1.82</v>
      </c>
      <c r="L871" s="50" t="n">
        <v>328747.78</v>
      </c>
      <c r="M871" s="46" t="inlineStr">
        <is>
          <t>USD</t>
        </is>
      </c>
      <c r="N871" s="46" t="inlineStr">
        <is>
          <t>FOB</t>
        </is>
      </c>
      <c r="O871" s="46" t="inlineStr">
        <is>
          <t>N</t>
        </is>
      </c>
      <c r="P871" s="50" t="n">
        <v>1452.1919</v>
      </c>
      <c r="Q871" s="49">
        <f>IF(OR(L871="",M871="",P871=""),"",L871*P871)</f>
        <v/>
      </c>
    </row>
    <row r="872" ht="15" customHeight="1" s="32">
      <c r="A872" s="46" t="inlineStr">
        <is>
          <t>R-HB-0871</t>
        </is>
      </c>
      <c r="B872" s="47" t="n">
        <v>45663</v>
      </c>
      <c r="C872" s="46" t="inlineStr">
        <is>
          <t>2025-01</t>
        </is>
      </c>
      <c r="D872" s="46" t="n">
        <v>2025</v>
      </c>
      <c r="E872" s="46" t="inlineStr">
        <is>
          <t>P-HB-003</t>
        </is>
      </c>
      <c r="F872" s="46" t="inlineStr">
        <is>
          <t>C-HB-08</t>
        </is>
      </c>
      <c r="G872" s="48" t="inlineStr">
        <is>
          <t>중국</t>
        </is>
      </c>
      <c r="H872" s="46" t="inlineStr">
        <is>
          <t>CN</t>
        </is>
      </c>
      <c r="I872" s="49" t="n">
        <v>55809</v>
      </c>
      <c r="J872" s="46" t="inlineStr">
        <is>
          <t>EA</t>
        </is>
      </c>
      <c r="K872" s="50" t="n">
        <v>36.28</v>
      </c>
      <c r="L872" s="50" t="n">
        <v>438004.75</v>
      </c>
      <c r="M872" s="46" t="inlineStr">
        <is>
          <t>USD</t>
        </is>
      </c>
      <c r="N872" s="46" t="inlineStr">
        <is>
          <t>FOB</t>
        </is>
      </c>
      <c r="O872" s="46" t="inlineStr">
        <is>
          <t>N</t>
        </is>
      </c>
      <c r="P872" s="50" t="n">
        <v>1452.1919</v>
      </c>
      <c r="Q872" s="49">
        <f>IF(OR(L872="",M872="",P872=""),"",L872*P872)</f>
        <v/>
      </c>
    </row>
    <row r="873" ht="15" customHeight="1" s="32">
      <c r="A873" s="46" t="inlineStr">
        <is>
          <t>R-HB-0872</t>
        </is>
      </c>
      <c r="B873" s="47" t="n">
        <v>45664</v>
      </c>
      <c r="C873" s="46" t="inlineStr">
        <is>
          <t>2025-01</t>
        </is>
      </c>
      <c r="D873" s="46" t="n">
        <v>2025</v>
      </c>
      <c r="E873" s="46" t="inlineStr">
        <is>
          <t>P-HB-001</t>
        </is>
      </c>
      <c r="F873" s="46" t="inlineStr">
        <is>
          <t>C-HB-08</t>
        </is>
      </c>
      <c r="G873" s="48" t="inlineStr">
        <is>
          <t>중국</t>
        </is>
      </c>
      <c r="H873" s="46" t="inlineStr">
        <is>
          <t>CN</t>
        </is>
      </c>
      <c r="I873" s="49" t="n">
        <v>220859</v>
      </c>
      <c r="J873" s="46" t="inlineStr">
        <is>
          <t>EA</t>
        </is>
      </c>
      <c r="K873" s="50" t="n">
        <v>99.39</v>
      </c>
      <c r="L873" s="50" t="n">
        <v>1230821.3</v>
      </c>
      <c r="M873" s="46" t="inlineStr">
        <is>
          <t>USD</t>
        </is>
      </c>
      <c r="N873" s="46" t="inlineStr">
        <is>
          <t>FOB</t>
        </is>
      </c>
      <c r="O873" s="46" t="inlineStr">
        <is>
          <t>N</t>
        </is>
      </c>
      <c r="P873" s="50" t="n">
        <v>1452.1919</v>
      </c>
      <c r="Q873" s="49">
        <f>IF(OR(L873="",M873="",P873=""),"",L873*P873)</f>
        <v/>
      </c>
    </row>
    <row r="874" ht="15" customHeight="1" s="32">
      <c r="A874" s="46" t="inlineStr">
        <is>
          <t>R-HB-0873</t>
        </is>
      </c>
      <c r="B874" s="47" t="n">
        <v>45665</v>
      </c>
      <c r="C874" s="46" t="inlineStr">
        <is>
          <t>2025-01</t>
        </is>
      </c>
      <c r="D874" s="46" t="n">
        <v>2025</v>
      </c>
      <c r="E874" s="46" t="inlineStr">
        <is>
          <t>P-HB-004</t>
        </is>
      </c>
      <c r="F874" s="46" t="inlineStr">
        <is>
          <t>C-HB-08</t>
        </is>
      </c>
      <c r="G874" s="48" t="inlineStr">
        <is>
          <t>중국</t>
        </is>
      </c>
      <c r="H874" s="46" t="inlineStr">
        <is>
          <t>CN</t>
        </is>
      </c>
      <c r="I874" s="49" t="n">
        <v>16914</v>
      </c>
      <c r="J874" s="46" t="inlineStr">
        <is>
          <t>EA</t>
        </is>
      </c>
      <c r="K874" s="50" t="n">
        <v>18.61</v>
      </c>
      <c r="L874" s="50" t="n">
        <v>486279.34</v>
      </c>
      <c r="M874" s="46" t="inlineStr">
        <is>
          <t>USD</t>
        </is>
      </c>
      <c r="N874" s="46" t="inlineStr">
        <is>
          <t>FOB</t>
        </is>
      </c>
      <c r="O874" s="46" t="inlineStr">
        <is>
          <t>N</t>
        </is>
      </c>
      <c r="P874" s="50" t="n">
        <v>1452.1919</v>
      </c>
      <c r="Q874" s="49">
        <f>IF(OR(L874="",M874="",P874=""),"",L874*P874)</f>
        <v/>
      </c>
    </row>
    <row r="875" ht="15" customHeight="1" s="32">
      <c r="A875" s="46" t="inlineStr">
        <is>
          <t>R-HB-0874</t>
        </is>
      </c>
      <c r="B875" s="47" t="n">
        <v>45666</v>
      </c>
      <c r="C875" s="46" t="inlineStr">
        <is>
          <t>2025-01</t>
        </is>
      </c>
      <c r="D875" s="46" t="n">
        <v>2025</v>
      </c>
      <c r="E875" s="46" t="inlineStr">
        <is>
          <t>P-HB-003</t>
        </is>
      </c>
      <c r="F875" s="46" t="inlineStr">
        <is>
          <t>C-HB-03</t>
        </is>
      </c>
      <c r="G875" s="48" t="inlineStr">
        <is>
          <t>멕시코</t>
        </is>
      </c>
      <c r="H875" s="46" t="inlineStr">
        <is>
          <t>MX</t>
        </is>
      </c>
      <c r="I875" s="49" t="n">
        <v>9937</v>
      </c>
      <c r="J875" s="46" t="inlineStr">
        <is>
          <t>EA</t>
        </is>
      </c>
      <c r="K875" s="50" t="n">
        <v>6.46</v>
      </c>
      <c r="L875" s="50" t="n">
        <v>75496.33</v>
      </c>
      <c r="M875" s="46" t="inlineStr">
        <is>
          <t>USD</t>
        </is>
      </c>
      <c r="N875" s="46" t="inlineStr">
        <is>
          <t>FOB</t>
        </is>
      </c>
      <c r="O875" s="46" t="inlineStr">
        <is>
          <t>N</t>
        </is>
      </c>
      <c r="P875" s="50" t="n">
        <v>1452.1919</v>
      </c>
      <c r="Q875" s="49">
        <f>IF(OR(L875="",M875="",P875=""),"",L875*P875)</f>
        <v/>
      </c>
    </row>
    <row r="876" ht="15" customHeight="1" s="32">
      <c r="A876" s="46" t="inlineStr">
        <is>
          <t>R-HB-0875</t>
        </is>
      </c>
      <c r="B876" s="47" t="n">
        <v>45667</v>
      </c>
      <c r="C876" s="46" t="inlineStr">
        <is>
          <t>2025-01</t>
        </is>
      </c>
      <c r="D876" s="46" t="n">
        <v>2025</v>
      </c>
      <c r="E876" s="46" t="inlineStr">
        <is>
          <t>P-HB-004</t>
        </is>
      </c>
      <c r="F876" s="46" t="inlineStr">
        <is>
          <t>C-HB-01</t>
        </is>
      </c>
      <c r="G876" s="48" t="inlineStr">
        <is>
          <t>미국</t>
        </is>
      </c>
      <c r="H876" s="46" t="inlineStr">
        <is>
          <t>US</t>
        </is>
      </c>
      <c r="I876" s="49" t="n">
        <v>16312</v>
      </c>
      <c r="J876" s="46" t="inlineStr">
        <is>
          <t>EA</t>
        </is>
      </c>
      <c r="K876" s="50" t="n">
        <v>17.94</v>
      </c>
      <c r="L876" s="50" t="n">
        <v>438598.73</v>
      </c>
      <c r="M876" s="46" t="inlineStr">
        <is>
          <t>USD</t>
        </is>
      </c>
      <c r="N876" s="46" t="inlineStr">
        <is>
          <t>FOB</t>
        </is>
      </c>
      <c r="O876" s="46" t="inlineStr">
        <is>
          <t>N</t>
        </is>
      </c>
      <c r="P876" s="50" t="n">
        <v>1452.1919</v>
      </c>
      <c r="Q876" s="49">
        <f>IF(OR(L876="",M876="",P876=""),"",L876*P876)</f>
        <v/>
      </c>
    </row>
    <row r="877" ht="15" customHeight="1" s="32">
      <c r="A877" s="46" t="inlineStr">
        <is>
          <t>R-HB-0876</t>
        </is>
      </c>
      <c r="B877" s="47" t="n">
        <v>45667</v>
      </c>
      <c r="C877" s="46" t="inlineStr">
        <is>
          <t>2025-01</t>
        </is>
      </c>
      <c r="D877" s="46" t="n">
        <v>2025</v>
      </c>
      <c r="E877" s="46" t="inlineStr">
        <is>
          <t>P-HB-002</t>
        </is>
      </c>
      <c r="F877" s="46" t="inlineStr">
        <is>
          <t>C-HB-07</t>
        </is>
      </c>
      <c r="G877" s="48" t="inlineStr">
        <is>
          <t>인도</t>
        </is>
      </c>
      <c r="H877" s="46" t="inlineStr">
        <is>
          <t>IN</t>
        </is>
      </c>
      <c r="I877" s="49" t="n">
        <v>559</v>
      </c>
      <c r="J877" s="46" t="inlineStr">
        <is>
          <t>EA</t>
        </is>
      </c>
      <c r="K877" s="50" t="n">
        <v>1.23</v>
      </c>
      <c r="L877" s="50" t="n">
        <v>213256.42</v>
      </c>
      <c r="M877" s="46" t="inlineStr">
        <is>
          <t>USD</t>
        </is>
      </c>
      <c r="N877" s="46" t="inlineStr">
        <is>
          <t>FOB</t>
        </is>
      </c>
      <c r="O877" s="46" t="inlineStr">
        <is>
          <t>N</t>
        </is>
      </c>
      <c r="P877" s="50" t="n">
        <v>1452.1919</v>
      </c>
      <c r="Q877" s="49">
        <f>IF(OR(L877="",M877="",P877=""),"",L877*P877)</f>
        <v/>
      </c>
    </row>
    <row r="878" ht="15" customHeight="1" s="32">
      <c r="A878" s="46" t="inlineStr">
        <is>
          <t>R-HB-0877</t>
        </is>
      </c>
      <c r="B878" s="47" t="n">
        <v>45667</v>
      </c>
      <c r="C878" s="46" t="inlineStr">
        <is>
          <t>2025-01</t>
        </is>
      </c>
      <c r="D878" s="46" t="n">
        <v>2025</v>
      </c>
      <c r="E878" s="46" t="inlineStr">
        <is>
          <t>P-HB-001</t>
        </is>
      </c>
      <c r="F878" s="46" t="inlineStr">
        <is>
          <t>C-HB-09</t>
        </is>
      </c>
      <c r="G878" s="48" t="inlineStr">
        <is>
          <t>중국</t>
        </is>
      </c>
      <c r="H878" s="46" t="inlineStr">
        <is>
          <t>CN</t>
        </is>
      </c>
      <c r="I878" s="49" t="n">
        <v>142600</v>
      </c>
      <c r="J878" s="46" t="inlineStr">
        <is>
          <t>EA</t>
        </is>
      </c>
      <c r="K878" s="50" t="n">
        <v>64.17</v>
      </c>
      <c r="L878" s="50" t="n">
        <v>791179.83</v>
      </c>
      <c r="M878" s="46" t="inlineStr">
        <is>
          <t>USD</t>
        </is>
      </c>
      <c r="N878" s="46" t="inlineStr">
        <is>
          <t>FOB</t>
        </is>
      </c>
      <c r="O878" s="46" t="inlineStr">
        <is>
          <t>N</t>
        </is>
      </c>
      <c r="P878" s="50" t="n">
        <v>1452.1919</v>
      </c>
      <c r="Q878" s="49">
        <f>IF(OR(L878="",M878="",P878=""),"",L878*P878)</f>
        <v/>
      </c>
    </row>
    <row r="879" ht="15" customHeight="1" s="32">
      <c r="A879" s="46" t="inlineStr">
        <is>
          <t>R-HB-0878</t>
        </is>
      </c>
      <c r="B879" s="47" t="n">
        <v>45668</v>
      </c>
      <c r="C879" s="46" t="inlineStr">
        <is>
          <t>2025-01</t>
        </is>
      </c>
      <c r="D879" s="46" t="n">
        <v>2025</v>
      </c>
      <c r="E879" s="46" t="inlineStr">
        <is>
          <t>P-HB-004</t>
        </is>
      </c>
      <c r="F879" s="46" t="inlineStr">
        <is>
          <t>C-HB-09</t>
        </is>
      </c>
      <c r="G879" s="48" t="inlineStr">
        <is>
          <t>중국</t>
        </is>
      </c>
      <c r="H879" s="46" t="inlineStr">
        <is>
          <t>CN</t>
        </is>
      </c>
      <c r="I879" s="49" t="n">
        <v>13110</v>
      </c>
      <c r="J879" s="46" t="inlineStr">
        <is>
          <t>EA</t>
        </is>
      </c>
      <c r="K879" s="50" t="n">
        <v>14.42</v>
      </c>
      <c r="L879" s="50" t="n">
        <v>353137.26</v>
      </c>
      <c r="M879" s="46" t="inlineStr">
        <is>
          <t>USD</t>
        </is>
      </c>
      <c r="N879" s="46" t="inlineStr">
        <is>
          <t>FOB</t>
        </is>
      </c>
      <c r="O879" s="46" t="inlineStr">
        <is>
          <t>N</t>
        </is>
      </c>
      <c r="P879" s="50" t="n">
        <v>1452.1919</v>
      </c>
      <c r="Q879" s="49">
        <f>IF(OR(L879="",M879="",P879=""),"",L879*P879)</f>
        <v/>
      </c>
    </row>
    <row r="880" ht="15" customHeight="1" s="32">
      <c r="A880" s="46" t="inlineStr">
        <is>
          <t>R-HB-0879</t>
        </is>
      </c>
      <c r="B880" s="47" t="n">
        <v>45669</v>
      </c>
      <c r="C880" s="46" t="inlineStr">
        <is>
          <t>2025-01</t>
        </is>
      </c>
      <c r="D880" s="46" t="n">
        <v>2025</v>
      </c>
      <c r="E880" s="46" t="inlineStr">
        <is>
          <t>P-HB-002</t>
        </is>
      </c>
      <c r="F880" s="46" t="inlineStr">
        <is>
          <t>C-HB-03</t>
        </is>
      </c>
      <c r="G880" s="48" t="inlineStr">
        <is>
          <t>멕시코</t>
        </is>
      </c>
      <c r="H880" s="46" t="inlineStr">
        <is>
          <t>MX</t>
        </is>
      </c>
      <c r="I880" s="49" t="n">
        <v>201</v>
      </c>
      <c r="J880" s="46" t="inlineStr">
        <is>
          <t>EA</t>
        </is>
      </c>
      <c r="K880" s="50" t="n">
        <v>0.44</v>
      </c>
      <c r="L880" s="50" t="n">
        <v>74860.27</v>
      </c>
      <c r="M880" s="46" t="inlineStr">
        <is>
          <t>USD</t>
        </is>
      </c>
      <c r="N880" s="46" t="inlineStr">
        <is>
          <t>FOB</t>
        </is>
      </c>
      <c r="O880" s="46" t="inlineStr">
        <is>
          <t>N</t>
        </is>
      </c>
      <c r="P880" s="50" t="n">
        <v>1452.1919</v>
      </c>
      <c r="Q880" s="49">
        <f>IF(OR(L880="",M880="",P880=""),"",L880*P880)</f>
        <v/>
      </c>
    </row>
    <row r="881" ht="15" customHeight="1" s="32">
      <c r="A881" s="46" t="inlineStr">
        <is>
          <t>R-HB-0880</t>
        </is>
      </c>
      <c r="B881" s="47" t="n">
        <v>45670</v>
      </c>
      <c r="C881" s="46" t="inlineStr">
        <is>
          <t>2025-01</t>
        </is>
      </c>
      <c r="D881" s="46" t="n">
        <v>2025</v>
      </c>
      <c r="E881" s="46" t="inlineStr">
        <is>
          <t>P-HB-002</t>
        </is>
      </c>
      <c r="F881" s="46" t="inlineStr">
        <is>
          <t>C-HB-05</t>
        </is>
      </c>
      <c r="G881" s="48" t="inlineStr">
        <is>
          <t>독일</t>
        </is>
      </c>
      <c r="H881" s="46" t="inlineStr">
        <is>
          <t>DE</t>
        </is>
      </c>
      <c r="I881" s="49" t="n">
        <v>880</v>
      </c>
      <c r="J881" s="46" t="inlineStr">
        <is>
          <t>EA</t>
        </is>
      </c>
      <c r="K881" s="50" t="n">
        <v>1.94</v>
      </c>
      <c r="L881" s="50" t="n">
        <v>348543.8</v>
      </c>
      <c r="M881" s="46" t="inlineStr">
        <is>
          <t>USD</t>
        </is>
      </c>
      <c r="N881" s="46" t="inlineStr">
        <is>
          <t>FOB</t>
        </is>
      </c>
      <c r="O881" s="46" t="inlineStr">
        <is>
          <t>N</t>
        </is>
      </c>
      <c r="P881" s="50" t="n">
        <v>1452.1919</v>
      </c>
      <c r="Q881" s="49">
        <f>IF(OR(L881="",M881="",P881=""),"",L881*P881)</f>
        <v/>
      </c>
    </row>
    <row r="882" ht="15" customHeight="1" s="32">
      <c r="A882" s="46" t="inlineStr">
        <is>
          <t>R-HB-0881</t>
        </is>
      </c>
      <c r="B882" s="47" t="n">
        <v>45671</v>
      </c>
      <c r="C882" s="46" t="inlineStr">
        <is>
          <t>2025-01</t>
        </is>
      </c>
      <c r="D882" s="46" t="n">
        <v>2025</v>
      </c>
      <c r="E882" s="46" t="inlineStr">
        <is>
          <t>P-HB-001</t>
        </is>
      </c>
      <c r="F882" s="46" t="inlineStr">
        <is>
          <t>C-HB-01</t>
        </is>
      </c>
      <c r="G882" s="48" t="inlineStr">
        <is>
          <t>미국</t>
        </is>
      </c>
      <c r="H882" s="46" t="inlineStr">
        <is>
          <t>US</t>
        </is>
      </c>
      <c r="I882" s="49" t="n">
        <v>187501</v>
      </c>
      <c r="J882" s="46" t="inlineStr">
        <is>
          <t>EA</t>
        </is>
      </c>
      <c r="K882" s="50" t="n">
        <v>84.38</v>
      </c>
      <c r="L882" s="50" t="n">
        <v>1009615.8</v>
      </c>
      <c r="M882" s="46" t="inlineStr">
        <is>
          <t>USD</t>
        </is>
      </c>
      <c r="N882" s="46" t="inlineStr">
        <is>
          <t>FOB</t>
        </is>
      </c>
      <c r="O882" s="46" t="inlineStr">
        <is>
          <t>N</t>
        </is>
      </c>
      <c r="P882" s="50" t="n">
        <v>1452.1919</v>
      </c>
      <c r="Q882" s="49">
        <f>IF(OR(L882="",M882="",P882=""),"",L882*P882)</f>
        <v/>
      </c>
    </row>
    <row r="883" ht="15" customHeight="1" s="32">
      <c r="A883" s="46" t="inlineStr">
        <is>
          <t>R-HB-0882</t>
        </is>
      </c>
      <c r="B883" s="47" t="n">
        <v>45673</v>
      </c>
      <c r="C883" s="46" t="inlineStr">
        <is>
          <t>2025-01</t>
        </is>
      </c>
      <c r="D883" s="46" t="n">
        <v>2025</v>
      </c>
      <c r="E883" s="46" t="inlineStr">
        <is>
          <t>P-HB-002</t>
        </is>
      </c>
      <c r="F883" s="46" t="inlineStr">
        <is>
          <t>C-HB-04</t>
        </is>
      </c>
      <c r="G883" s="48" t="inlineStr">
        <is>
          <t>캐나다</t>
        </is>
      </c>
      <c r="H883" s="46" t="inlineStr">
        <is>
          <t>CA</t>
        </is>
      </c>
      <c r="I883" s="49" t="n">
        <v>108</v>
      </c>
      <c r="J883" s="46" t="inlineStr">
        <is>
          <t>EA</t>
        </is>
      </c>
      <c r="K883" s="50" t="n">
        <v>0.24</v>
      </c>
      <c r="L883" s="50" t="n">
        <v>40987.71</v>
      </c>
      <c r="M883" s="46" t="inlineStr">
        <is>
          <t>USD</t>
        </is>
      </c>
      <c r="N883" s="46" t="inlineStr">
        <is>
          <t>FOB</t>
        </is>
      </c>
      <c r="O883" s="46" t="inlineStr">
        <is>
          <t>N</t>
        </is>
      </c>
      <c r="P883" s="50" t="n">
        <v>1452.1919</v>
      </c>
      <c r="Q883" s="49">
        <f>IF(OR(L883="",M883="",P883=""),"",L883*P883)</f>
        <v/>
      </c>
    </row>
    <row r="884" ht="15" customHeight="1" s="32">
      <c r="A884" s="46" t="inlineStr">
        <is>
          <t>R-HB-0883</t>
        </is>
      </c>
      <c r="B884" s="47" t="n">
        <v>45676</v>
      </c>
      <c r="C884" s="46" t="inlineStr">
        <is>
          <t>2025-01</t>
        </is>
      </c>
      <c r="D884" s="46" t="n">
        <v>2025</v>
      </c>
      <c r="E884" s="46" t="inlineStr">
        <is>
          <t>P-HB-003</t>
        </is>
      </c>
      <c r="F884" s="46" t="inlineStr">
        <is>
          <t>C-HB-05</t>
        </is>
      </c>
      <c r="G884" s="48" t="inlineStr">
        <is>
          <t>독일</t>
        </is>
      </c>
      <c r="H884" s="46" t="inlineStr">
        <is>
          <t>DE</t>
        </is>
      </c>
      <c r="I884" s="49" t="n">
        <v>41512</v>
      </c>
      <c r="J884" s="46" t="inlineStr">
        <is>
          <t>EA</t>
        </is>
      </c>
      <c r="K884" s="50" t="n">
        <v>26.98</v>
      </c>
      <c r="L884" s="50" t="n">
        <v>323356.21</v>
      </c>
      <c r="M884" s="46" t="inlineStr">
        <is>
          <t>USD</t>
        </is>
      </c>
      <c r="N884" s="46" t="inlineStr">
        <is>
          <t>FOB</t>
        </is>
      </c>
      <c r="O884" s="46" t="inlineStr">
        <is>
          <t>N</t>
        </is>
      </c>
      <c r="P884" s="50" t="n">
        <v>1452.1919</v>
      </c>
      <c r="Q884" s="49">
        <f>IF(OR(L884="",M884="",P884=""),"",L884*P884)</f>
        <v/>
      </c>
    </row>
    <row r="885" ht="15" customHeight="1" s="32">
      <c r="A885" s="46" t="inlineStr">
        <is>
          <t>R-HB-0884</t>
        </is>
      </c>
      <c r="B885" s="47" t="n">
        <v>45678</v>
      </c>
      <c r="C885" s="46" t="inlineStr">
        <is>
          <t>2025-01</t>
        </is>
      </c>
      <c r="D885" s="46" t="n">
        <v>2025</v>
      </c>
      <c r="E885" s="46" t="inlineStr">
        <is>
          <t>P-HB-003</t>
        </is>
      </c>
      <c r="F885" s="46" t="inlineStr">
        <is>
          <t>C-HB-02</t>
        </is>
      </c>
      <c r="G885" s="48" t="inlineStr">
        <is>
          <t>미국</t>
        </is>
      </c>
      <c r="H885" s="46" t="inlineStr">
        <is>
          <t>US</t>
        </is>
      </c>
      <c r="I885" s="49" t="n">
        <v>25432</v>
      </c>
      <c r="J885" s="46" t="inlineStr">
        <is>
          <t>EA</t>
        </is>
      </c>
      <c r="K885" s="50" t="n">
        <v>16.53</v>
      </c>
      <c r="L885" s="50" t="n">
        <v>197996.88</v>
      </c>
      <c r="M885" s="46" t="inlineStr">
        <is>
          <t>USD</t>
        </is>
      </c>
      <c r="N885" s="46" t="inlineStr">
        <is>
          <t>FOB</t>
        </is>
      </c>
      <c r="O885" s="46" t="inlineStr">
        <is>
          <t>N</t>
        </is>
      </c>
      <c r="P885" s="50" t="n">
        <v>1452.1919</v>
      </c>
      <c r="Q885" s="49">
        <f>IF(OR(L885="",M885="",P885=""),"",L885*P885)</f>
        <v/>
      </c>
    </row>
    <row r="886" ht="15" customHeight="1" s="32">
      <c r="A886" s="46" t="inlineStr">
        <is>
          <t>R-HB-0885</t>
        </is>
      </c>
      <c r="B886" s="47" t="n">
        <v>45678</v>
      </c>
      <c r="C886" s="46" t="inlineStr">
        <is>
          <t>2025-01</t>
        </is>
      </c>
      <c r="D886" s="46" t="n">
        <v>2025</v>
      </c>
      <c r="E886" s="46" t="inlineStr">
        <is>
          <t>P-HB-004</t>
        </is>
      </c>
      <c r="F886" s="46" t="inlineStr">
        <is>
          <t>C-HB-05</t>
        </is>
      </c>
      <c r="G886" s="48" t="inlineStr">
        <is>
          <t>독일</t>
        </is>
      </c>
      <c r="H886" s="46" t="inlineStr">
        <is>
          <t>DE</t>
        </is>
      </c>
      <c r="I886" s="49" t="n">
        <v>13014</v>
      </c>
      <c r="J886" s="46" t="inlineStr">
        <is>
          <t>EA</t>
        </is>
      </c>
      <c r="K886" s="50" t="n">
        <v>14.32</v>
      </c>
      <c r="L886" s="50" t="n">
        <v>375457.16</v>
      </c>
      <c r="M886" s="46" t="inlineStr">
        <is>
          <t>USD</t>
        </is>
      </c>
      <c r="N886" s="46" t="inlineStr">
        <is>
          <t>FOB</t>
        </is>
      </c>
      <c r="O886" s="46" t="inlineStr">
        <is>
          <t>N</t>
        </is>
      </c>
      <c r="P886" s="50" t="n">
        <v>1452.1919</v>
      </c>
      <c r="Q886" s="49">
        <f>IF(OR(L886="",M886="",P886=""),"",L886*P886)</f>
        <v/>
      </c>
    </row>
    <row r="887" ht="15" customHeight="1" s="32">
      <c r="A887" s="46" t="inlineStr">
        <is>
          <t>R-HB-0886</t>
        </is>
      </c>
      <c r="B887" s="47" t="n">
        <v>45678</v>
      </c>
      <c r="C887" s="46" t="inlineStr">
        <is>
          <t>2025-01</t>
        </is>
      </c>
      <c r="D887" s="46" t="n">
        <v>2025</v>
      </c>
      <c r="E887" s="46" t="inlineStr">
        <is>
          <t>P-HB-003</t>
        </is>
      </c>
      <c r="F887" s="46" t="inlineStr">
        <is>
          <t>C-HB-06</t>
        </is>
      </c>
      <c r="G887" s="48" t="inlineStr">
        <is>
          <t>베트남</t>
        </is>
      </c>
      <c r="H887" s="46" t="inlineStr">
        <is>
          <t>VN</t>
        </is>
      </c>
      <c r="I887" s="49" t="n">
        <v>38759</v>
      </c>
      <c r="J887" s="46" t="inlineStr">
        <is>
          <t>EA</t>
        </is>
      </c>
      <c r="K887" s="50" t="n">
        <v>25.19</v>
      </c>
      <c r="L887" s="50" t="n">
        <v>296897.56</v>
      </c>
      <c r="M887" s="46" t="inlineStr">
        <is>
          <t>USD</t>
        </is>
      </c>
      <c r="N887" s="46" t="inlineStr">
        <is>
          <t>FOB</t>
        </is>
      </c>
      <c r="O887" s="46" t="inlineStr">
        <is>
          <t>N</t>
        </is>
      </c>
      <c r="P887" s="50" t="n">
        <v>1452.1919</v>
      </c>
      <c r="Q887" s="49">
        <f>IF(OR(L887="",M887="",P887=""),"",L887*P887)</f>
        <v/>
      </c>
    </row>
    <row r="888" ht="15" customHeight="1" s="32">
      <c r="A888" s="46" t="inlineStr">
        <is>
          <t>R-HB-0887</t>
        </is>
      </c>
      <c r="B888" s="47" t="n">
        <v>45678</v>
      </c>
      <c r="C888" s="46" t="inlineStr">
        <is>
          <t>2025-01</t>
        </is>
      </c>
      <c r="D888" s="46" t="n">
        <v>2025</v>
      </c>
      <c r="E888" s="46" t="inlineStr">
        <is>
          <t>P-HB-002</t>
        </is>
      </c>
      <c r="F888" s="46" t="inlineStr">
        <is>
          <t>C-HB-08</t>
        </is>
      </c>
      <c r="G888" s="48" t="inlineStr">
        <is>
          <t>중국</t>
        </is>
      </c>
      <c r="H888" s="46" t="inlineStr">
        <is>
          <t>CN</t>
        </is>
      </c>
      <c r="I888" s="49" t="n">
        <v>1328</v>
      </c>
      <c r="J888" s="46" t="inlineStr">
        <is>
          <t>EA</t>
        </is>
      </c>
      <c r="K888" s="50" t="n">
        <v>2.92</v>
      </c>
      <c r="L888" s="50" t="n">
        <v>491686.66</v>
      </c>
      <c r="M888" s="46" t="inlineStr">
        <is>
          <t>USD</t>
        </is>
      </c>
      <c r="N888" s="46" t="inlineStr">
        <is>
          <t>FOB</t>
        </is>
      </c>
      <c r="O888" s="46" t="inlineStr">
        <is>
          <t>N</t>
        </is>
      </c>
      <c r="P888" s="50" t="n">
        <v>1452.1919</v>
      </c>
      <c r="Q888" s="49">
        <f>IF(OR(L888="",M888="",P888=""),"",L888*P888)</f>
        <v/>
      </c>
    </row>
    <row r="889" ht="15" customHeight="1" s="32">
      <c r="A889" s="46" t="inlineStr">
        <is>
          <t>R-HB-0888</t>
        </is>
      </c>
      <c r="B889" s="47" t="n">
        <v>45679</v>
      </c>
      <c r="C889" s="46" t="inlineStr">
        <is>
          <t>2025-01</t>
        </is>
      </c>
      <c r="D889" s="46" t="n">
        <v>2025</v>
      </c>
      <c r="E889" s="46" t="inlineStr">
        <is>
          <t>P-HB-002</t>
        </is>
      </c>
      <c r="F889" s="46" t="inlineStr">
        <is>
          <t>C-HB-01</t>
        </is>
      </c>
      <c r="G889" s="48" t="inlineStr">
        <is>
          <t>미국</t>
        </is>
      </c>
      <c r="H889" s="46" t="inlineStr">
        <is>
          <t>US</t>
        </is>
      </c>
      <c r="I889" s="49" t="n">
        <v>1044</v>
      </c>
      <c r="J889" s="46" t="inlineStr">
        <is>
          <t>EA</t>
        </is>
      </c>
      <c r="K889" s="50" t="n">
        <v>2.3</v>
      </c>
      <c r="L889" s="50" t="n">
        <v>405886.76</v>
      </c>
      <c r="M889" s="46" t="inlineStr">
        <is>
          <t>USD</t>
        </is>
      </c>
      <c r="N889" s="46" t="inlineStr">
        <is>
          <t>FOB</t>
        </is>
      </c>
      <c r="O889" s="46" t="inlineStr">
        <is>
          <t>N</t>
        </is>
      </c>
      <c r="P889" s="50" t="n">
        <v>1452.1919</v>
      </c>
      <c r="Q889" s="49">
        <f>IF(OR(L889="",M889="",P889=""),"",L889*P889)</f>
        <v/>
      </c>
    </row>
    <row r="890" ht="15" customHeight="1" s="32">
      <c r="A890" s="46" t="inlineStr">
        <is>
          <t>R-HB-0889</t>
        </is>
      </c>
      <c r="B890" s="47" t="n">
        <v>45679</v>
      </c>
      <c r="C890" s="46" t="inlineStr">
        <is>
          <t>2025-01</t>
        </is>
      </c>
      <c r="D890" s="46" t="n">
        <v>2025</v>
      </c>
      <c r="E890" s="46" t="inlineStr">
        <is>
          <t>P-HB-003</t>
        </is>
      </c>
      <c r="F890" s="46" t="inlineStr">
        <is>
          <t>C-HB-01</t>
        </is>
      </c>
      <c r="G890" s="48" t="inlineStr">
        <is>
          <t>미국</t>
        </is>
      </c>
      <c r="H890" s="46" t="inlineStr">
        <is>
          <t>US</t>
        </is>
      </c>
      <c r="I890" s="49" t="n">
        <v>51546</v>
      </c>
      <c r="J890" s="46" t="inlineStr">
        <is>
          <t>EA</t>
        </is>
      </c>
      <c r="K890" s="50" t="n">
        <v>33.5</v>
      </c>
      <c r="L890" s="50" t="n">
        <v>419097.04</v>
      </c>
      <c r="M890" s="46" t="inlineStr">
        <is>
          <t>USD</t>
        </is>
      </c>
      <c r="N890" s="46" t="inlineStr">
        <is>
          <t>FOB</t>
        </is>
      </c>
      <c r="O890" s="46" t="inlineStr">
        <is>
          <t>N</t>
        </is>
      </c>
      <c r="P890" s="50" t="n">
        <v>1452.1919</v>
      </c>
      <c r="Q890" s="49">
        <f>IF(OR(L890="",M890="",P890=""),"",L890*P890)</f>
        <v/>
      </c>
    </row>
    <row r="891" ht="15" customHeight="1" s="32">
      <c r="A891" s="46" t="inlineStr">
        <is>
          <t>R-HB-0890</t>
        </is>
      </c>
      <c r="B891" s="47" t="n">
        <v>45679</v>
      </c>
      <c r="C891" s="46" t="inlineStr">
        <is>
          <t>2025-01</t>
        </is>
      </c>
      <c r="D891" s="46" t="n">
        <v>2025</v>
      </c>
      <c r="E891" s="46" t="inlineStr">
        <is>
          <t>P-HB-002</t>
        </is>
      </c>
      <c r="F891" s="46" t="inlineStr">
        <is>
          <t>C-HB-02</t>
        </is>
      </c>
      <c r="G891" s="48" t="inlineStr">
        <is>
          <t>미국</t>
        </is>
      </c>
      <c r="H891" s="46" t="inlineStr">
        <is>
          <t>US</t>
        </is>
      </c>
      <c r="I891" s="49" t="n">
        <v>570</v>
      </c>
      <c r="J891" s="46" t="inlineStr">
        <is>
          <t>EA</t>
        </is>
      </c>
      <c r="K891" s="50" t="n">
        <v>1.25</v>
      </c>
      <c r="L891" s="50" t="n">
        <v>214588.09</v>
      </c>
      <c r="M891" s="46" t="inlineStr">
        <is>
          <t>USD</t>
        </is>
      </c>
      <c r="N891" s="46" t="inlineStr">
        <is>
          <t>FOB</t>
        </is>
      </c>
      <c r="O891" s="46" t="inlineStr">
        <is>
          <t>N</t>
        </is>
      </c>
      <c r="P891" s="50" t="n">
        <v>1452.1919</v>
      </c>
      <c r="Q891" s="49">
        <f>IF(OR(L891="",M891="",P891=""),"",L891*P891)</f>
        <v/>
      </c>
    </row>
    <row r="892" ht="15" customHeight="1" s="32">
      <c r="A892" s="46" t="inlineStr">
        <is>
          <t>R-HB-0891</t>
        </is>
      </c>
      <c r="B892" s="47" t="n">
        <v>45679</v>
      </c>
      <c r="C892" s="46" t="inlineStr">
        <is>
          <t>2025-01</t>
        </is>
      </c>
      <c r="D892" s="46" t="n">
        <v>2025</v>
      </c>
      <c r="E892" s="46" t="inlineStr">
        <is>
          <t>P-HB-004</t>
        </is>
      </c>
      <c r="F892" s="46" t="inlineStr">
        <is>
          <t>C-HB-03</t>
        </is>
      </c>
      <c r="G892" s="48" t="inlineStr">
        <is>
          <t>멕시코</t>
        </is>
      </c>
      <c r="H892" s="46" t="inlineStr">
        <is>
          <t>MX</t>
        </is>
      </c>
      <c r="I892" s="49" t="n">
        <v>2888</v>
      </c>
      <c r="J892" s="46" t="inlineStr">
        <is>
          <t>EA</t>
        </is>
      </c>
      <c r="K892" s="50" t="n">
        <v>3.18</v>
      </c>
      <c r="L892" s="50" t="n">
        <v>83456.03</v>
      </c>
      <c r="M892" s="46" t="inlineStr">
        <is>
          <t>USD</t>
        </is>
      </c>
      <c r="N892" s="46" t="inlineStr">
        <is>
          <t>FOB</t>
        </is>
      </c>
      <c r="O892" s="46" t="inlineStr">
        <is>
          <t>N</t>
        </is>
      </c>
      <c r="P892" s="50" t="n">
        <v>1452.1919</v>
      </c>
      <c r="Q892" s="49">
        <f>IF(OR(L892="",M892="",P892=""),"",L892*P892)</f>
        <v/>
      </c>
    </row>
    <row r="893" ht="15" customHeight="1" s="32">
      <c r="A893" s="46" t="inlineStr">
        <is>
          <t>R-HB-0892</t>
        </is>
      </c>
      <c r="B893" s="47" t="n">
        <v>45679</v>
      </c>
      <c r="C893" s="46" t="inlineStr">
        <is>
          <t>2025-01</t>
        </is>
      </c>
      <c r="D893" s="46" t="n">
        <v>2025</v>
      </c>
      <c r="E893" s="46" t="inlineStr">
        <is>
          <t>P-HB-004</t>
        </is>
      </c>
      <c r="F893" s="46" t="inlineStr">
        <is>
          <t>C-HB-06</t>
        </is>
      </c>
      <c r="G893" s="48" t="inlineStr">
        <is>
          <t>베트남</t>
        </is>
      </c>
      <c r="H893" s="46" t="inlineStr">
        <is>
          <t>VN</t>
        </is>
      </c>
      <c r="I893" s="49" t="n">
        <v>10676</v>
      </c>
      <c r="J893" s="46" t="inlineStr">
        <is>
          <t>EA</t>
        </is>
      </c>
      <c r="K893" s="50" t="n">
        <v>11.74</v>
      </c>
      <c r="L893" s="50" t="n">
        <v>309931.32</v>
      </c>
      <c r="M893" s="46" t="inlineStr">
        <is>
          <t>USD</t>
        </is>
      </c>
      <c r="N893" s="46" t="inlineStr">
        <is>
          <t>FOB</t>
        </is>
      </c>
      <c r="O893" s="46" t="inlineStr">
        <is>
          <t>N</t>
        </is>
      </c>
      <c r="P893" s="50" t="n">
        <v>1452.1919</v>
      </c>
      <c r="Q893" s="49">
        <f>IF(OR(L893="",M893="",P893=""),"",L893*P893)</f>
        <v/>
      </c>
    </row>
    <row r="894" ht="15" customHeight="1" s="32">
      <c r="A894" s="46" t="inlineStr">
        <is>
          <t>R-HB-0893</t>
        </is>
      </c>
      <c r="B894" s="47" t="n">
        <v>45679</v>
      </c>
      <c r="C894" s="46" t="inlineStr">
        <is>
          <t>2025-01</t>
        </is>
      </c>
      <c r="D894" s="46" t="n">
        <v>2025</v>
      </c>
      <c r="E894" s="46" t="inlineStr">
        <is>
          <t>P-HB-003</t>
        </is>
      </c>
      <c r="F894" s="46" t="inlineStr">
        <is>
          <t>C-HB-09</t>
        </is>
      </c>
      <c r="G894" s="48" t="inlineStr">
        <is>
          <t>중국</t>
        </is>
      </c>
      <c r="H894" s="46" t="inlineStr">
        <is>
          <t>CN</t>
        </is>
      </c>
      <c r="I894" s="49" t="n">
        <v>37896</v>
      </c>
      <c r="J894" s="46" t="inlineStr">
        <is>
          <t>EA</t>
        </is>
      </c>
      <c r="K894" s="50" t="n">
        <v>24.63</v>
      </c>
      <c r="L894" s="50" t="n">
        <v>288397.54</v>
      </c>
      <c r="M894" s="46" t="inlineStr">
        <is>
          <t>USD</t>
        </is>
      </c>
      <c r="N894" s="46" t="inlineStr">
        <is>
          <t>FOB</t>
        </is>
      </c>
      <c r="O894" s="46" t="inlineStr">
        <is>
          <t>N</t>
        </is>
      </c>
      <c r="P894" s="50" t="n">
        <v>1452.1919</v>
      </c>
      <c r="Q894" s="49">
        <f>IF(OR(L894="",M894="",P894=""),"",L894*P894)</f>
        <v/>
      </c>
    </row>
    <row r="895" ht="15" customHeight="1" s="32">
      <c r="A895" s="46" t="inlineStr">
        <is>
          <t>R-HB-0894</t>
        </is>
      </c>
      <c r="B895" s="47" t="n">
        <v>45680</v>
      </c>
      <c r="C895" s="46" t="inlineStr">
        <is>
          <t>2025-01</t>
        </is>
      </c>
      <c r="D895" s="46" t="n">
        <v>2025</v>
      </c>
      <c r="E895" s="46" t="inlineStr">
        <is>
          <t>P-HB-001</t>
        </is>
      </c>
      <c r="F895" s="46" t="inlineStr">
        <is>
          <t>C-HB-07</t>
        </is>
      </c>
      <c r="G895" s="48" t="inlineStr">
        <is>
          <t>인도</t>
        </is>
      </c>
      <c r="H895" s="46" t="inlineStr">
        <is>
          <t>IN</t>
        </is>
      </c>
      <c r="I895" s="49" t="n">
        <v>84306</v>
      </c>
      <c r="J895" s="46" t="inlineStr">
        <is>
          <t>EA</t>
        </is>
      </c>
      <c r="K895" s="50" t="n">
        <v>37.94</v>
      </c>
      <c r="L895" s="50" t="n">
        <v>457716.2</v>
      </c>
      <c r="M895" s="46" t="inlineStr">
        <is>
          <t>USD</t>
        </is>
      </c>
      <c r="N895" s="46" t="inlineStr">
        <is>
          <t>FOB</t>
        </is>
      </c>
      <c r="O895" s="46" t="inlineStr">
        <is>
          <t>N</t>
        </is>
      </c>
      <c r="P895" s="50" t="n">
        <v>1452.1919</v>
      </c>
      <c r="Q895" s="49">
        <f>IF(OR(L895="",M895="",P895=""),"",L895*P895)</f>
        <v/>
      </c>
    </row>
    <row r="896" ht="15" customHeight="1" s="32">
      <c r="A896" s="46" t="inlineStr">
        <is>
          <t>R-HB-0895</t>
        </is>
      </c>
      <c r="B896" s="47" t="n">
        <v>45681</v>
      </c>
      <c r="C896" s="46" t="inlineStr">
        <is>
          <t>2025-01</t>
        </is>
      </c>
      <c r="D896" s="46" t="n">
        <v>2025</v>
      </c>
      <c r="E896" s="46" t="inlineStr">
        <is>
          <t>P-HB-001</t>
        </is>
      </c>
      <c r="F896" s="46" t="inlineStr">
        <is>
          <t>C-HB-02</t>
        </is>
      </c>
      <c r="G896" s="48" t="inlineStr">
        <is>
          <t>미국</t>
        </is>
      </c>
      <c r="H896" s="46" t="inlineStr">
        <is>
          <t>US</t>
        </is>
      </c>
      <c r="I896" s="49" t="n">
        <v>91028</v>
      </c>
      <c r="J896" s="46" t="inlineStr">
        <is>
          <t>EA</t>
        </is>
      </c>
      <c r="K896" s="50" t="n">
        <v>40.96</v>
      </c>
      <c r="L896" s="50" t="n">
        <v>504604.8</v>
      </c>
      <c r="M896" s="46" t="inlineStr">
        <is>
          <t>USD</t>
        </is>
      </c>
      <c r="N896" s="46" t="inlineStr">
        <is>
          <t>FOB</t>
        </is>
      </c>
      <c r="O896" s="46" t="inlineStr">
        <is>
          <t>N</t>
        </is>
      </c>
      <c r="P896" s="50" t="n">
        <v>1452.1919</v>
      </c>
      <c r="Q896" s="49">
        <f>IF(OR(L896="",M896="",P896=""),"",L896*P896)</f>
        <v/>
      </c>
    </row>
    <row r="897" ht="15" customHeight="1" s="32">
      <c r="A897" s="46" t="inlineStr">
        <is>
          <t>R-HB-0896</t>
        </is>
      </c>
      <c r="B897" s="47" t="n">
        <v>45682</v>
      </c>
      <c r="C897" s="46" t="inlineStr">
        <is>
          <t>2025-01</t>
        </is>
      </c>
      <c r="D897" s="46" t="n">
        <v>2025</v>
      </c>
      <c r="E897" s="46" t="inlineStr">
        <is>
          <t>P-HB-001</t>
        </is>
      </c>
      <c r="F897" s="46" t="inlineStr">
        <is>
          <t>C-HB-04</t>
        </is>
      </c>
      <c r="G897" s="48" t="inlineStr">
        <is>
          <t>캐나다</t>
        </is>
      </c>
      <c r="H897" s="46" t="inlineStr">
        <is>
          <t>CA</t>
        </is>
      </c>
      <c r="I897" s="49" t="n">
        <v>18031</v>
      </c>
      <c r="J897" s="46" t="inlineStr">
        <is>
          <t>EA</t>
        </is>
      </c>
      <c r="K897" s="50" t="n">
        <v>8.109999999999999</v>
      </c>
      <c r="L897" s="50" t="n">
        <v>97330.69</v>
      </c>
      <c r="M897" s="46" t="inlineStr">
        <is>
          <t>USD</t>
        </is>
      </c>
      <c r="N897" s="46" t="inlineStr">
        <is>
          <t>FOB</t>
        </is>
      </c>
      <c r="O897" s="46" t="inlineStr">
        <is>
          <t>N</t>
        </is>
      </c>
      <c r="P897" s="50" t="n">
        <v>1452.1919</v>
      </c>
      <c r="Q897" s="49">
        <f>IF(OR(L897="",M897="",P897=""),"",L897*P897)</f>
        <v/>
      </c>
    </row>
    <row r="898" ht="15" customHeight="1" s="32">
      <c r="A898" s="46" t="inlineStr">
        <is>
          <t>R-HB-0897</t>
        </is>
      </c>
      <c r="B898" s="47" t="n">
        <v>45683</v>
      </c>
      <c r="C898" s="46" t="inlineStr">
        <is>
          <t>2025-01</t>
        </is>
      </c>
      <c r="D898" s="46" t="n">
        <v>2025</v>
      </c>
      <c r="E898" s="46" t="inlineStr">
        <is>
          <t>P-HB-004</t>
        </is>
      </c>
      <c r="F898" s="46" t="inlineStr">
        <is>
          <t>C-HB-02</t>
        </is>
      </c>
      <c r="G898" s="48" t="inlineStr">
        <is>
          <t>미국</t>
        </is>
      </c>
      <c r="H898" s="46" t="inlineStr">
        <is>
          <t>US</t>
        </is>
      </c>
      <c r="I898" s="49" t="n">
        <v>9606</v>
      </c>
      <c r="J898" s="46" t="inlineStr">
        <is>
          <t>EA</t>
        </is>
      </c>
      <c r="K898" s="50" t="n">
        <v>10.57</v>
      </c>
      <c r="L898" s="50" t="n">
        <v>260857.93</v>
      </c>
      <c r="M898" s="46" t="inlineStr">
        <is>
          <t>USD</t>
        </is>
      </c>
      <c r="N898" s="46" t="inlineStr">
        <is>
          <t>FOB</t>
        </is>
      </c>
      <c r="O898" s="46" t="inlineStr">
        <is>
          <t>N</t>
        </is>
      </c>
      <c r="P898" s="50" t="n">
        <v>1452.1919</v>
      </c>
      <c r="Q898" s="49">
        <f>IF(OR(L898="",M898="",P898=""),"",L898*P898)</f>
        <v/>
      </c>
    </row>
    <row r="899" ht="15" customHeight="1" s="32">
      <c r="A899" s="46" t="inlineStr">
        <is>
          <t>R-HB-0898</t>
        </is>
      </c>
      <c r="B899" s="47" t="n">
        <v>45683</v>
      </c>
      <c r="C899" s="46" t="inlineStr">
        <is>
          <t>2025-01</t>
        </is>
      </c>
      <c r="D899" s="46" t="n">
        <v>2025</v>
      </c>
      <c r="E899" s="46" t="inlineStr">
        <is>
          <t>P-HB-003</t>
        </is>
      </c>
      <c r="F899" s="46" t="inlineStr">
        <is>
          <t>C-HB-04</t>
        </is>
      </c>
      <c r="G899" s="48" t="inlineStr">
        <is>
          <t>캐나다</t>
        </is>
      </c>
      <c r="H899" s="46" t="inlineStr">
        <is>
          <t>CA</t>
        </is>
      </c>
      <c r="I899" s="49" t="n">
        <v>4486</v>
      </c>
      <c r="J899" s="46" t="inlineStr">
        <is>
          <t>EA</t>
        </is>
      </c>
      <c r="K899" s="50" t="n">
        <v>2.92</v>
      </c>
      <c r="L899" s="50" t="n">
        <v>35883.12</v>
      </c>
      <c r="M899" s="46" t="inlineStr">
        <is>
          <t>USD</t>
        </is>
      </c>
      <c r="N899" s="46" t="inlineStr">
        <is>
          <t>FOB</t>
        </is>
      </c>
      <c r="O899" s="46" t="inlineStr">
        <is>
          <t>N</t>
        </is>
      </c>
      <c r="P899" s="50" t="n">
        <v>1452.1919</v>
      </c>
      <c r="Q899" s="49">
        <f>IF(OR(L899="",M899="",P899=""),"",L899*P899)</f>
        <v/>
      </c>
    </row>
    <row r="900" ht="15" customHeight="1" s="32">
      <c r="A900" s="46" t="inlineStr">
        <is>
          <t>R-HB-0899</t>
        </is>
      </c>
      <c r="B900" s="47" t="n">
        <v>45683</v>
      </c>
      <c r="C900" s="46" t="inlineStr">
        <is>
          <t>2025-01</t>
        </is>
      </c>
      <c r="D900" s="46" t="n">
        <v>2025</v>
      </c>
      <c r="E900" s="46" t="inlineStr">
        <is>
          <t>P-HB-002</t>
        </is>
      </c>
      <c r="F900" s="46" t="inlineStr">
        <is>
          <t>C-HB-06</t>
        </is>
      </c>
      <c r="G900" s="48" t="inlineStr">
        <is>
          <t>베트남</t>
        </is>
      </c>
      <c r="H900" s="46" t="inlineStr">
        <is>
          <t>VN</t>
        </is>
      </c>
      <c r="I900" s="49" t="n">
        <v>766</v>
      </c>
      <c r="J900" s="46" t="inlineStr">
        <is>
          <t>EA</t>
        </is>
      </c>
      <c r="K900" s="50" t="n">
        <v>1.69</v>
      </c>
      <c r="L900" s="50" t="n">
        <v>295786.99</v>
      </c>
      <c r="M900" s="46" t="inlineStr">
        <is>
          <t>USD</t>
        </is>
      </c>
      <c r="N900" s="46" t="inlineStr">
        <is>
          <t>FOB</t>
        </is>
      </c>
      <c r="O900" s="46" t="inlineStr">
        <is>
          <t>N</t>
        </is>
      </c>
      <c r="P900" s="50" t="n">
        <v>1452.1919</v>
      </c>
      <c r="Q900" s="49">
        <f>IF(OR(L900="",M900="",P900=""),"",L900*P900)</f>
        <v/>
      </c>
    </row>
    <row r="901" ht="15" customHeight="1" s="32">
      <c r="A901" s="46" t="inlineStr">
        <is>
          <t>R-HB-0900</t>
        </is>
      </c>
      <c r="B901" s="47" t="n">
        <v>45683</v>
      </c>
      <c r="C901" s="46" t="inlineStr">
        <is>
          <t>2025-01</t>
        </is>
      </c>
      <c r="D901" s="46" t="n">
        <v>2025</v>
      </c>
      <c r="E901" s="46" t="inlineStr">
        <is>
          <t>P-HB-003</t>
        </is>
      </c>
      <c r="F901" s="46" t="inlineStr">
        <is>
          <t>C-HB-07</t>
        </is>
      </c>
      <c r="G901" s="48" t="inlineStr">
        <is>
          <t>인도</t>
        </is>
      </c>
      <c r="H901" s="46" t="inlineStr">
        <is>
          <t>IN</t>
        </is>
      </c>
      <c r="I901" s="49" t="n">
        <v>25599</v>
      </c>
      <c r="J901" s="46" t="inlineStr">
        <is>
          <t>EA</t>
        </is>
      </c>
      <c r="K901" s="50" t="n">
        <v>16.64</v>
      </c>
      <c r="L901" s="50" t="n">
        <v>196465.33</v>
      </c>
      <c r="M901" s="46" t="inlineStr">
        <is>
          <t>USD</t>
        </is>
      </c>
      <c r="N901" s="46" t="inlineStr">
        <is>
          <t>FOB</t>
        </is>
      </c>
      <c r="O901" s="46" t="inlineStr">
        <is>
          <t>N</t>
        </is>
      </c>
      <c r="P901" s="50" t="n">
        <v>1452.1919</v>
      </c>
      <c r="Q901" s="49">
        <f>IF(OR(L901="",M901="",P901=""),"",L901*P901)</f>
        <v/>
      </c>
    </row>
    <row r="902" ht="15" customHeight="1" s="32">
      <c r="A902" s="46" t="inlineStr">
        <is>
          <t>R-HB-0901</t>
        </is>
      </c>
      <c r="B902" s="47" t="n">
        <v>45691</v>
      </c>
      <c r="C902" s="46" t="inlineStr">
        <is>
          <t>2025-02</t>
        </is>
      </c>
      <c r="D902" s="46" t="n">
        <v>2025</v>
      </c>
      <c r="E902" s="46" t="inlineStr">
        <is>
          <t>P-HB-001</t>
        </is>
      </c>
      <c r="F902" s="46" t="inlineStr">
        <is>
          <t>C-HB-04</t>
        </is>
      </c>
      <c r="G902" s="48" t="inlineStr">
        <is>
          <t>캐나다</t>
        </is>
      </c>
      <c r="H902" s="46" t="inlineStr">
        <is>
          <t>CA</t>
        </is>
      </c>
      <c r="I902" s="49" t="n">
        <v>16758</v>
      </c>
      <c r="J902" s="46" t="inlineStr">
        <is>
          <t>EA</t>
        </is>
      </c>
      <c r="K902" s="50" t="n">
        <v>7.54</v>
      </c>
      <c r="L902" s="50" t="n">
        <v>93363.59</v>
      </c>
      <c r="M902" s="46" t="inlineStr">
        <is>
          <t>USD</t>
        </is>
      </c>
      <c r="N902" s="46" t="inlineStr">
        <is>
          <t>FOB</t>
        </is>
      </c>
      <c r="O902" s="46" t="inlineStr">
        <is>
          <t>N</t>
        </is>
      </c>
      <c r="P902" s="50" t="n">
        <v>1444.7932</v>
      </c>
      <c r="Q902" s="49">
        <f>IF(OR(L902="",M902="",P902=""),"",L902*P902)</f>
        <v/>
      </c>
    </row>
    <row r="903" ht="15" customHeight="1" s="32">
      <c r="A903" s="46" t="inlineStr">
        <is>
          <t>R-HB-0902</t>
        </is>
      </c>
      <c r="B903" s="47" t="n">
        <v>45692</v>
      </c>
      <c r="C903" s="46" t="inlineStr">
        <is>
          <t>2025-02</t>
        </is>
      </c>
      <c r="D903" s="46" t="n">
        <v>2025</v>
      </c>
      <c r="E903" s="46" t="inlineStr">
        <is>
          <t>P-HB-004</t>
        </is>
      </c>
      <c r="F903" s="46" t="inlineStr">
        <is>
          <t>C-HB-01</t>
        </is>
      </c>
      <c r="G903" s="48" t="inlineStr">
        <is>
          <t>미국</t>
        </is>
      </c>
      <c r="H903" s="46" t="inlineStr">
        <is>
          <t>US</t>
        </is>
      </c>
      <c r="I903" s="49" t="n">
        <v>17025</v>
      </c>
      <c r="J903" s="46" t="inlineStr">
        <is>
          <t>EA</t>
        </is>
      </c>
      <c r="K903" s="50" t="n">
        <v>18.73</v>
      </c>
      <c r="L903" s="50" t="n">
        <v>463228.58</v>
      </c>
      <c r="M903" s="46" t="inlineStr">
        <is>
          <t>USD</t>
        </is>
      </c>
      <c r="N903" s="46" t="inlineStr">
        <is>
          <t>FOB</t>
        </is>
      </c>
      <c r="O903" s="46" t="inlineStr">
        <is>
          <t>N</t>
        </is>
      </c>
      <c r="P903" s="50" t="n">
        <v>1444.7932</v>
      </c>
      <c r="Q903" s="49">
        <f>IF(OR(L903="",M903="",P903=""),"",L903*P903)</f>
        <v/>
      </c>
    </row>
    <row r="904" ht="15" customHeight="1" s="32">
      <c r="A904" s="46" t="inlineStr">
        <is>
          <t>R-HB-0903</t>
        </is>
      </c>
      <c r="B904" s="47" t="n">
        <v>45692</v>
      </c>
      <c r="C904" s="46" t="inlineStr">
        <is>
          <t>2025-02</t>
        </is>
      </c>
      <c r="D904" s="46" t="n">
        <v>2025</v>
      </c>
      <c r="E904" s="46" t="inlineStr">
        <is>
          <t>P-HB-004</t>
        </is>
      </c>
      <c r="F904" s="46" t="inlineStr">
        <is>
          <t>C-HB-04</t>
        </is>
      </c>
      <c r="G904" s="48" t="inlineStr">
        <is>
          <t>캐나다</t>
        </is>
      </c>
      <c r="H904" s="46" t="inlineStr">
        <is>
          <t>CA</t>
        </is>
      </c>
      <c r="I904" s="49" t="n">
        <v>1538</v>
      </c>
      <c r="J904" s="46" t="inlineStr">
        <is>
          <t>EA</t>
        </is>
      </c>
      <c r="K904" s="50" t="n">
        <v>1.69</v>
      </c>
      <c r="L904" s="50" t="n">
        <v>44190.69</v>
      </c>
      <c r="M904" s="46" t="inlineStr">
        <is>
          <t>USD</t>
        </is>
      </c>
      <c r="N904" s="46" t="inlineStr">
        <is>
          <t>FOB</t>
        </is>
      </c>
      <c r="O904" s="46" t="inlineStr">
        <is>
          <t>N</t>
        </is>
      </c>
      <c r="P904" s="50" t="n">
        <v>1444.7932</v>
      </c>
      <c r="Q904" s="49">
        <f>IF(OR(L904="",M904="",P904=""),"",L904*P904)</f>
        <v/>
      </c>
    </row>
    <row r="905" ht="15" customHeight="1" s="32">
      <c r="A905" s="46" t="inlineStr">
        <is>
          <t>R-HB-0904</t>
        </is>
      </c>
      <c r="B905" s="47" t="n">
        <v>45692</v>
      </c>
      <c r="C905" s="46" t="inlineStr">
        <is>
          <t>2025-02</t>
        </is>
      </c>
      <c r="D905" s="46" t="n">
        <v>2025</v>
      </c>
      <c r="E905" s="46" t="inlineStr">
        <is>
          <t>P-HB-001</t>
        </is>
      </c>
      <c r="F905" s="46" t="inlineStr">
        <is>
          <t>C-HB-07</t>
        </is>
      </c>
      <c r="G905" s="48" t="inlineStr">
        <is>
          <t>인도</t>
        </is>
      </c>
      <c r="H905" s="46" t="inlineStr">
        <is>
          <t>IN</t>
        </is>
      </c>
      <c r="I905" s="49" t="n">
        <v>81831</v>
      </c>
      <c r="J905" s="46" t="inlineStr">
        <is>
          <t>EA</t>
        </is>
      </c>
      <c r="K905" s="50" t="n">
        <v>36.82</v>
      </c>
      <c r="L905" s="50" t="n">
        <v>463932.62</v>
      </c>
      <c r="M905" s="46" t="inlineStr">
        <is>
          <t>USD</t>
        </is>
      </c>
      <c r="N905" s="46" t="inlineStr">
        <is>
          <t>FOB</t>
        </is>
      </c>
      <c r="O905" s="46" t="inlineStr">
        <is>
          <t>N</t>
        </is>
      </c>
      <c r="P905" s="50" t="n">
        <v>1444.7932</v>
      </c>
      <c r="Q905" s="49">
        <f>IF(OR(L905="",M905="",P905=""),"",L905*P905)</f>
        <v/>
      </c>
    </row>
    <row r="906" ht="15" customHeight="1" s="32">
      <c r="A906" s="46" t="inlineStr">
        <is>
          <t>R-HB-0905</t>
        </is>
      </c>
      <c r="B906" s="47" t="n">
        <v>45694</v>
      </c>
      <c r="C906" s="46" t="inlineStr">
        <is>
          <t>2025-02</t>
        </is>
      </c>
      <c r="D906" s="46" t="n">
        <v>2025</v>
      </c>
      <c r="E906" s="46" t="inlineStr">
        <is>
          <t>P-HB-003</t>
        </is>
      </c>
      <c r="F906" s="46" t="inlineStr">
        <is>
          <t>C-HB-04</t>
        </is>
      </c>
      <c r="G906" s="48" t="inlineStr">
        <is>
          <t>캐나다</t>
        </is>
      </c>
      <c r="H906" s="46" t="inlineStr">
        <is>
          <t>CA</t>
        </is>
      </c>
      <c r="I906" s="49" t="n">
        <v>4162</v>
      </c>
      <c r="J906" s="46" t="inlineStr">
        <is>
          <t>EA</t>
        </is>
      </c>
      <c r="K906" s="50" t="n">
        <v>2.71</v>
      </c>
      <c r="L906" s="50" t="n">
        <v>33010.4</v>
      </c>
      <c r="M906" s="46" t="inlineStr">
        <is>
          <t>USD</t>
        </is>
      </c>
      <c r="N906" s="46" t="inlineStr">
        <is>
          <t>FOB</t>
        </is>
      </c>
      <c r="O906" s="46" t="inlineStr">
        <is>
          <t>N</t>
        </is>
      </c>
      <c r="P906" s="50" t="n">
        <v>1444.7932</v>
      </c>
      <c r="Q906" s="49">
        <f>IF(OR(L906="",M906="",P906=""),"",L906*P906)</f>
        <v/>
      </c>
    </row>
    <row r="907" ht="15" customHeight="1" s="32">
      <c r="A907" s="46" t="inlineStr">
        <is>
          <t>R-HB-0906</t>
        </is>
      </c>
      <c r="B907" s="47" t="n">
        <v>45694</v>
      </c>
      <c r="C907" s="46" t="inlineStr">
        <is>
          <t>2025-02</t>
        </is>
      </c>
      <c r="D907" s="46" t="n">
        <v>2025</v>
      </c>
      <c r="E907" s="46" t="inlineStr">
        <is>
          <t>P-HB-004</t>
        </is>
      </c>
      <c r="F907" s="46" t="inlineStr">
        <is>
          <t>C-HB-09</t>
        </is>
      </c>
      <c r="G907" s="48" t="inlineStr">
        <is>
          <t>중국</t>
        </is>
      </c>
      <c r="H907" s="46" t="inlineStr">
        <is>
          <t>CN</t>
        </is>
      </c>
      <c r="I907" s="49" t="n">
        <v>12544</v>
      </c>
      <c r="J907" s="46" t="inlineStr">
        <is>
          <t>EA</t>
        </is>
      </c>
      <c r="K907" s="50" t="n">
        <v>13.8</v>
      </c>
      <c r="L907" s="50" t="n">
        <v>363858.8</v>
      </c>
      <c r="M907" s="46" t="inlineStr">
        <is>
          <t>USD</t>
        </is>
      </c>
      <c r="N907" s="46" t="inlineStr">
        <is>
          <t>FOB</t>
        </is>
      </c>
      <c r="O907" s="46" t="inlineStr">
        <is>
          <t>N</t>
        </is>
      </c>
      <c r="P907" s="50" t="n">
        <v>1444.7932</v>
      </c>
      <c r="Q907" s="49">
        <f>IF(OR(L907="",M907="",P907=""),"",L907*P907)</f>
        <v/>
      </c>
    </row>
    <row r="908" ht="15" customHeight="1" s="32">
      <c r="A908" s="46" t="inlineStr">
        <is>
          <t>R-HB-0907</t>
        </is>
      </c>
      <c r="B908" s="47" t="n">
        <v>45695</v>
      </c>
      <c r="C908" s="46" t="inlineStr">
        <is>
          <t>2025-02</t>
        </is>
      </c>
      <c r="D908" s="46" t="n">
        <v>2025</v>
      </c>
      <c r="E908" s="46" t="inlineStr">
        <is>
          <t>P-HB-002</t>
        </is>
      </c>
      <c r="F908" s="46" t="inlineStr">
        <is>
          <t>C-HB-05</t>
        </is>
      </c>
      <c r="G908" s="48" t="inlineStr">
        <is>
          <t>독일</t>
        </is>
      </c>
      <c r="H908" s="46" t="inlineStr">
        <is>
          <t>DE</t>
        </is>
      </c>
      <c r="I908" s="49" t="n">
        <v>888</v>
      </c>
      <c r="J908" s="46" t="inlineStr">
        <is>
          <t>EA</t>
        </is>
      </c>
      <c r="K908" s="50" t="n">
        <v>1.95</v>
      </c>
      <c r="L908" s="50" t="n">
        <v>357103.23</v>
      </c>
      <c r="M908" s="46" t="inlineStr">
        <is>
          <t>USD</t>
        </is>
      </c>
      <c r="N908" s="46" t="inlineStr">
        <is>
          <t>FOB</t>
        </is>
      </c>
      <c r="O908" s="46" t="inlineStr">
        <is>
          <t>N</t>
        </is>
      </c>
      <c r="P908" s="50" t="n">
        <v>1444.7932</v>
      </c>
      <c r="Q908" s="49">
        <f>IF(OR(L908="",M908="",P908=""),"",L908*P908)</f>
        <v/>
      </c>
    </row>
    <row r="909" ht="15" customHeight="1" s="32">
      <c r="A909" s="46" t="inlineStr">
        <is>
          <t>R-HB-0908</t>
        </is>
      </c>
      <c r="B909" s="47" t="n">
        <v>45695</v>
      </c>
      <c r="C909" s="46" t="inlineStr">
        <is>
          <t>2025-02</t>
        </is>
      </c>
      <c r="D909" s="46" t="n">
        <v>2025</v>
      </c>
      <c r="E909" s="46" t="inlineStr">
        <is>
          <t>P-HB-003</t>
        </is>
      </c>
      <c r="F909" s="46" t="inlineStr">
        <is>
          <t>C-HB-06</t>
        </is>
      </c>
      <c r="G909" s="48" t="inlineStr">
        <is>
          <t>베트남</t>
        </is>
      </c>
      <c r="H909" s="46" t="inlineStr">
        <is>
          <t>VN</t>
        </is>
      </c>
      <c r="I909" s="49" t="n">
        <v>39141</v>
      </c>
      <c r="J909" s="46" t="inlineStr">
        <is>
          <t>EA</t>
        </is>
      </c>
      <c r="K909" s="50" t="n">
        <v>25.44</v>
      </c>
      <c r="L909" s="50" t="n">
        <v>305387.3</v>
      </c>
      <c r="M909" s="46" t="inlineStr">
        <is>
          <t>USD</t>
        </is>
      </c>
      <c r="N909" s="46" t="inlineStr">
        <is>
          <t>FOB</t>
        </is>
      </c>
      <c r="O909" s="46" t="inlineStr">
        <is>
          <t>N</t>
        </is>
      </c>
      <c r="P909" s="50" t="n">
        <v>1444.7932</v>
      </c>
      <c r="Q909" s="49">
        <f>IF(OR(L909="",M909="",P909=""),"",L909*P909)</f>
        <v/>
      </c>
    </row>
    <row r="910" ht="15" customHeight="1" s="32">
      <c r="A910" s="46" t="inlineStr">
        <is>
          <t>R-HB-0909</t>
        </is>
      </c>
      <c r="B910" s="47" t="n">
        <v>45696</v>
      </c>
      <c r="C910" s="46" t="inlineStr">
        <is>
          <t>2025-02</t>
        </is>
      </c>
      <c r="D910" s="46" t="n">
        <v>2025</v>
      </c>
      <c r="E910" s="46" t="inlineStr">
        <is>
          <t>P-HB-001</t>
        </is>
      </c>
      <c r="F910" s="46" t="inlineStr">
        <is>
          <t>C-HB-02</t>
        </is>
      </c>
      <c r="G910" s="48" t="inlineStr">
        <is>
          <t>미국</t>
        </is>
      </c>
      <c r="H910" s="46" t="inlineStr">
        <is>
          <t>US</t>
        </is>
      </c>
      <c r="I910" s="49" t="n">
        <v>99807</v>
      </c>
      <c r="J910" s="46" t="inlineStr">
        <is>
          <t>EA</t>
        </is>
      </c>
      <c r="K910" s="50" t="n">
        <v>44.91</v>
      </c>
      <c r="L910" s="50" t="n">
        <v>570601.87</v>
      </c>
      <c r="M910" s="46" t="inlineStr">
        <is>
          <t>USD</t>
        </is>
      </c>
      <c r="N910" s="46" t="inlineStr">
        <is>
          <t>FOB</t>
        </is>
      </c>
      <c r="O910" s="46" t="inlineStr">
        <is>
          <t>N</t>
        </is>
      </c>
      <c r="P910" s="50" t="n">
        <v>1444.7932</v>
      </c>
      <c r="Q910" s="49">
        <f>IF(OR(L910="",M910="",P910=""),"",L910*P910)</f>
        <v/>
      </c>
    </row>
    <row r="911" ht="15" customHeight="1" s="32">
      <c r="A911" s="46" t="inlineStr">
        <is>
          <t>R-HB-0910</t>
        </is>
      </c>
      <c r="B911" s="47" t="n">
        <v>45697</v>
      </c>
      <c r="C911" s="46" t="inlineStr">
        <is>
          <t>2025-02</t>
        </is>
      </c>
      <c r="D911" s="46" t="n">
        <v>2025</v>
      </c>
      <c r="E911" s="46" t="inlineStr">
        <is>
          <t>P-HB-001</t>
        </is>
      </c>
      <c r="F911" s="46" t="inlineStr">
        <is>
          <t>C-HB-05</t>
        </is>
      </c>
      <c r="G911" s="48" t="inlineStr">
        <is>
          <t>독일</t>
        </is>
      </c>
      <c r="H911" s="46" t="inlineStr">
        <is>
          <t>DE</t>
        </is>
      </c>
      <c r="I911" s="49" t="n">
        <v>144685</v>
      </c>
      <c r="J911" s="46" t="inlineStr">
        <is>
          <t>EA</t>
        </is>
      </c>
      <c r="K911" s="50" t="n">
        <v>65.11</v>
      </c>
      <c r="L911" s="50" t="n">
        <v>834499.25</v>
      </c>
      <c r="M911" s="46" t="inlineStr">
        <is>
          <t>USD</t>
        </is>
      </c>
      <c r="N911" s="46" t="inlineStr">
        <is>
          <t>FOB</t>
        </is>
      </c>
      <c r="O911" s="46" t="inlineStr">
        <is>
          <t>N</t>
        </is>
      </c>
      <c r="P911" s="50" t="n">
        <v>1444.7932</v>
      </c>
      <c r="Q911" s="49">
        <f>IF(OR(L911="",M911="",P911=""),"",L911*P911)</f>
        <v/>
      </c>
    </row>
    <row r="912" ht="15" customHeight="1" s="32">
      <c r="A912" s="46" t="inlineStr">
        <is>
          <t>R-HB-0911</t>
        </is>
      </c>
      <c r="B912" s="47" t="n">
        <v>45697</v>
      </c>
      <c r="C912" s="46" t="inlineStr">
        <is>
          <t>2025-02</t>
        </is>
      </c>
      <c r="D912" s="46" t="n">
        <v>2025</v>
      </c>
      <c r="E912" s="46" t="inlineStr">
        <is>
          <t>P-HB-001</t>
        </is>
      </c>
      <c r="F912" s="46" t="inlineStr">
        <is>
          <t>C-HB-06</t>
        </is>
      </c>
      <c r="G912" s="48" t="inlineStr">
        <is>
          <t>베트남</t>
        </is>
      </c>
      <c r="H912" s="46" t="inlineStr">
        <is>
          <t>VN</t>
        </is>
      </c>
      <c r="I912" s="49" t="n">
        <v>126888</v>
      </c>
      <c r="J912" s="46" t="inlineStr">
        <is>
          <t>EA</t>
        </is>
      </c>
      <c r="K912" s="50" t="n">
        <v>57.1</v>
      </c>
      <c r="L912" s="50" t="n">
        <v>732490.4399999999</v>
      </c>
      <c r="M912" s="46" t="inlineStr">
        <is>
          <t>USD</t>
        </is>
      </c>
      <c r="N912" s="46" t="inlineStr">
        <is>
          <t>FOB</t>
        </is>
      </c>
      <c r="O912" s="46" t="inlineStr">
        <is>
          <t>N</t>
        </is>
      </c>
      <c r="P912" s="50" t="n">
        <v>1444.7932</v>
      </c>
      <c r="Q912" s="49">
        <f>IF(OR(L912="",M912="",P912=""),"",L912*P912)</f>
        <v/>
      </c>
    </row>
    <row r="913" ht="15" customHeight="1" s="32">
      <c r="A913" s="46" t="inlineStr">
        <is>
          <t>R-HB-0912</t>
        </is>
      </c>
      <c r="B913" s="47" t="n">
        <v>45698</v>
      </c>
      <c r="C913" s="46" t="inlineStr">
        <is>
          <t>2025-02</t>
        </is>
      </c>
      <c r="D913" s="46" t="n">
        <v>2025</v>
      </c>
      <c r="E913" s="46" t="inlineStr">
        <is>
          <t>P-HB-001</t>
        </is>
      </c>
      <c r="F913" s="46" t="inlineStr">
        <is>
          <t>C-HB-08</t>
        </is>
      </c>
      <c r="G913" s="48" t="inlineStr">
        <is>
          <t>중국</t>
        </is>
      </c>
      <c r="H913" s="46" t="inlineStr">
        <is>
          <t>CN</t>
        </is>
      </c>
      <c r="I913" s="49" t="n">
        <v>203380</v>
      </c>
      <c r="J913" s="46" t="inlineStr">
        <is>
          <t>EA</t>
        </is>
      </c>
      <c r="K913" s="50" t="n">
        <v>91.52</v>
      </c>
      <c r="L913" s="50" t="n">
        <v>1186766.43</v>
      </c>
      <c r="M913" s="46" t="inlineStr">
        <is>
          <t>USD</t>
        </is>
      </c>
      <c r="N913" s="46" t="inlineStr">
        <is>
          <t>FOB</t>
        </is>
      </c>
      <c r="O913" s="46" t="inlineStr">
        <is>
          <t>N</t>
        </is>
      </c>
      <c r="P913" s="50" t="n">
        <v>1444.7932</v>
      </c>
      <c r="Q913" s="49">
        <f>IF(OR(L913="",M913="",P913=""),"",L913*P913)</f>
        <v/>
      </c>
    </row>
    <row r="914" ht="15" customHeight="1" s="32">
      <c r="A914" s="46" t="inlineStr">
        <is>
          <t>R-HB-0913</t>
        </is>
      </c>
      <c r="B914" s="47" t="n">
        <v>45699</v>
      </c>
      <c r="C914" s="46" t="inlineStr">
        <is>
          <t>2025-02</t>
        </is>
      </c>
      <c r="D914" s="46" t="n">
        <v>2025</v>
      </c>
      <c r="E914" s="46" t="inlineStr">
        <is>
          <t>P-HB-004</t>
        </is>
      </c>
      <c r="F914" s="46" t="inlineStr">
        <is>
          <t>C-HB-05</t>
        </is>
      </c>
      <c r="G914" s="48" t="inlineStr">
        <is>
          <t>독일</t>
        </is>
      </c>
      <c r="H914" s="46" t="inlineStr">
        <is>
          <t>DE</t>
        </is>
      </c>
      <c r="I914" s="49" t="n">
        <v>12668</v>
      </c>
      <c r="J914" s="46" t="inlineStr">
        <is>
          <t>EA</t>
        </is>
      </c>
      <c r="K914" s="50" t="n">
        <v>13.93</v>
      </c>
      <c r="L914" s="50" t="n">
        <v>361940.3</v>
      </c>
      <c r="M914" s="46" t="inlineStr">
        <is>
          <t>USD</t>
        </is>
      </c>
      <c r="N914" s="46" t="inlineStr">
        <is>
          <t>FOB</t>
        </is>
      </c>
      <c r="O914" s="46" t="inlineStr">
        <is>
          <t>N</t>
        </is>
      </c>
      <c r="P914" s="50" t="n">
        <v>1444.7932</v>
      </c>
      <c r="Q914" s="49">
        <f>IF(OR(L914="",M914="",P914=""),"",L914*P914)</f>
        <v/>
      </c>
    </row>
    <row r="915" ht="15" customHeight="1" s="32">
      <c r="A915" s="46" t="inlineStr">
        <is>
          <t>R-HB-0914</t>
        </is>
      </c>
      <c r="B915" s="47" t="n">
        <v>45699</v>
      </c>
      <c r="C915" s="46" t="inlineStr">
        <is>
          <t>2025-02</t>
        </is>
      </c>
      <c r="D915" s="46" t="n">
        <v>2025</v>
      </c>
      <c r="E915" s="46" t="inlineStr">
        <is>
          <t>P-HB-004</t>
        </is>
      </c>
      <c r="F915" s="46" t="inlineStr">
        <is>
          <t>C-HB-08</t>
        </is>
      </c>
      <c r="G915" s="48" t="inlineStr">
        <is>
          <t>중국</t>
        </is>
      </c>
      <c r="H915" s="46" t="inlineStr">
        <is>
          <t>CN</t>
        </is>
      </c>
      <c r="I915" s="49" t="n">
        <v>20030</v>
      </c>
      <c r="J915" s="46" t="inlineStr">
        <is>
          <t>EA</t>
        </is>
      </c>
      <c r="K915" s="50" t="n">
        <v>22.03</v>
      </c>
      <c r="L915" s="50" t="n">
        <v>573468.34</v>
      </c>
      <c r="M915" s="46" t="inlineStr">
        <is>
          <t>USD</t>
        </is>
      </c>
      <c r="N915" s="46" t="inlineStr">
        <is>
          <t>FOB</t>
        </is>
      </c>
      <c r="O915" s="46" t="inlineStr">
        <is>
          <t>N</t>
        </is>
      </c>
      <c r="P915" s="50" t="n">
        <v>1444.7932</v>
      </c>
      <c r="Q915" s="49">
        <f>IF(OR(L915="",M915="",P915=""),"",L915*P915)</f>
        <v/>
      </c>
    </row>
    <row r="916" ht="15" customHeight="1" s="32">
      <c r="A916" s="46" t="inlineStr">
        <is>
          <t>R-HB-0915</t>
        </is>
      </c>
      <c r="B916" s="47" t="n">
        <v>45700</v>
      </c>
      <c r="C916" s="46" t="inlineStr">
        <is>
          <t>2025-02</t>
        </is>
      </c>
      <c r="D916" s="46" t="n">
        <v>2025</v>
      </c>
      <c r="E916" s="46" t="inlineStr">
        <is>
          <t>P-HB-002</t>
        </is>
      </c>
      <c r="F916" s="46" t="inlineStr">
        <is>
          <t>C-HB-03</t>
        </is>
      </c>
      <c r="G916" s="48" t="inlineStr">
        <is>
          <t>멕시코</t>
        </is>
      </c>
      <c r="H916" s="46" t="inlineStr">
        <is>
          <t>MX</t>
        </is>
      </c>
      <c r="I916" s="49" t="n">
        <v>197</v>
      </c>
      <c r="J916" s="46" t="inlineStr">
        <is>
          <t>EA</t>
        </is>
      </c>
      <c r="K916" s="50" t="n">
        <v>0.43</v>
      </c>
      <c r="L916" s="50" t="n">
        <v>73643.07000000001</v>
      </c>
      <c r="M916" s="46" t="inlineStr">
        <is>
          <t>USD</t>
        </is>
      </c>
      <c r="N916" s="46" t="inlineStr">
        <is>
          <t>FOB</t>
        </is>
      </c>
      <c r="O916" s="46" t="inlineStr">
        <is>
          <t>N</t>
        </is>
      </c>
      <c r="P916" s="50" t="n">
        <v>1444.7932</v>
      </c>
      <c r="Q916" s="49">
        <f>IF(OR(L916="",M916="",P916=""),"",L916*P916)</f>
        <v/>
      </c>
    </row>
    <row r="917" ht="15" customHeight="1" s="32">
      <c r="A917" s="46" t="inlineStr">
        <is>
          <t>R-HB-0916</t>
        </is>
      </c>
      <c r="B917" s="47" t="n">
        <v>45700</v>
      </c>
      <c r="C917" s="46" t="inlineStr">
        <is>
          <t>2025-02</t>
        </is>
      </c>
      <c r="D917" s="46" t="n">
        <v>2025</v>
      </c>
      <c r="E917" s="46" t="inlineStr">
        <is>
          <t>P-HB-002</t>
        </is>
      </c>
      <c r="F917" s="46" t="inlineStr">
        <is>
          <t>C-HB-09</t>
        </is>
      </c>
      <c r="G917" s="48" t="inlineStr">
        <is>
          <t>중국</t>
        </is>
      </c>
      <c r="H917" s="46" t="inlineStr">
        <is>
          <t>CN</t>
        </is>
      </c>
      <c r="I917" s="49" t="n">
        <v>850</v>
      </c>
      <c r="J917" s="46" t="inlineStr">
        <is>
          <t>EA</t>
        </is>
      </c>
      <c r="K917" s="50" t="n">
        <v>1.87</v>
      </c>
      <c r="L917" s="50" t="n">
        <v>336611.11</v>
      </c>
      <c r="M917" s="46" t="inlineStr">
        <is>
          <t>USD</t>
        </is>
      </c>
      <c r="N917" s="46" t="inlineStr">
        <is>
          <t>FOB</t>
        </is>
      </c>
      <c r="O917" s="46" t="inlineStr">
        <is>
          <t>N</t>
        </is>
      </c>
      <c r="P917" s="50" t="n">
        <v>1444.7932</v>
      </c>
      <c r="Q917" s="49">
        <f>IF(OR(L917="",M917="",P917=""),"",L917*P917)</f>
        <v/>
      </c>
    </row>
    <row r="918" ht="15" customHeight="1" s="32">
      <c r="A918" s="46" t="inlineStr">
        <is>
          <t>R-HB-0917</t>
        </is>
      </c>
      <c r="B918" s="47" t="n">
        <v>45701</v>
      </c>
      <c r="C918" s="46" t="inlineStr">
        <is>
          <t>2025-02</t>
        </is>
      </c>
      <c r="D918" s="46" t="n">
        <v>2025</v>
      </c>
      <c r="E918" s="46" t="inlineStr">
        <is>
          <t>P-HB-001</t>
        </is>
      </c>
      <c r="F918" s="46" t="inlineStr">
        <is>
          <t>C-HB-01</t>
        </is>
      </c>
      <c r="G918" s="48" t="inlineStr">
        <is>
          <t>미국</t>
        </is>
      </c>
      <c r="H918" s="46" t="inlineStr">
        <is>
          <t>US</t>
        </is>
      </c>
      <c r="I918" s="49" t="n">
        <v>184604</v>
      </c>
      <c r="J918" s="46" t="inlineStr">
        <is>
          <t>EA</t>
        </is>
      </c>
      <c r="K918" s="50" t="n">
        <v>83.06999999999999</v>
      </c>
      <c r="L918" s="50" t="n">
        <v>1048810.09</v>
      </c>
      <c r="M918" s="46" t="inlineStr">
        <is>
          <t>USD</t>
        </is>
      </c>
      <c r="N918" s="46" t="inlineStr">
        <is>
          <t>FOB</t>
        </is>
      </c>
      <c r="O918" s="46" t="inlineStr">
        <is>
          <t>N</t>
        </is>
      </c>
      <c r="P918" s="50" t="n">
        <v>1444.7932</v>
      </c>
      <c r="Q918" s="49">
        <f>IF(OR(L918="",M918="",P918=""),"",L918*P918)</f>
        <v/>
      </c>
    </row>
    <row r="919" ht="15" customHeight="1" s="32">
      <c r="A919" s="46" t="inlineStr">
        <is>
          <t>R-HB-0918</t>
        </is>
      </c>
      <c r="B919" s="47" t="n">
        <v>45703</v>
      </c>
      <c r="C919" s="46" t="inlineStr">
        <is>
          <t>2025-02</t>
        </is>
      </c>
      <c r="D919" s="46" t="n">
        <v>2025</v>
      </c>
      <c r="E919" s="46" t="inlineStr">
        <is>
          <t>P-HB-001</t>
        </is>
      </c>
      <c r="F919" s="46" t="inlineStr">
        <is>
          <t>C-HB-03</t>
        </is>
      </c>
      <c r="G919" s="48" t="inlineStr">
        <is>
          <t>멕시코</t>
        </is>
      </c>
      <c r="H919" s="46" t="inlineStr">
        <is>
          <t>MX</t>
        </is>
      </c>
      <c r="I919" s="49" t="n">
        <v>30074</v>
      </c>
      <c r="J919" s="46" t="inlineStr">
        <is>
          <t>EA</t>
        </is>
      </c>
      <c r="K919" s="50" t="n">
        <v>13.53</v>
      </c>
      <c r="L919" s="50" t="n">
        <v>173241.6</v>
      </c>
      <c r="M919" s="46" t="inlineStr">
        <is>
          <t>USD</t>
        </is>
      </c>
      <c r="N919" s="46" t="inlineStr">
        <is>
          <t>FOB</t>
        </is>
      </c>
      <c r="O919" s="46" t="inlineStr">
        <is>
          <t>N</t>
        </is>
      </c>
      <c r="P919" s="50" t="n">
        <v>1444.7932</v>
      </c>
      <c r="Q919" s="49">
        <f>IF(OR(L919="",M919="",P919=""),"",L919*P919)</f>
        <v/>
      </c>
    </row>
    <row r="920" ht="15" customHeight="1" s="32">
      <c r="A920" s="46" t="inlineStr">
        <is>
          <t>R-HB-0919</t>
        </is>
      </c>
      <c r="B920" s="47" t="n">
        <v>45704</v>
      </c>
      <c r="C920" s="46" t="inlineStr">
        <is>
          <t>2025-02</t>
        </is>
      </c>
      <c r="D920" s="46" t="n">
        <v>2025</v>
      </c>
      <c r="E920" s="46" t="inlineStr">
        <is>
          <t>P-HB-002</t>
        </is>
      </c>
      <c r="F920" s="46" t="inlineStr">
        <is>
          <t>C-HB-07</t>
        </is>
      </c>
      <c r="G920" s="48" t="inlineStr">
        <is>
          <t>인도</t>
        </is>
      </c>
      <c r="H920" s="46" t="inlineStr">
        <is>
          <t>IN</t>
        </is>
      </c>
      <c r="I920" s="49" t="n">
        <v>536</v>
      </c>
      <c r="J920" s="46" t="inlineStr">
        <is>
          <t>EA</t>
        </is>
      </c>
      <c r="K920" s="50" t="n">
        <v>1.18</v>
      </c>
      <c r="L920" s="50" t="n">
        <v>206397.64</v>
      </c>
      <c r="M920" s="46" t="inlineStr">
        <is>
          <t>USD</t>
        </is>
      </c>
      <c r="N920" s="46" t="inlineStr">
        <is>
          <t>FOB</t>
        </is>
      </c>
      <c r="O920" s="46" t="inlineStr">
        <is>
          <t>N</t>
        </is>
      </c>
      <c r="P920" s="50" t="n">
        <v>1444.7932</v>
      </c>
      <c r="Q920" s="49">
        <f>IF(OR(L920="",M920="",P920=""),"",L920*P920)</f>
        <v/>
      </c>
    </row>
    <row r="921" ht="15" customHeight="1" s="32">
      <c r="A921" s="46" t="inlineStr">
        <is>
          <t>R-HB-0920</t>
        </is>
      </c>
      <c r="B921" s="47" t="n">
        <v>45704</v>
      </c>
      <c r="C921" s="46" t="inlineStr">
        <is>
          <t>2025-02</t>
        </is>
      </c>
      <c r="D921" s="46" t="n">
        <v>2025</v>
      </c>
      <c r="E921" s="46" t="inlineStr">
        <is>
          <t>P-HB-004</t>
        </is>
      </c>
      <c r="F921" s="46" t="inlineStr">
        <is>
          <t>C-HB-07</t>
        </is>
      </c>
      <c r="G921" s="48" t="inlineStr">
        <is>
          <t>인도</t>
        </is>
      </c>
      <c r="H921" s="46" t="inlineStr">
        <is>
          <t>IN</t>
        </is>
      </c>
      <c r="I921" s="49" t="n">
        <v>7102</v>
      </c>
      <c r="J921" s="46" t="inlineStr">
        <is>
          <t>EA</t>
        </is>
      </c>
      <c r="K921" s="50" t="n">
        <v>7.81</v>
      </c>
      <c r="L921" s="50" t="n">
        <v>205527.14</v>
      </c>
      <c r="M921" s="46" t="inlineStr">
        <is>
          <t>USD</t>
        </is>
      </c>
      <c r="N921" s="46" t="inlineStr">
        <is>
          <t>FOB</t>
        </is>
      </c>
      <c r="O921" s="46" t="inlineStr">
        <is>
          <t>N</t>
        </is>
      </c>
      <c r="P921" s="50" t="n">
        <v>1444.7932</v>
      </c>
      <c r="Q921" s="49">
        <f>IF(OR(L921="",M921="",P921=""),"",L921*P921)</f>
        <v/>
      </c>
    </row>
    <row r="922" ht="15" customHeight="1" s="32">
      <c r="A922" s="46" t="inlineStr">
        <is>
          <t>R-HB-0921</t>
        </is>
      </c>
      <c r="B922" s="47" t="n">
        <v>45705</v>
      </c>
      <c r="C922" s="46" t="inlineStr">
        <is>
          <t>2025-02</t>
        </is>
      </c>
      <c r="D922" s="46" t="n">
        <v>2025</v>
      </c>
      <c r="E922" s="46" t="inlineStr">
        <is>
          <t>P-HB-003</t>
        </is>
      </c>
      <c r="F922" s="46" t="inlineStr">
        <is>
          <t>C-HB-09</t>
        </is>
      </c>
      <c r="G922" s="48" t="inlineStr">
        <is>
          <t>중국</t>
        </is>
      </c>
      <c r="H922" s="46" t="inlineStr">
        <is>
          <t>CN</t>
        </is>
      </c>
      <c r="I922" s="49" t="n">
        <v>39709</v>
      </c>
      <c r="J922" s="46" t="inlineStr">
        <is>
          <t>EA</t>
        </is>
      </c>
      <c r="K922" s="50" t="n">
        <v>25.81</v>
      </c>
      <c r="L922" s="50" t="n">
        <v>308732.41</v>
      </c>
      <c r="M922" s="46" t="inlineStr">
        <is>
          <t>USD</t>
        </is>
      </c>
      <c r="N922" s="46" t="inlineStr">
        <is>
          <t>FOB</t>
        </is>
      </c>
      <c r="O922" s="46" t="inlineStr">
        <is>
          <t>N</t>
        </is>
      </c>
      <c r="P922" s="50" t="n">
        <v>1444.7932</v>
      </c>
      <c r="Q922" s="49">
        <f>IF(OR(L922="",M922="",P922=""),"",L922*P922)</f>
        <v/>
      </c>
    </row>
    <row r="923" ht="15" customHeight="1" s="32">
      <c r="A923" s="46" t="inlineStr">
        <is>
          <t>R-HB-0922</t>
        </is>
      </c>
      <c r="B923" s="47" t="n">
        <v>45706</v>
      </c>
      <c r="C923" s="46" t="inlineStr">
        <is>
          <t>2025-02</t>
        </is>
      </c>
      <c r="D923" s="46" t="n">
        <v>2025</v>
      </c>
      <c r="E923" s="46" t="inlineStr">
        <is>
          <t>P-HB-004</t>
        </is>
      </c>
      <c r="F923" s="46" t="inlineStr">
        <is>
          <t>C-HB-06</t>
        </is>
      </c>
      <c r="G923" s="48" t="inlineStr">
        <is>
          <t>베트남</t>
        </is>
      </c>
      <c r="H923" s="46" t="inlineStr">
        <is>
          <t>VN</t>
        </is>
      </c>
      <c r="I923" s="49" t="n">
        <v>11873</v>
      </c>
      <c r="J923" s="46" t="inlineStr">
        <is>
          <t>EA</t>
        </is>
      </c>
      <c r="K923" s="50" t="n">
        <v>13.06</v>
      </c>
      <c r="L923" s="50" t="n">
        <v>321346.37</v>
      </c>
      <c r="M923" s="46" t="inlineStr">
        <is>
          <t>USD</t>
        </is>
      </c>
      <c r="N923" s="46" t="inlineStr">
        <is>
          <t>FOB</t>
        </is>
      </c>
      <c r="O923" s="46" t="inlineStr">
        <is>
          <t>N</t>
        </is>
      </c>
      <c r="P923" s="50" t="n">
        <v>1444.7932</v>
      </c>
      <c r="Q923" s="49">
        <f>IF(OR(L923="",M923="",P923=""),"",L923*P923)</f>
        <v/>
      </c>
    </row>
    <row r="924" ht="15" customHeight="1" s="32">
      <c r="A924" s="46" t="inlineStr">
        <is>
          <t>R-HB-0923</t>
        </is>
      </c>
      <c r="B924" s="47" t="n">
        <v>45706</v>
      </c>
      <c r="C924" s="46" t="inlineStr">
        <is>
          <t>2025-02</t>
        </is>
      </c>
      <c r="D924" s="46" t="n">
        <v>2025</v>
      </c>
      <c r="E924" s="46" t="inlineStr">
        <is>
          <t>P-HB-001</t>
        </is>
      </c>
      <c r="F924" s="46" t="inlineStr">
        <is>
          <t>C-HB-09</t>
        </is>
      </c>
      <c r="G924" s="48" t="inlineStr">
        <is>
          <t>중국</t>
        </is>
      </c>
      <c r="H924" s="46" t="inlineStr">
        <is>
          <t>CN</t>
        </is>
      </c>
      <c r="I924" s="49" t="n">
        <v>140708</v>
      </c>
      <c r="J924" s="46" t="inlineStr">
        <is>
          <t>EA</t>
        </is>
      </c>
      <c r="K924" s="50" t="n">
        <v>63.32</v>
      </c>
      <c r="L924" s="50" t="n">
        <v>779878.85</v>
      </c>
      <c r="M924" s="46" t="inlineStr">
        <is>
          <t>USD</t>
        </is>
      </c>
      <c r="N924" s="46" t="inlineStr">
        <is>
          <t>FOB</t>
        </is>
      </c>
      <c r="O924" s="46" t="inlineStr">
        <is>
          <t>N</t>
        </is>
      </c>
      <c r="P924" s="50" t="n">
        <v>1444.7932</v>
      </c>
      <c r="Q924" s="49">
        <f>IF(OR(L924="",M924="",P924=""),"",L924*P924)</f>
        <v/>
      </c>
    </row>
    <row r="925" ht="15" customHeight="1" s="32">
      <c r="A925" s="46" t="inlineStr">
        <is>
          <t>R-HB-0924</t>
        </is>
      </c>
      <c r="B925" s="47" t="n">
        <v>45707</v>
      </c>
      <c r="C925" s="46" t="inlineStr">
        <is>
          <t>2025-02</t>
        </is>
      </c>
      <c r="D925" s="46" t="n">
        <v>2025</v>
      </c>
      <c r="E925" s="46" t="inlineStr">
        <is>
          <t>P-HB-003</t>
        </is>
      </c>
      <c r="F925" s="46" t="inlineStr">
        <is>
          <t>C-HB-07</t>
        </is>
      </c>
      <c r="G925" s="48" t="inlineStr">
        <is>
          <t>인도</t>
        </is>
      </c>
      <c r="H925" s="46" t="inlineStr">
        <is>
          <t>IN</t>
        </is>
      </c>
      <c r="I925" s="49" t="n">
        <v>23334</v>
      </c>
      <c r="J925" s="46" t="inlineStr">
        <is>
          <t>EA</t>
        </is>
      </c>
      <c r="K925" s="50" t="n">
        <v>15.17</v>
      </c>
      <c r="L925" s="50" t="n">
        <v>189773.85</v>
      </c>
      <c r="M925" s="46" t="inlineStr">
        <is>
          <t>USD</t>
        </is>
      </c>
      <c r="N925" s="46" t="inlineStr">
        <is>
          <t>FOB</t>
        </is>
      </c>
      <c r="O925" s="46" t="inlineStr">
        <is>
          <t>N</t>
        </is>
      </c>
      <c r="P925" s="50" t="n">
        <v>1444.7932</v>
      </c>
      <c r="Q925" s="49">
        <f>IF(OR(L925="",M925="",P925=""),"",L925*P925)</f>
        <v/>
      </c>
    </row>
    <row r="926" ht="15" customHeight="1" s="32">
      <c r="A926" s="46" t="inlineStr">
        <is>
          <t>R-HB-0925</t>
        </is>
      </c>
      <c r="B926" s="47" t="n">
        <v>45708</v>
      </c>
      <c r="C926" s="46" t="inlineStr">
        <is>
          <t>2025-02</t>
        </is>
      </c>
      <c r="D926" s="46" t="n">
        <v>2025</v>
      </c>
      <c r="E926" s="46" t="inlineStr">
        <is>
          <t>P-HB-003</t>
        </is>
      </c>
      <c r="F926" s="46" t="inlineStr">
        <is>
          <t>C-HB-03</t>
        </is>
      </c>
      <c r="G926" s="48" t="inlineStr">
        <is>
          <t>멕시코</t>
        </is>
      </c>
      <c r="H926" s="46" t="inlineStr">
        <is>
          <t>MX</t>
        </is>
      </c>
      <c r="I926" s="49" t="n">
        <v>8524</v>
      </c>
      <c r="J926" s="46" t="inlineStr">
        <is>
          <t>EA</t>
        </is>
      </c>
      <c r="K926" s="50" t="n">
        <v>5.54</v>
      </c>
      <c r="L926" s="50" t="n">
        <v>66165.81</v>
      </c>
      <c r="M926" s="46" t="inlineStr">
        <is>
          <t>USD</t>
        </is>
      </c>
      <c r="N926" s="46" t="inlineStr">
        <is>
          <t>FOB</t>
        </is>
      </c>
      <c r="O926" s="46" t="inlineStr">
        <is>
          <t>N</t>
        </is>
      </c>
      <c r="P926" s="50" t="n">
        <v>1444.7932</v>
      </c>
      <c r="Q926" s="49">
        <f>IF(OR(L926="",M926="",P926=""),"",L926*P926)</f>
        <v/>
      </c>
    </row>
    <row r="927" ht="15" customHeight="1" s="32">
      <c r="A927" s="46" t="inlineStr">
        <is>
          <t>R-HB-0926</t>
        </is>
      </c>
      <c r="B927" s="47" t="n">
        <v>45708</v>
      </c>
      <c r="C927" s="46" t="inlineStr">
        <is>
          <t>2025-02</t>
        </is>
      </c>
      <c r="D927" s="46" t="n">
        <v>2025</v>
      </c>
      <c r="E927" s="46" t="inlineStr">
        <is>
          <t>P-HB-002</t>
        </is>
      </c>
      <c r="F927" s="46" t="inlineStr">
        <is>
          <t>C-HB-04</t>
        </is>
      </c>
      <c r="G927" s="48" t="inlineStr">
        <is>
          <t>캐나다</t>
        </is>
      </c>
      <c r="H927" s="46" t="inlineStr">
        <is>
          <t>CA</t>
        </is>
      </c>
      <c r="I927" s="49" t="n">
        <v>95</v>
      </c>
      <c r="J927" s="46" t="inlineStr">
        <is>
          <t>EA</t>
        </is>
      </c>
      <c r="K927" s="50" t="n">
        <v>0.21</v>
      </c>
      <c r="L927" s="50" t="n">
        <v>36168.26</v>
      </c>
      <c r="M927" s="46" t="inlineStr">
        <is>
          <t>USD</t>
        </is>
      </c>
      <c r="N927" s="46" t="inlineStr">
        <is>
          <t>FOB</t>
        </is>
      </c>
      <c r="O927" s="46" t="inlineStr">
        <is>
          <t>N</t>
        </is>
      </c>
      <c r="P927" s="50" t="n">
        <v>1444.7932</v>
      </c>
      <c r="Q927" s="49">
        <f>IF(OR(L927="",M927="",P927=""),"",L927*P927)</f>
        <v/>
      </c>
    </row>
    <row r="928" ht="15" customHeight="1" s="32">
      <c r="A928" s="46" t="inlineStr">
        <is>
          <t>R-HB-0927</t>
        </is>
      </c>
      <c r="B928" s="47" t="n">
        <v>45708</v>
      </c>
      <c r="C928" s="46" t="inlineStr">
        <is>
          <t>2025-02</t>
        </is>
      </c>
      <c r="D928" s="46" t="n">
        <v>2025</v>
      </c>
      <c r="E928" s="46" t="inlineStr">
        <is>
          <t>P-HB-003</t>
        </is>
      </c>
      <c r="F928" s="46" t="inlineStr">
        <is>
          <t>C-HB-08</t>
        </is>
      </c>
      <c r="G928" s="48" t="inlineStr">
        <is>
          <t>중국</t>
        </is>
      </c>
      <c r="H928" s="46" t="inlineStr">
        <is>
          <t>CN</t>
        </is>
      </c>
      <c r="I928" s="49" t="n">
        <v>54453</v>
      </c>
      <c r="J928" s="46" t="inlineStr">
        <is>
          <t>EA</t>
        </is>
      </c>
      <c r="K928" s="50" t="n">
        <v>35.39</v>
      </c>
      <c r="L928" s="50" t="n">
        <v>449597.45</v>
      </c>
      <c r="M928" s="46" t="inlineStr">
        <is>
          <t>USD</t>
        </is>
      </c>
      <c r="N928" s="46" t="inlineStr">
        <is>
          <t>FOB</t>
        </is>
      </c>
      <c r="O928" s="46" t="inlineStr">
        <is>
          <t>N</t>
        </is>
      </c>
      <c r="P928" s="50" t="n">
        <v>1444.7932</v>
      </c>
      <c r="Q928" s="49">
        <f>IF(OR(L928="",M928="",P928=""),"",L928*P928)</f>
        <v/>
      </c>
    </row>
    <row r="929" ht="15" customHeight="1" s="32">
      <c r="A929" s="46" t="inlineStr">
        <is>
          <t>R-HB-0928</t>
        </is>
      </c>
      <c r="B929" s="47" t="n">
        <v>45709</v>
      </c>
      <c r="C929" s="46" t="inlineStr">
        <is>
          <t>2025-02</t>
        </is>
      </c>
      <c r="D929" s="46" t="n">
        <v>2025</v>
      </c>
      <c r="E929" s="46" t="inlineStr">
        <is>
          <t>P-HB-003</t>
        </is>
      </c>
      <c r="F929" s="46" t="inlineStr">
        <is>
          <t>C-HB-05</t>
        </is>
      </c>
      <c r="G929" s="48" t="inlineStr">
        <is>
          <t>독일</t>
        </is>
      </c>
      <c r="H929" s="46" t="inlineStr">
        <is>
          <t>DE</t>
        </is>
      </c>
      <c r="I929" s="49" t="n">
        <v>46588</v>
      </c>
      <c r="J929" s="46" t="inlineStr">
        <is>
          <t>EA</t>
        </is>
      </c>
      <c r="K929" s="50" t="n">
        <v>30.28</v>
      </c>
      <c r="L929" s="50" t="n">
        <v>357362.34</v>
      </c>
      <c r="M929" s="46" t="inlineStr">
        <is>
          <t>USD</t>
        </is>
      </c>
      <c r="N929" s="46" t="inlineStr">
        <is>
          <t>FOB</t>
        </is>
      </c>
      <c r="O929" s="46" t="inlineStr">
        <is>
          <t>N</t>
        </is>
      </c>
      <c r="P929" s="50" t="n">
        <v>1444.7932</v>
      </c>
      <c r="Q929" s="49">
        <f>IF(OR(L929="",M929="",P929=""),"",L929*P929)</f>
        <v/>
      </c>
    </row>
    <row r="930" ht="15" customHeight="1" s="32">
      <c r="A930" s="46" t="inlineStr">
        <is>
          <t>R-HB-0929</t>
        </is>
      </c>
      <c r="B930" s="47" t="n">
        <v>45711</v>
      </c>
      <c r="C930" s="46" t="inlineStr">
        <is>
          <t>2025-02</t>
        </is>
      </c>
      <c r="D930" s="46" t="n">
        <v>2025</v>
      </c>
      <c r="E930" s="46" t="inlineStr">
        <is>
          <t>P-HB-004</t>
        </is>
      </c>
      <c r="F930" s="46" t="inlineStr">
        <is>
          <t>C-HB-02</t>
        </is>
      </c>
      <c r="G930" s="48" t="inlineStr">
        <is>
          <t>미국</t>
        </is>
      </c>
      <c r="H930" s="46" t="inlineStr">
        <is>
          <t>US</t>
        </is>
      </c>
      <c r="I930" s="49" t="n">
        <v>8617</v>
      </c>
      <c r="J930" s="46" t="inlineStr">
        <is>
          <t>EA</t>
        </is>
      </c>
      <c r="K930" s="50" t="n">
        <v>9.48</v>
      </c>
      <c r="L930" s="50" t="n">
        <v>235792.91</v>
      </c>
      <c r="M930" s="46" t="inlineStr">
        <is>
          <t>USD</t>
        </is>
      </c>
      <c r="N930" s="46" t="inlineStr">
        <is>
          <t>FOB</t>
        </is>
      </c>
      <c r="O930" s="46" t="inlineStr">
        <is>
          <t>N</t>
        </is>
      </c>
      <c r="P930" s="50" t="n">
        <v>1444.7932</v>
      </c>
      <c r="Q930" s="49">
        <f>IF(OR(L930="",M930="",P930=""),"",L930*P930)</f>
        <v/>
      </c>
    </row>
    <row r="931" ht="15" customHeight="1" s="32">
      <c r="A931" s="46" t="inlineStr">
        <is>
          <t>R-HB-0930</t>
        </is>
      </c>
      <c r="B931" s="47" t="n">
        <v>45711</v>
      </c>
      <c r="C931" s="46" t="inlineStr">
        <is>
          <t>2025-02</t>
        </is>
      </c>
      <c r="D931" s="46" t="n">
        <v>2025</v>
      </c>
      <c r="E931" s="46" t="inlineStr">
        <is>
          <t>P-HB-002</t>
        </is>
      </c>
      <c r="F931" s="46" t="inlineStr">
        <is>
          <t>C-HB-08</t>
        </is>
      </c>
      <c r="G931" s="48" t="inlineStr">
        <is>
          <t>중국</t>
        </is>
      </c>
      <c r="H931" s="46" t="inlineStr">
        <is>
          <t>CN</t>
        </is>
      </c>
      <c r="I931" s="49" t="n">
        <v>1273</v>
      </c>
      <c r="J931" s="46" t="inlineStr">
        <is>
          <t>EA</t>
        </is>
      </c>
      <c r="K931" s="50" t="n">
        <v>2.8</v>
      </c>
      <c r="L931" s="50" t="n">
        <v>483593.65</v>
      </c>
      <c r="M931" s="46" t="inlineStr">
        <is>
          <t>USD</t>
        </is>
      </c>
      <c r="N931" s="46" t="inlineStr">
        <is>
          <t>FOB</t>
        </is>
      </c>
      <c r="O931" s="46" t="inlineStr">
        <is>
          <t>N</t>
        </is>
      </c>
      <c r="P931" s="50" t="n">
        <v>1444.7932</v>
      </c>
      <c r="Q931" s="49">
        <f>IF(OR(L931="",M931="",P931=""),"",L931*P931)</f>
        <v/>
      </c>
    </row>
    <row r="932" ht="15" customHeight="1" s="32">
      <c r="A932" s="46" t="inlineStr">
        <is>
          <t>R-HB-0931</t>
        </is>
      </c>
      <c r="B932" s="47" t="n">
        <v>45712</v>
      </c>
      <c r="C932" s="46" t="inlineStr">
        <is>
          <t>2025-02</t>
        </is>
      </c>
      <c r="D932" s="46" t="n">
        <v>2025</v>
      </c>
      <c r="E932" s="46" t="inlineStr">
        <is>
          <t>P-HB-002</t>
        </is>
      </c>
      <c r="F932" s="46" t="inlineStr">
        <is>
          <t>C-HB-02</t>
        </is>
      </c>
      <c r="G932" s="48" t="inlineStr">
        <is>
          <t>미국</t>
        </is>
      </c>
      <c r="H932" s="46" t="inlineStr">
        <is>
          <t>US</t>
        </is>
      </c>
      <c r="I932" s="49" t="n">
        <v>669</v>
      </c>
      <c r="J932" s="46" t="inlineStr">
        <is>
          <t>EA</t>
        </is>
      </c>
      <c r="K932" s="50" t="n">
        <v>1.47</v>
      </c>
      <c r="L932" s="50" t="n">
        <v>251374.39</v>
      </c>
      <c r="M932" s="46" t="inlineStr">
        <is>
          <t>USD</t>
        </is>
      </c>
      <c r="N932" s="46" t="inlineStr">
        <is>
          <t>FOB</t>
        </is>
      </c>
      <c r="O932" s="46" t="inlineStr">
        <is>
          <t>N</t>
        </is>
      </c>
      <c r="P932" s="50" t="n">
        <v>1444.7932</v>
      </c>
      <c r="Q932" s="49">
        <f>IF(OR(L932="",M932="",P932=""),"",L932*P932)</f>
        <v/>
      </c>
    </row>
    <row r="933" ht="15" customHeight="1" s="32">
      <c r="A933" s="46" t="inlineStr">
        <is>
          <t>R-HB-0932</t>
        </is>
      </c>
      <c r="B933" s="47" t="n">
        <v>45713</v>
      </c>
      <c r="C933" s="46" t="inlineStr">
        <is>
          <t>2025-02</t>
        </is>
      </c>
      <c r="D933" s="46" t="n">
        <v>2025</v>
      </c>
      <c r="E933" s="46" t="inlineStr">
        <is>
          <t>P-HB-002</t>
        </is>
      </c>
      <c r="F933" s="46" t="inlineStr">
        <is>
          <t>C-HB-01</t>
        </is>
      </c>
      <c r="G933" s="48" t="inlineStr">
        <is>
          <t>미국</t>
        </is>
      </c>
      <c r="H933" s="46" t="inlineStr">
        <is>
          <t>US</t>
        </is>
      </c>
      <c r="I933" s="49" t="n">
        <v>1082</v>
      </c>
      <c r="J933" s="46" t="inlineStr">
        <is>
          <t>EA</t>
        </is>
      </c>
      <c r="K933" s="50" t="n">
        <v>2.38</v>
      </c>
      <c r="L933" s="50" t="n">
        <v>435391.18</v>
      </c>
      <c r="M933" s="46" t="inlineStr">
        <is>
          <t>USD</t>
        </is>
      </c>
      <c r="N933" s="46" t="inlineStr">
        <is>
          <t>FOB</t>
        </is>
      </c>
      <c r="O933" s="46" t="inlineStr">
        <is>
          <t>N</t>
        </is>
      </c>
      <c r="P933" s="50" t="n">
        <v>1444.7932</v>
      </c>
      <c r="Q933" s="49">
        <f>IF(OR(L933="",M933="",P933=""),"",L933*P933)</f>
        <v/>
      </c>
    </row>
    <row r="934" ht="15" customHeight="1" s="32">
      <c r="A934" s="46" t="inlineStr">
        <is>
          <t>R-HB-0933</t>
        </is>
      </c>
      <c r="B934" s="47" t="n">
        <v>45713</v>
      </c>
      <c r="C934" s="46" t="inlineStr">
        <is>
          <t>2025-02</t>
        </is>
      </c>
      <c r="D934" s="46" t="n">
        <v>2025</v>
      </c>
      <c r="E934" s="46" t="inlineStr">
        <is>
          <t>P-HB-003</t>
        </is>
      </c>
      <c r="F934" s="46" t="inlineStr">
        <is>
          <t>C-HB-02</t>
        </is>
      </c>
      <c r="G934" s="48" t="inlineStr">
        <is>
          <t>미국</t>
        </is>
      </c>
      <c r="H934" s="46" t="inlineStr">
        <is>
          <t>US</t>
        </is>
      </c>
      <c r="I934" s="49" t="n">
        <v>26383</v>
      </c>
      <c r="J934" s="46" t="inlineStr">
        <is>
          <t>EA</t>
        </is>
      </c>
      <c r="K934" s="50" t="n">
        <v>17.15</v>
      </c>
      <c r="L934" s="50" t="n">
        <v>213510.75</v>
      </c>
      <c r="M934" s="46" t="inlineStr">
        <is>
          <t>USD</t>
        </is>
      </c>
      <c r="N934" s="46" t="inlineStr">
        <is>
          <t>FOB</t>
        </is>
      </c>
      <c r="O934" s="46" t="inlineStr">
        <is>
          <t>N</t>
        </is>
      </c>
      <c r="P934" s="50" t="n">
        <v>1444.7932</v>
      </c>
      <c r="Q934" s="49">
        <f>IF(OR(L934="",M934="",P934=""),"",L934*P934)</f>
        <v/>
      </c>
    </row>
    <row r="935" ht="15" customHeight="1" s="32">
      <c r="A935" s="46" t="inlineStr">
        <is>
          <t>R-HB-0934</t>
        </is>
      </c>
      <c r="B935" s="47" t="n">
        <v>45715</v>
      </c>
      <c r="C935" s="46" t="inlineStr">
        <is>
          <t>2025-02</t>
        </is>
      </c>
      <c r="D935" s="46" t="n">
        <v>2025</v>
      </c>
      <c r="E935" s="46" t="inlineStr">
        <is>
          <t>P-HB-003</t>
        </is>
      </c>
      <c r="F935" s="46" t="inlineStr">
        <is>
          <t>C-HB-01</t>
        </is>
      </c>
      <c r="G935" s="48" t="inlineStr">
        <is>
          <t>미국</t>
        </is>
      </c>
      <c r="H935" s="46" t="inlineStr">
        <is>
          <t>US</t>
        </is>
      </c>
      <c r="I935" s="49" t="n">
        <v>50000</v>
      </c>
      <c r="J935" s="46" t="inlineStr">
        <is>
          <t>EA</t>
        </is>
      </c>
      <c r="K935" s="50" t="n">
        <v>32.5</v>
      </c>
      <c r="L935" s="50" t="n">
        <v>392985.88</v>
      </c>
      <c r="M935" s="46" t="inlineStr">
        <is>
          <t>USD</t>
        </is>
      </c>
      <c r="N935" s="46" t="inlineStr">
        <is>
          <t>FOB</t>
        </is>
      </c>
      <c r="O935" s="46" t="inlineStr">
        <is>
          <t>N</t>
        </is>
      </c>
      <c r="P935" s="50" t="n">
        <v>1444.7932</v>
      </c>
      <c r="Q935" s="49">
        <f>IF(OR(L935="",M935="",P935=""),"",L935*P935)</f>
        <v/>
      </c>
    </row>
    <row r="936" ht="15" customHeight="1" s="32">
      <c r="A936" s="46" t="inlineStr">
        <is>
          <t>R-HB-0935</t>
        </is>
      </c>
      <c r="B936" s="47" t="n">
        <v>45715</v>
      </c>
      <c r="C936" s="46" t="inlineStr">
        <is>
          <t>2025-02</t>
        </is>
      </c>
      <c r="D936" s="46" t="n">
        <v>2025</v>
      </c>
      <c r="E936" s="46" t="inlineStr">
        <is>
          <t>P-HB-004</t>
        </is>
      </c>
      <c r="F936" s="46" t="inlineStr">
        <is>
          <t>C-HB-03</t>
        </is>
      </c>
      <c r="G936" s="48" t="inlineStr">
        <is>
          <t>멕시코</t>
        </is>
      </c>
      <c r="H936" s="46" t="inlineStr">
        <is>
          <t>MX</t>
        </is>
      </c>
      <c r="I936" s="49" t="n">
        <v>2944</v>
      </c>
      <c r="J936" s="46" t="inlineStr">
        <is>
          <t>EA</t>
        </is>
      </c>
      <c r="K936" s="50" t="n">
        <v>3.24</v>
      </c>
      <c r="L936" s="50" t="n">
        <v>85581.39</v>
      </c>
      <c r="M936" s="46" t="inlineStr">
        <is>
          <t>USD</t>
        </is>
      </c>
      <c r="N936" s="46" t="inlineStr">
        <is>
          <t>FOB</t>
        </is>
      </c>
      <c r="O936" s="46" t="inlineStr">
        <is>
          <t>N</t>
        </is>
      </c>
      <c r="P936" s="50" t="n">
        <v>1444.7932</v>
      </c>
      <c r="Q936" s="49">
        <f>IF(OR(L936="",M936="",P936=""),"",L936*P936)</f>
        <v/>
      </c>
    </row>
    <row r="937" ht="15" customHeight="1" s="32">
      <c r="A937" s="46" t="inlineStr">
        <is>
          <t>R-HB-0936</t>
        </is>
      </c>
      <c r="B937" s="47" t="n">
        <v>45715</v>
      </c>
      <c r="C937" s="46" t="inlineStr">
        <is>
          <t>2025-02</t>
        </is>
      </c>
      <c r="D937" s="46" t="n">
        <v>2025</v>
      </c>
      <c r="E937" s="46" t="inlineStr">
        <is>
          <t>P-HB-002</t>
        </is>
      </c>
      <c r="F937" s="46" t="inlineStr">
        <is>
          <t>C-HB-06</t>
        </is>
      </c>
      <c r="G937" s="48" t="inlineStr">
        <is>
          <t>베트남</t>
        </is>
      </c>
      <c r="H937" s="46" t="inlineStr">
        <is>
          <t>VN</t>
        </is>
      </c>
      <c r="I937" s="49" t="n">
        <v>783</v>
      </c>
      <c r="J937" s="46" t="inlineStr">
        <is>
          <t>EA</t>
        </is>
      </c>
      <c r="K937" s="50" t="n">
        <v>1.72</v>
      </c>
      <c r="L937" s="50" t="n">
        <v>308738.93</v>
      </c>
      <c r="M937" s="46" t="inlineStr">
        <is>
          <t>USD</t>
        </is>
      </c>
      <c r="N937" s="46" t="inlineStr">
        <is>
          <t>FOB</t>
        </is>
      </c>
      <c r="O937" s="46" t="inlineStr">
        <is>
          <t>N</t>
        </is>
      </c>
      <c r="P937" s="50" t="n">
        <v>1444.7932</v>
      </c>
      <c r="Q937" s="49">
        <f>IF(OR(L937="",M937="",P937=""),"",L937*P937)</f>
        <v/>
      </c>
    </row>
    <row r="938" ht="15" customHeight="1" s="32">
      <c r="A938" s="46" t="inlineStr">
        <is>
          <t>R-HB-0937</t>
        </is>
      </c>
      <c r="B938" s="47" t="n">
        <v>45719</v>
      </c>
      <c r="C938" s="46" t="inlineStr">
        <is>
          <t>2025-03</t>
        </is>
      </c>
      <c r="D938" s="46" t="n">
        <v>2025</v>
      </c>
      <c r="E938" s="46" t="inlineStr">
        <is>
          <t>P-HB-002</t>
        </is>
      </c>
      <c r="F938" s="46" t="inlineStr">
        <is>
          <t>C-HB-07</t>
        </is>
      </c>
      <c r="G938" s="48" t="inlineStr">
        <is>
          <t>인도</t>
        </is>
      </c>
      <c r="H938" s="46" t="inlineStr">
        <is>
          <t>IN</t>
        </is>
      </c>
      <c r="I938" s="49" t="n">
        <v>574</v>
      </c>
      <c r="J938" s="46" t="inlineStr">
        <is>
          <t>EA</t>
        </is>
      </c>
      <c r="K938" s="50" t="n">
        <v>1.26</v>
      </c>
      <c r="L938" s="50" t="n">
        <v>224067.48</v>
      </c>
      <c r="M938" s="46" t="inlineStr">
        <is>
          <t>USD</t>
        </is>
      </c>
      <c r="N938" s="46" t="inlineStr">
        <is>
          <t>FOB</t>
        </is>
      </c>
      <c r="O938" s="46" t="inlineStr">
        <is>
          <t>N</t>
        </is>
      </c>
      <c r="P938" s="50" t="n">
        <v>1458.3452</v>
      </c>
      <c r="Q938" s="49">
        <f>IF(OR(L938="",M938="",P938=""),"",L938*P938)</f>
        <v/>
      </c>
    </row>
    <row r="939" ht="15" customHeight="1" s="32">
      <c r="A939" s="46" t="inlineStr">
        <is>
          <t>R-HB-0938</t>
        </is>
      </c>
      <c r="B939" s="47" t="n">
        <v>45720</v>
      </c>
      <c r="C939" s="46" t="inlineStr">
        <is>
          <t>2025-03</t>
        </is>
      </c>
      <c r="D939" s="46" t="n">
        <v>2025</v>
      </c>
      <c r="E939" s="46" t="inlineStr">
        <is>
          <t>P-HB-001</t>
        </is>
      </c>
      <c r="F939" s="46" t="inlineStr">
        <is>
          <t>C-HB-06</t>
        </is>
      </c>
      <c r="G939" s="48" t="inlineStr">
        <is>
          <t>베트남</t>
        </is>
      </c>
      <c r="H939" s="46" t="inlineStr">
        <is>
          <t>VN</t>
        </is>
      </c>
      <c r="I939" s="49" t="n">
        <v>135091</v>
      </c>
      <c r="J939" s="46" t="inlineStr">
        <is>
          <t>EA</t>
        </is>
      </c>
      <c r="K939" s="50" t="n">
        <v>60.79</v>
      </c>
      <c r="L939" s="50" t="n">
        <v>792435.96</v>
      </c>
      <c r="M939" s="46" t="inlineStr">
        <is>
          <t>USD</t>
        </is>
      </c>
      <c r="N939" s="46" t="inlineStr">
        <is>
          <t>FOB</t>
        </is>
      </c>
      <c r="O939" s="46" t="inlineStr">
        <is>
          <t>N</t>
        </is>
      </c>
      <c r="P939" s="50" t="n">
        <v>1458.3452</v>
      </c>
      <c r="Q939" s="49">
        <f>IF(OR(L939="",M939="",P939=""),"",L939*P939)</f>
        <v/>
      </c>
    </row>
    <row r="940" ht="15" customHeight="1" s="32">
      <c r="A940" s="46" t="inlineStr">
        <is>
          <t>R-HB-0939</t>
        </is>
      </c>
      <c r="B940" s="47" t="n">
        <v>45720</v>
      </c>
      <c r="C940" s="46" t="inlineStr">
        <is>
          <t>2025-03</t>
        </is>
      </c>
      <c r="D940" s="46" t="n">
        <v>2025</v>
      </c>
      <c r="E940" s="46" t="inlineStr">
        <is>
          <t>P-HB-003</t>
        </is>
      </c>
      <c r="F940" s="46" t="inlineStr">
        <is>
          <t>C-HB-08</t>
        </is>
      </c>
      <c r="G940" s="48" t="inlineStr">
        <is>
          <t>중국</t>
        </is>
      </c>
      <c r="H940" s="46" t="inlineStr">
        <is>
          <t>CN</t>
        </is>
      </c>
      <c r="I940" s="49" t="n">
        <v>52674</v>
      </c>
      <c r="J940" s="46" t="inlineStr">
        <is>
          <t>EA</t>
        </is>
      </c>
      <c r="K940" s="50" t="n">
        <v>34.24</v>
      </c>
      <c r="L940" s="50" t="n">
        <v>422770.97</v>
      </c>
      <c r="M940" s="46" t="inlineStr">
        <is>
          <t>USD</t>
        </is>
      </c>
      <c r="N940" s="46" t="inlineStr">
        <is>
          <t>FOB</t>
        </is>
      </c>
      <c r="O940" s="46" t="inlineStr">
        <is>
          <t>N</t>
        </is>
      </c>
      <c r="P940" s="50" t="n">
        <v>1458.3452</v>
      </c>
      <c r="Q940" s="49">
        <f>IF(OR(L940="",M940="",P940=""),"",L940*P940)</f>
        <v/>
      </c>
    </row>
    <row r="941" ht="15" customHeight="1" s="32">
      <c r="A941" s="46" t="inlineStr">
        <is>
          <t>R-HB-0940</t>
        </is>
      </c>
      <c r="B941" s="47" t="n">
        <v>45721</v>
      </c>
      <c r="C941" s="46" t="inlineStr">
        <is>
          <t>2025-03</t>
        </is>
      </c>
      <c r="D941" s="46" t="n">
        <v>2025</v>
      </c>
      <c r="E941" s="46" t="inlineStr">
        <is>
          <t>P-HB-001</t>
        </is>
      </c>
      <c r="F941" s="46" t="inlineStr">
        <is>
          <t>C-HB-02</t>
        </is>
      </c>
      <c r="G941" s="48" t="inlineStr">
        <is>
          <t>미국</t>
        </is>
      </c>
      <c r="H941" s="46" t="inlineStr">
        <is>
          <t>US</t>
        </is>
      </c>
      <c r="I941" s="49" t="n">
        <v>98884</v>
      </c>
      <c r="J941" s="46" t="inlineStr">
        <is>
          <t>EA</t>
        </is>
      </c>
      <c r="K941" s="50" t="n">
        <v>44.5</v>
      </c>
      <c r="L941" s="50" t="n">
        <v>577580.74</v>
      </c>
      <c r="M941" s="46" t="inlineStr">
        <is>
          <t>USD</t>
        </is>
      </c>
      <c r="N941" s="46" t="inlineStr">
        <is>
          <t>FOB</t>
        </is>
      </c>
      <c r="O941" s="46" t="inlineStr">
        <is>
          <t>N</t>
        </is>
      </c>
      <c r="P941" s="50" t="n">
        <v>1458.3452</v>
      </c>
      <c r="Q941" s="49">
        <f>IF(OR(L941="",M941="",P941=""),"",L941*P941)</f>
        <v/>
      </c>
    </row>
    <row r="942" ht="15" customHeight="1" s="32">
      <c r="A942" s="46" t="inlineStr">
        <is>
          <t>R-HB-0941</t>
        </is>
      </c>
      <c r="B942" s="47" t="n">
        <v>45721</v>
      </c>
      <c r="C942" s="46" t="inlineStr">
        <is>
          <t>2025-03</t>
        </is>
      </c>
      <c r="D942" s="46" t="n">
        <v>2025</v>
      </c>
      <c r="E942" s="46" t="inlineStr">
        <is>
          <t>P-HB-003</t>
        </is>
      </c>
      <c r="F942" s="46" t="inlineStr">
        <is>
          <t>C-HB-05</t>
        </is>
      </c>
      <c r="G942" s="48" t="inlineStr">
        <is>
          <t>독일</t>
        </is>
      </c>
      <c r="H942" s="46" t="inlineStr">
        <is>
          <t>DE</t>
        </is>
      </c>
      <c r="I942" s="49" t="n">
        <v>42161</v>
      </c>
      <c r="J942" s="46" t="inlineStr">
        <is>
          <t>EA</t>
        </is>
      </c>
      <c r="K942" s="50" t="n">
        <v>27.4</v>
      </c>
      <c r="L942" s="50" t="n">
        <v>335911.07</v>
      </c>
      <c r="M942" s="46" t="inlineStr">
        <is>
          <t>USD</t>
        </is>
      </c>
      <c r="N942" s="46" t="inlineStr">
        <is>
          <t>FOB</t>
        </is>
      </c>
      <c r="O942" s="46" t="inlineStr">
        <is>
          <t>N</t>
        </is>
      </c>
      <c r="P942" s="50" t="n">
        <v>1458.3452</v>
      </c>
      <c r="Q942" s="49">
        <f>IF(OR(L942="",M942="",P942=""),"",L942*P942)</f>
        <v/>
      </c>
    </row>
    <row r="943" ht="15" customHeight="1" s="32">
      <c r="A943" s="46" t="inlineStr">
        <is>
          <t>R-HB-0942</t>
        </is>
      </c>
      <c r="B943" s="47" t="n">
        <v>45721</v>
      </c>
      <c r="C943" s="46" t="inlineStr">
        <is>
          <t>2025-03</t>
        </is>
      </c>
      <c r="D943" s="46" t="n">
        <v>2025</v>
      </c>
      <c r="E943" s="46" t="inlineStr">
        <is>
          <t>P-HB-004</t>
        </is>
      </c>
      <c r="F943" s="46" t="inlineStr">
        <is>
          <t>C-HB-05</t>
        </is>
      </c>
      <c r="G943" s="48" t="inlineStr">
        <is>
          <t>독일</t>
        </is>
      </c>
      <c r="H943" s="46" t="inlineStr">
        <is>
          <t>DE</t>
        </is>
      </c>
      <c r="I943" s="49" t="n">
        <v>13322</v>
      </c>
      <c r="J943" s="46" t="inlineStr">
        <is>
          <t>EA</t>
        </is>
      </c>
      <c r="K943" s="50" t="n">
        <v>14.65</v>
      </c>
      <c r="L943" s="50" t="n">
        <v>380008.19</v>
      </c>
      <c r="M943" s="46" t="inlineStr">
        <is>
          <t>USD</t>
        </is>
      </c>
      <c r="N943" s="46" t="inlineStr">
        <is>
          <t>FOB</t>
        </is>
      </c>
      <c r="O943" s="46" t="inlineStr">
        <is>
          <t>N</t>
        </is>
      </c>
      <c r="P943" s="50" t="n">
        <v>1458.3452</v>
      </c>
      <c r="Q943" s="49">
        <f>IF(OR(L943="",M943="",P943=""),"",L943*P943)</f>
        <v/>
      </c>
    </row>
    <row r="944" ht="15" customHeight="1" s="32">
      <c r="A944" s="46" t="inlineStr">
        <is>
          <t>R-HB-0943</t>
        </is>
      </c>
      <c r="B944" s="47" t="n">
        <v>45721</v>
      </c>
      <c r="C944" s="46" t="inlineStr">
        <is>
          <t>2025-03</t>
        </is>
      </c>
      <c r="D944" s="46" t="n">
        <v>2025</v>
      </c>
      <c r="E944" s="46" t="inlineStr">
        <is>
          <t>P-HB-003</t>
        </is>
      </c>
      <c r="F944" s="46" t="inlineStr">
        <is>
          <t>C-HB-06</t>
        </is>
      </c>
      <c r="G944" s="48" t="inlineStr">
        <is>
          <t>베트남</t>
        </is>
      </c>
      <c r="H944" s="46" t="inlineStr">
        <is>
          <t>VN</t>
        </is>
      </c>
      <c r="I944" s="49" t="n">
        <v>36172</v>
      </c>
      <c r="J944" s="46" t="inlineStr">
        <is>
          <t>EA</t>
        </is>
      </c>
      <c r="K944" s="50" t="n">
        <v>23.51</v>
      </c>
      <c r="L944" s="50" t="n">
        <v>281803.83</v>
      </c>
      <c r="M944" s="46" t="inlineStr">
        <is>
          <t>USD</t>
        </is>
      </c>
      <c r="N944" s="46" t="inlineStr">
        <is>
          <t>FOB</t>
        </is>
      </c>
      <c r="O944" s="46" t="inlineStr">
        <is>
          <t>N</t>
        </is>
      </c>
      <c r="P944" s="50" t="n">
        <v>1458.3452</v>
      </c>
      <c r="Q944" s="49">
        <f>IF(OR(L944="",M944="",P944=""),"",L944*P944)</f>
        <v/>
      </c>
    </row>
    <row r="945" ht="15" customHeight="1" s="32">
      <c r="A945" s="46" t="inlineStr">
        <is>
          <t>R-HB-0944</t>
        </is>
      </c>
      <c r="B945" s="47" t="n">
        <v>45723</v>
      </c>
      <c r="C945" s="46" t="inlineStr">
        <is>
          <t>2025-03</t>
        </is>
      </c>
      <c r="D945" s="46" t="n">
        <v>2025</v>
      </c>
      <c r="E945" s="46" t="inlineStr">
        <is>
          <t>P-HB-001</t>
        </is>
      </c>
      <c r="F945" s="46" t="inlineStr">
        <is>
          <t>C-HB-05</t>
        </is>
      </c>
      <c r="G945" s="48" t="inlineStr">
        <is>
          <t>독일</t>
        </is>
      </c>
      <c r="H945" s="46" t="inlineStr">
        <is>
          <t>DE</t>
        </is>
      </c>
      <c r="I945" s="49" t="n">
        <v>154703</v>
      </c>
      <c r="J945" s="46" t="inlineStr">
        <is>
          <t>EA</t>
        </is>
      </c>
      <c r="K945" s="50" t="n">
        <v>69.62</v>
      </c>
      <c r="L945" s="50" t="n">
        <v>862808.61</v>
      </c>
      <c r="M945" s="46" t="inlineStr">
        <is>
          <t>USD</t>
        </is>
      </c>
      <c r="N945" s="46" t="inlineStr">
        <is>
          <t>FOB</t>
        </is>
      </c>
      <c r="O945" s="46" t="inlineStr">
        <is>
          <t>N</t>
        </is>
      </c>
      <c r="P945" s="50" t="n">
        <v>1458.3452</v>
      </c>
      <c r="Q945" s="49">
        <f>IF(OR(L945="",M945="",P945=""),"",L945*P945)</f>
        <v/>
      </c>
    </row>
    <row r="946" ht="15" customHeight="1" s="32">
      <c r="A946" s="46" t="inlineStr">
        <is>
          <t>R-HB-0945</t>
        </is>
      </c>
      <c r="B946" s="47" t="n">
        <v>45723</v>
      </c>
      <c r="C946" s="46" t="inlineStr">
        <is>
          <t>2025-03</t>
        </is>
      </c>
      <c r="D946" s="46" t="n">
        <v>2025</v>
      </c>
      <c r="E946" s="46" t="inlineStr">
        <is>
          <t>P-HB-004</t>
        </is>
      </c>
      <c r="F946" s="46" t="inlineStr">
        <is>
          <t>C-HB-06</t>
        </is>
      </c>
      <c r="G946" s="48" t="inlineStr">
        <is>
          <t>베트남</t>
        </is>
      </c>
      <c r="H946" s="46" t="inlineStr">
        <is>
          <t>VN</t>
        </is>
      </c>
      <c r="I946" s="49" t="n">
        <v>12343</v>
      </c>
      <c r="J946" s="46" t="inlineStr">
        <is>
          <t>EA</t>
        </is>
      </c>
      <c r="K946" s="50" t="n">
        <v>13.58</v>
      </c>
      <c r="L946" s="50" t="n">
        <v>337882.98</v>
      </c>
      <c r="M946" s="46" t="inlineStr">
        <is>
          <t>USD</t>
        </is>
      </c>
      <c r="N946" s="46" t="inlineStr">
        <is>
          <t>FOB</t>
        </is>
      </c>
      <c r="O946" s="46" t="inlineStr">
        <is>
          <t>N</t>
        </is>
      </c>
      <c r="P946" s="50" t="n">
        <v>1458.3452</v>
      </c>
      <c r="Q946" s="49">
        <f>IF(OR(L946="",M946="",P946=""),"",L946*P946)</f>
        <v/>
      </c>
    </row>
    <row r="947" ht="15" customHeight="1" s="32">
      <c r="A947" s="46" t="inlineStr">
        <is>
          <t>R-HB-0946</t>
        </is>
      </c>
      <c r="B947" s="47" t="n">
        <v>45723</v>
      </c>
      <c r="C947" s="46" t="inlineStr">
        <is>
          <t>2025-03</t>
        </is>
      </c>
      <c r="D947" s="46" t="n">
        <v>2025</v>
      </c>
      <c r="E947" s="46" t="inlineStr">
        <is>
          <t>P-HB-001</t>
        </is>
      </c>
      <c r="F947" s="46" t="inlineStr">
        <is>
          <t>C-HB-07</t>
        </is>
      </c>
      <c r="G947" s="48" t="inlineStr">
        <is>
          <t>인도</t>
        </is>
      </c>
      <c r="H947" s="46" t="inlineStr">
        <is>
          <t>IN</t>
        </is>
      </c>
      <c r="I947" s="49" t="n">
        <v>83918</v>
      </c>
      <c r="J947" s="46" t="inlineStr">
        <is>
          <t>EA</t>
        </is>
      </c>
      <c r="K947" s="50" t="n">
        <v>37.76</v>
      </c>
      <c r="L947" s="50" t="n">
        <v>483672.35</v>
      </c>
      <c r="M947" s="46" t="inlineStr">
        <is>
          <t>USD</t>
        </is>
      </c>
      <c r="N947" s="46" t="inlineStr">
        <is>
          <t>FOB</t>
        </is>
      </c>
      <c r="O947" s="46" t="inlineStr">
        <is>
          <t>N</t>
        </is>
      </c>
      <c r="P947" s="50" t="n">
        <v>1458.3452</v>
      </c>
      <c r="Q947" s="49">
        <f>IF(OR(L947="",M947="",P947=""),"",L947*P947)</f>
        <v/>
      </c>
    </row>
    <row r="948" ht="15" customHeight="1" s="32">
      <c r="A948" s="46" t="inlineStr">
        <is>
          <t>R-HB-0947</t>
        </is>
      </c>
      <c r="B948" s="47" t="n">
        <v>45723</v>
      </c>
      <c r="C948" s="46" t="inlineStr">
        <is>
          <t>2025-03</t>
        </is>
      </c>
      <c r="D948" s="46" t="n">
        <v>2025</v>
      </c>
      <c r="E948" s="46" t="inlineStr">
        <is>
          <t>P-HB-003</t>
        </is>
      </c>
      <c r="F948" s="46" t="inlineStr">
        <is>
          <t>C-HB-09</t>
        </is>
      </c>
      <c r="G948" s="48" t="inlineStr">
        <is>
          <t>중국</t>
        </is>
      </c>
      <c r="H948" s="46" t="inlineStr">
        <is>
          <t>CN</t>
        </is>
      </c>
      <c r="I948" s="49" t="n">
        <v>41454</v>
      </c>
      <c r="J948" s="46" t="inlineStr">
        <is>
          <t>EA</t>
        </is>
      </c>
      <c r="K948" s="50" t="n">
        <v>26.95</v>
      </c>
      <c r="L948" s="50" t="n">
        <v>329409</v>
      </c>
      <c r="M948" s="46" t="inlineStr">
        <is>
          <t>USD</t>
        </is>
      </c>
      <c r="N948" s="46" t="inlineStr">
        <is>
          <t>FOB</t>
        </is>
      </c>
      <c r="O948" s="46" t="inlineStr">
        <is>
          <t>N</t>
        </is>
      </c>
      <c r="P948" s="50" t="n">
        <v>1458.3452</v>
      </c>
      <c r="Q948" s="49">
        <f>IF(OR(L948="",M948="",P948=""),"",L948*P948)</f>
        <v/>
      </c>
    </row>
    <row r="949" ht="15" customHeight="1" s="32">
      <c r="A949" s="46" t="inlineStr">
        <is>
          <t>R-HB-0948</t>
        </is>
      </c>
      <c r="B949" s="47" t="n">
        <v>45724</v>
      </c>
      <c r="C949" s="46" t="inlineStr">
        <is>
          <t>2025-03</t>
        </is>
      </c>
      <c r="D949" s="46" t="n">
        <v>2025</v>
      </c>
      <c r="E949" s="46" t="inlineStr">
        <is>
          <t>P-HB-004</t>
        </is>
      </c>
      <c r="F949" s="46" t="inlineStr">
        <is>
          <t>C-HB-03</t>
        </is>
      </c>
      <c r="G949" s="48" t="inlineStr">
        <is>
          <t>멕시코</t>
        </is>
      </c>
      <c r="H949" s="46" t="inlineStr">
        <is>
          <t>MX</t>
        </is>
      </c>
      <c r="I949" s="49" t="n">
        <v>2990</v>
      </c>
      <c r="J949" s="46" t="inlineStr">
        <is>
          <t>EA</t>
        </is>
      </c>
      <c r="K949" s="50" t="n">
        <v>3.29</v>
      </c>
      <c r="L949" s="50" t="n">
        <v>80679.53999999999</v>
      </c>
      <c r="M949" s="46" t="inlineStr">
        <is>
          <t>USD</t>
        </is>
      </c>
      <c r="N949" s="46" t="inlineStr">
        <is>
          <t>FOB</t>
        </is>
      </c>
      <c r="O949" s="46" t="inlineStr">
        <is>
          <t>N</t>
        </is>
      </c>
      <c r="P949" s="50" t="n">
        <v>1458.3452</v>
      </c>
      <c r="Q949" s="49">
        <f>IF(OR(L949="",M949="",P949=""),"",L949*P949)</f>
        <v/>
      </c>
    </row>
    <row r="950" ht="15" customHeight="1" s="32">
      <c r="A950" s="46" t="inlineStr">
        <is>
          <t>R-HB-0949</t>
        </is>
      </c>
      <c r="B950" s="47" t="n">
        <v>45724</v>
      </c>
      <c r="C950" s="46" t="inlineStr">
        <is>
          <t>2025-03</t>
        </is>
      </c>
      <c r="D950" s="46" t="n">
        <v>2025</v>
      </c>
      <c r="E950" s="46" t="inlineStr">
        <is>
          <t>P-HB-002</t>
        </is>
      </c>
      <c r="F950" s="46" t="inlineStr">
        <is>
          <t>C-HB-09</t>
        </is>
      </c>
      <c r="G950" s="48" t="inlineStr">
        <is>
          <t>중국</t>
        </is>
      </c>
      <c r="H950" s="46" t="inlineStr">
        <is>
          <t>CN</t>
        </is>
      </c>
      <c r="I950" s="49" t="n">
        <v>862</v>
      </c>
      <c r="J950" s="46" t="inlineStr">
        <is>
          <t>EA</t>
        </is>
      </c>
      <c r="K950" s="50" t="n">
        <v>1.9</v>
      </c>
      <c r="L950" s="50" t="n">
        <v>343673.44</v>
      </c>
      <c r="M950" s="46" t="inlineStr">
        <is>
          <t>USD</t>
        </is>
      </c>
      <c r="N950" s="46" t="inlineStr">
        <is>
          <t>FOB</t>
        </is>
      </c>
      <c r="O950" s="46" t="inlineStr">
        <is>
          <t>N</t>
        </is>
      </c>
      <c r="P950" s="50" t="n">
        <v>1458.3452</v>
      </c>
      <c r="Q950" s="49">
        <f>IF(OR(L950="",M950="",P950=""),"",L950*P950)</f>
        <v/>
      </c>
    </row>
    <row r="951" ht="15" customHeight="1" s="32">
      <c r="A951" s="46" t="inlineStr">
        <is>
          <t>R-HB-0950</t>
        </is>
      </c>
      <c r="B951" s="47" t="n">
        <v>45728</v>
      </c>
      <c r="C951" s="46" t="inlineStr">
        <is>
          <t>2025-03</t>
        </is>
      </c>
      <c r="D951" s="46" t="n">
        <v>2025</v>
      </c>
      <c r="E951" s="46" t="inlineStr">
        <is>
          <t>P-HB-004</t>
        </is>
      </c>
      <c r="F951" s="46" t="inlineStr">
        <is>
          <t>C-HB-02</t>
        </is>
      </c>
      <c r="G951" s="48" t="inlineStr">
        <is>
          <t>미국</t>
        </is>
      </c>
      <c r="H951" s="46" t="inlineStr">
        <is>
          <t>US</t>
        </is>
      </c>
      <c r="I951" s="49" t="n">
        <v>8803</v>
      </c>
      <c r="J951" s="46" t="inlineStr">
        <is>
          <t>EA</t>
        </is>
      </c>
      <c r="K951" s="50" t="n">
        <v>9.68</v>
      </c>
      <c r="L951" s="50" t="n">
        <v>249393.86</v>
      </c>
      <c r="M951" s="46" t="inlineStr">
        <is>
          <t>USD</t>
        </is>
      </c>
      <c r="N951" s="46" t="inlineStr">
        <is>
          <t>FOB</t>
        </is>
      </c>
      <c r="O951" s="46" t="inlineStr">
        <is>
          <t>N</t>
        </is>
      </c>
      <c r="P951" s="50" t="n">
        <v>1458.3452</v>
      </c>
      <c r="Q951" s="49">
        <f>IF(OR(L951="",M951="",P951=""),"",L951*P951)</f>
        <v/>
      </c>
    </row>
    <row r="952" ht="15" customHeight="1" s="32">
      <c r="A952" s="46" t="inlineStr">
        <is>
          <t>R-HB-0951</t>
        </is>
      </c>
      <c r="B952" s="47" t="n">
        <v>45728</v>
      </c>
      <c r="C952" s="46" t="inlineStr">
        <is>
          <t>2025-03</t>
        </is>
      </c>
      <c r="D952" s="46" t="n">
        <v>2025</v>
      </c>
      <c r="E952" s="46" t="inlineStr">
        <is>
          <t>P-HB-001</t>
        </is>
      </c>
      <c r="F952" s="46" t="inlineStr">
        <is>
          <t>C-HB-04</t>
        </is>
      </c>
      <c r="G952" s="48" t="inlineStr">
        <is>
          <t>캐나다</t>
        </is>
      </c>
      <c r="H952" s="46" t="inlineStr">
        <is>
          <t>CA</t>
        </is>
      </c>
      <c r="I952" s="49" t="n">
        <v>16464</v>
      </c>
      <c r="J952" s="46" t="inlineStr">
        <is>
          <t>EA</t>
        </is>
      </c>
      <c r="K952" s="50" t="n">
        <v>7.41</v>
      </c>
      <c r="L952" s="50" t="n">
        <v>95896.64999999999</v>
      </c>
      <c r="M952" s="46" t="inlineStr">
        <is>
          <t>USD</t>
        </is>
      </c>
      <c r="N952" s="46" t="inlineStr">
        <is>
          <t>FOB</t>
        </is>
      </c>
      <c r="O952" s="46" t="inlineStr">
        <is>
          <t>N</t>
        </is>
      </c>
      <c r="P952" s="50" t="n">
        <v>1458.3452</v>
      </c>
      <c r="Q952" s="49">
        <f>IF(OR(L952="",M952="",P952=""),"",L952*P952)</f>
        <v/>
      </c>
    </row>
    <row r="953" ht="15" customHeight="1" s="32">
      <c r="A953" s="46" t="inlineStr">
        <is>
          <t>R-HB-0952</t>
        </is>
      </c>
      <c r="B953" s="47" t="n">
        <v>45728</v>
      </c>
      <c r="C953" s="46" t="inlineStr">
        <is>
          <t>2025-03</t>
        </is>
      </c>
      <c r="D953" s="46" t="n">
        <v>2025</v>
      </c>
      <c r="E953" s="46" t="inlineStr">
        <is>
          <t>P-HB-002</t>
        </is>
      </c>
      <c r="F953" s="46" t="inlineStr">
        <is>
          <t>C-HB-06</t>
        </is>
      </c>
      <c r="G953" s="48" t="inlineStr">
        <is>
          <t>베트남</t>
        </is>
      </c>
      <c r="H953" s="46" t="inlineStr">
        <is>
          <t>VN</t>
        </is>
      </c>
      <c r="I953" s="49" t="n">
        <v>810</v>
      </c>
      <c r="J953" s="46" t="inlineStr">
        <is>
          <t>EA</t>
        </is>
      </c>
      <c r="K953" s="50" t="n">
        <v>1.78</v>
      </c>
      <c r="L953" s="50" t="n">
        <v>311041.58</v>
      </c>
      <c r="M953" s="46" t="inlineStr">
        <is>
          <t>USD</t>
        </is>
      </c>
      <c r="N953" s="46" t="inlineStr">
        <is>
          <t>FOB</t>
        </is>
      </c>
      <c r="O953" s="46" t="inlineStr">
        <is>
          <t>N</t>
        </is>
      </c>
      <c r="P953" s="50" t="n">
        <v>1458.3452</v>
      </c>
      <c r="Q953" s="49">
        <f>IF(OR(L953="",M953="",P953=""),"",L953*P953)</f>
        <v/>
      </c>
    </row>
    <row r="954" ht="15" customHeight="1" s="32">
      <c r="A954" s="46" t="inlineStr">
        <is>
          <t>R-HB-0953</t>
        </is>
      </c>
      <c r="B954" s="47" t="n">
        <v>45729</v>
      </c>
      <c r="C954" s="46" t="inlineStr">
        <is>
          <t>2025-03</t>
        </is>
      </c>
      <c r="D954" s="46" t="n">
        <v>2025</v>
      </c>
      <c r="E954" s="46" t="inlineStr">
        <is>
          <t>P-HB-004</t>
        </is>
      </c>
      <c r="F954" s="46" t="inlineStr">
        <is>
          <t>C-HB-09</t>
        </is>
      </c>
      <c r="G954" s="48" t="inlineStr">
        <is>
          <t>중국</t>
        </is>
      </c>
      <c r="H954" s="46" t="inlineStr">
        <is>
          <t>CN</t>
        </is>
      </c>
      <c r="I954" s="49" t="n">
        <v>10944</v>
      </c>
      <c r="J954" s="46" t="inlineStr">
        <is>
          <t>EA</t>
        </is>
      </c>
      <c r="K954" s="50" t="n">
        <v>12.04</v>
      </c>
      <c r="L954" s="50" t="n">
        <v>318625.03</v>
      </c>
      <c r="M954" s="46" t="inlineStr">
        <is>
          <t>USD</t>
        </is>
      </c>
      <c r="N954" s="46" t="inlineStr">
        <is>
          <t>FOB</t>
        </is>
      </c>
      <c r="O954" s="46" t="inlineStr">
        <is>
          <t>N</t>
        </is>
      </c>
      <c r="P954" s="50" t="n">
        <v>1458.3452</v>
      </c>
      <c r="Q954" s="49">
        <f>IF(OR(L954="",M954="",P954=""),"",L954*P954)</f>
        <v/>
      </c>
    </row>
    <row r="955" ht="15" customHeight="1" s="32">
      <c r="A955" s="46" t="inlineStr">
        <is>
          <t>R-HB-0954</t>
        </is>
      </c>
      <c r="B955" s="47" t="n">
        <v>45730</v>
      </c>
      <c r="C955" s="46" t="inlineStr">
        <is>
          <t>2025-03</t>
        </is>
      </c>
      <c r="D955" s="46" t="n">
        <v>2025</v>
      </c>
      <c r="E955" s="46" t="inlineStr">
        <is>
          <t>P-HB-004</t>
        </is>
      </c>
      <c r="F955" s="46" t="inlineStr">
        <is>
          <t>C-HB-01</t>
        </is>
      </c>
      <c r="G955" s="48" t="inlineStr">
        <is>
          <t>미국</t>
        </is>
      </c>
      <c r="H955" s="46" t="inlineStr">
        <is>
          <t>US</t>
        </is>
      </c>
      <c r="I955" s="49" t="n">
        <v>16755</v>
      </c>
      <c r="J955" s="46" t="inlineStr">
        <is>
          <t>EA</t>
        </is>
      </c>
      <c r="K955" s="50" t="n">
        <v>18.43</v>
      </c>
      <c r="L955" s="50" t="n">
        <v>470924.77</v>
      </c>
      <c r="M955" s="46" t="inlineStr">
        <is>
          <t>USD</t>
        </is>
      </c>
      <c r="N955" s="46" t="inlineStr">
        <is>
          <t>FOB</t>
        </is>
      </c>
      <c r="O955" s="46" t="inlineStr">
        <is>
          <t>N</t>
        </is>
      </c>
      <c r="P955" s="50" t="n">
        <v>1458.3452</v>
      </c>
      <c r="Q955" s="49">
        <f>IF(OR(L955="",M955="",P955=""),"",L955*P955)</f>
        <v/>
      </c>
    </row>
    <row r="956" ht="15" customHeight="1" s="32">
      <c r="A956" s="46" t="inlineStr">
        <is>
          <t>R-HB-0955</t>
        </is>
      </c>
      <c r="B956" s="47" t="n">
        <v>45731</v>
      </c>
      <c r="C956" s="46" t="inlineStr">
        <is>
          <t>2025-03</t>
        </is>
      </c>
      <c r="D956" s="46" t="n">
        <v>2025</v>
      </c>
      <c r="E956" s="46" t="inlineStr">
        <is>
          <t>P-HB-002</t>
        </is>
      </c>
      <c r="F956" s="46" t="inlineStr">
        <is>
          <t>C-HB-05</t>
        </is>
      </c>
      <c r="G956" s="48" t="inlineStr">
        <is>
          <t>독일</t>
        </is>
      </c>
      <c r="H956" s="46" t="inlineStr">
        <is>
          <t>DE</t>
        </is>
      </c>
      <c r="I956" s="49" t="n">
        <v>831</v>
      </c>
      <c r="J956" s="46" t="inlineStr">
        <is>
          <t>EA</t>
        </is>
      </c>
      <c r="K956" s="50" t="n">
        <v>1.83</v>
      </c>
      <c r="L956" s="50" t="n">
        <v>331312.12</v>
      </c>
      <c r="M956" s="46" t="inlineStr">
        <is>
          <t>USD</t>
        </is>
      </c>
      <c r="N956" s="46" t="inlineStr">
        <is>
          <t>FOB</t>
        </is>
      </c>
      <c r="O956" s="46" t="inlineStr">
        <is>
          <t>N</t>
        </is>
      </c>
      <c r="P956" s="50" t="n">
        <v>1458.3452</v>
      </c>
      <c r="Q956" s="49">
        <f>IF(OR(L956="",M956="",P956=""),"",L956*P956)</f>
        <v/>
      </c>
    </row>
    <row r="957" ht="15" customHeight="1" s="32">
      <c r="A957" s="46" t="inlineStr">
        <is>
          <t>R-HB-0956</t>
        </is>
      </c>
      <c r="B957" s="47" t="n">
        <v>45731</v>
      </c>
      <c r="C957" s="46" t="inlineStr">
        <is>
          <t>2025-03</t>
        </is>
      </c>
      <c r="D957" s="46" t="n">
        <v>2025</v>
      </c>
      <c r="E957" s="46" t="inlineStr">
        <is>
          <t>P-HB-004</t>
        </is>
      </c>
      <c r="F957" s="46" t="inlineStr">
        <is>
          <t>C-HB-07</t>
        </is>
      </c>
      <c r="G957" s="48" t="inlineStr">
        <is>
          <t>인도</t>
        </is>
      </c>
      <c r="H957" s="46" t="inlineStr">
        <is>
          <t>IN</t>
        </is>
      </c>
      <c r="I957" s="49" t="n">
        <v>8061</v>
      </c>
      <c r="J957" s="46" t="inlineStr">
        <is>
          <t>EA</t>
        </is>
      </c>
      <c r="K957" s="50" t="n">
        <v>8.869999999999999</v>
      </c>
      <c r="L957" s="50" t="n">
        <v>219075.21</v>
      </c>
      <c r="M957" s="46" t="inlineStr">
        <is>
          <t>USD</t>
        </is>
      </c>
      <c r="N957" s="46" t="inlineStr">
        <is>
          <t>FOB</t>
        </is>
      </c>
      <c r="O957" s="46" t="inlineStr">
        <is>
          <t>N</t>
        </is>
      </c>
      <c r="P957" s="50" t="n">
        <v>1458.3452</v>
      </c>
      <c r="Q957" s="49">
        <f>IF(OR(L957="",M957="",P957=""),"",L957*P957)</f>
        <v/>
      </c>
    </row>
    <row r="958" ht="15" customHeight="1" s="32">
      <c r="A958" s="46" t="inlineStr">
        <is>
          <t>R-HB-0957</t>
        </is>
      </c>
      <c r="B958" s="47" t="n">
        <v>45733</v>
      </c>
      <c r="C958" s="46" t="inlineStr">
        <is>
          <t>2025-03</t>
        </is>
      </c>
      <c r="D958" s="46" t="n">
        <v>2025</v>
      </c>
      <c r="E958" s="46" t="inlineStr">
        <is>
          <t>P-HB-003</t>
        </is>
      </c>
      <c r="F958" s="46" t="inlineStr">
        <is>
          <t>C-HB-01</t>
        </is>
      </c>
      <c r="G958" s="48" t="inlineStr">
        <is>
          <t>미국</t>
        </is>
      </c>
      <c r="H958" s="46" t="inlineStr">
        <is>
          <t>US</t>
        </is>
      </c>
      <c r="I958" s="49" t="n">
        <v>50564</v>
      </c>
      <c r="J958" s="46" t="inlineStr">
        <is>
          <t>EA</t>
        </is>
      </c>
      <c r="K958" s="50" t="n">
        <v>32.87</v>
      </c>
      <c r="L958" s="50" t="n">
        <v>412382.9</v>
      </c>
      <c r="M958" s="46" t="inlineStr">
        <is>
          <t>USD</t>
        </is>
      </c>
      <c r="N958" s="46" t="inlineStr">
        <is>
          <t>FOB</t>
        </is>
      </c>
      <c r="O958" s="46" t="inlineStr">
        <is>
          <t>N</t>
        </is>
      </c>
      <c r="P958" s="50" t="n">
        <v>1458.3452</v>
      </c>
      <c r="Q958" s="49">
        <f>IF(OR(L958="",M958="",P958=""),"",L958*P958)</f>
        <v/>
      </c>
    </row>
    <row r="959" ht="15" customHeight="1" s="32">
      <c r="A959" s="46" t="inlineStr">
        <is>
          <t>R-HB-0958</t>
        </is>
      </c>
      <c r="B959" s="47" t="n">
        <v>45733</v>
      </c>
      <c r="C959" s="46" t="inlineStr">
        <is>
          <t>2025-03</t>
        </is>
      </c>
      <c r="D959" s="46" t="n">
        <v>2025</v>
      </c>
      <c r="E959" s="46" t="inlineStr">
        <is>
          <t>P-HB-003</t>
        </is>
      </c>
      <c r="F959" s="46" t="inlineStr">
        <is>
          <t>C-HB-03</t>
        </is>
      </c>
      <c r="G959" s="48" t="inlineStr">
        <is>
          <t>멕시코</t>
        </is>
      </c>
      <c r="H959" s="46" t="inlineStr">
        <is>
          <t>MX</t>
        </is>
      </c>
      <c r="I959" s="49" t="n">
        <v>8931</v>
      </c>
      <c r="J959" s="46" t="inlineStr">
        <is>
          <t>EA</t>
        </is>
      </c>
      <c r="K959" s="50" t="n">
        <v>5.81</v>
      </c>
      <c r="L959" s="50" t="n">
        <v>69668.98</v>
      </c>
      <c r="M959" s="46" t="inlineStr">
        <is>
          <t>USD</t>
        </is>
      </c>
      <c r="N959" s="46" t="inlineStr">
        <is>
          <t>FOB</t>
        </is>
      </c>
      <c r="O959" s="46" t="inlineStr">
        <is>
          <t>N</t>
        </is>
      </c>
      <c r="P959" s="50" t="n">
        <v>1458.3452</v>
      </c>
      <c r="Q959" s="49">
        <f>IF(OR(L959="",M959="",P959=""),"",L959*P959)</f>
        <v/>
      </c>
    </row>
    <row r="960" ht="15" customHeight="1" s="32">
      <c r="A960" s="46" t="inlineStr">
        <is>
          <t>R-HB-0959</t>
        </is>
      </c>
      <c r="B960" s="47" t="n">
        <v>45733</v>
      </c>
      <c r="C960" s="46" t="inlineStr">
        <is>
          <t>2025-03</t>
        </is>
      </c>
      <c r="D960" s="46" t="n">
        <v>2025</v>
      </c>
      <c r="E960" s="46" t="inlineStr">
        <is>
          <t>P-HB-004</t>
        </is>
      </c>
      <c r="F960" s="46" t="inlineStr">
        <is>
          <t>C-HB-04</t>
        </is>
      </c>
      <c r="G960" s="48" t="inlineStr">
        <is>
          <t>캐나다</t>
        </is>
      </c>
      <c r="H960" s="46" t="inlineStr">
        <is>
          <t>CA</t>
        </is>
      </c>
      <c r="I960" s="49" t="n">
        <v>1471</v>
      </c>
      <c r="J960" s="46" t="inlineStr">
        <is>
          <t>EA</t>
        </is>
      </c>
      <c r="K960" s="50" t="n">
        <v>1.62</v>
      </c>
      <c r="L960" s="50" t="n">
        <v>40585.42</v>
      </c>
      <c r="M960" s="46" t="inlineStr">
        <is>
          <t>USD</t>
        </is>
      </c>
      <c r="N960" s="46" t="inlineStr">
        <is>
          <t>FOB</t>
        </is>
      </c>
      <c r="O960" s="46" t="inlineStr">
        <is>
          <t>N</t>
        </is>
      </c>
      <c r="P960" s="50" t="n">
        <v>1458.3452</v>
      </c>
      <c r="Q960" s="49">
        <f>IF(OR(L960="",M960="",P960=""),"",L960*P960)</f>
        <v/>
      </c>
    </row>
    <row r="961" ht="15" customHeight="1" s="32">
      <c r="A961" s="46" t="inlineStr">
        <is>
          <t>R-HB-0960</t>
        </is>
      </c>
      <c r="B961" s="47" t="n">
        <v>45733</v>
      </c>
      <c r="C961" s="46" t="inlineStr">
        <is>
          <t>2025-03</t>
        </is>
      </c>
      <c r="D961" s="46" t="n">
        <v>2025</v>
      </c>
      <c r="E961" s="46" t="inlineStr">
        <is>
          <t>P-HB-002</t>
        </is>
      </c>
      <c r="F961" s="46" t="inlineStr">
        <is>
          <t>C-HB-08</t>
        </is>
      </c>
      <c r="G961" s="48" t="inlineStr">
        <is>
          <t>중국</t>
        </is>
      </c>
      <c r="H961" s="46" t="inlineStr">
        <is>
          <t>CN</t>
        </is>
      </c>
      <c r="I961" s="49" t="n">
        <v>1268</v>
      </c>
      <c r="J961" s="46" t="inlineStr">
        <is>
          <t>EA</t>
        </is>
      </c>
      <c r="K961" s="50" t="n">
        <v>2.79</v>
      </c>
      <c r="L961" s="50" t="n">
        <v>486186.19</v>
      </c>
      <c r="M961" s="46" t="inlineStr">
        <is>
          <t>USD</t>
        </is>
      </c>
      <c r="N961" s="46" t="inlineStr">
        <is>
          <t>FOB</t>
        </is>
      </c>
      <c r="O961" s="46" t="inlineStr">
        <is>
          <t>N</t>
        </is>
      </c>
      <c r="P961" s="50" t="n">
        <v>1458.3452</v>
      </c>
      <c r="Q961" s="49">
        <f>IF(OR(L961="",M961="",P961=""),"",L961*P961)</f>
        <v/>
      </c>
    </row>
    <row r="962" ht="15" customHeight="1" s="32">
      <c r="A962" s="46" t="inlineStr">
        <is>
          <t>R-HB-0961</t>
        </is>
      </c>
      <c r="B962" s="47" t="n">
        <v>45734</v>
      </c>
      <c r="C962" s="46" t="inlineStr">
        <is>
          <t>2025-03</t>
        </is>
      </c>
      <c r="D962" s="46" t="n">
        <v>2025</v>
      </c>
      <c r="E962" s="46" t="inlineStr">
        <is>
          <t>P-HB-002</t>
        </is>
      </c>
      <c r="F962" s="46" t="inlineStr">
        <is>
          <t>C-HB-02</t>
        </is>
      </c>
      <c r="G962" s="48" t="inlineStr">
        <is>
          <t>미국</t>
        </is>
      </c>
      <c r="H962" s="46" t="inlineStr">
        <is>
          <t>US</t>
        </is>
      </c>
      <c r="I962" s="49" t="n">
        <v>619</v>
      </c>
      <c r="J962" s="46" t="inlineStr">
        <is>
          <t>EA</t>
        </is>
      </c>
      <c r="K962" s="50" t="n">
        <v>1.36</v>
      </c>
      <c r="L962" s="50" t="n">
        <v>234054.05</v>
      </c>
      <c r="M962" s="46" t="inlineStr">
        <is>
          <t>USD</t>
        </is>
      </c>
      <c r="N962" s="46" t="inlineStr">
        <is>
          <t>FOB</t>
        </is>
      </c>
      <c r="O962" s="46" t="inlineStr">
        <is>
          <t>N</t>
        </is>
      </c>
      <c r="P962" s="50" t="n">
        <v>1458.3452</v>
      </c>
      <c r="Q962" s="49">
        <f>IF(OR(L962="",M962="",P962=""),"",L962*P962)</f>
        <v/>
      </c>
    </row>
    <row r="963" ht="15" customHeight="1" s="32">
      <c r="A963" s="46" t="inlineStr">
        <is>
          <t>R-HB-0962</t>
        </is>
      </c>
      <c r="B963" s="47" t="n">
        <v>45736</v>
      </c>
      <c r="C963" s="46" t="inlineStr">
        <is>
          <t>2025-03</t>
        </is>
      </c>
      <c r="D963" s="46" t="n">
        <v>2025</v>
      </c>
      <c r="E963" s="46" t="inlineStr">
        <is>
          <t>P-HB-002</t>
        </is>
      </c>
      <c r="F963" s="46" t="inlineStr">
        <is>
          <t>C-HB-01</t>
        </is>
      </c>
      <c r="G963" s="48" t="inlineStr">
        <is>
          <t>미국</t>
        </is>
      </c>
      <c r="H963" s="46" t="inlineStr">
        <is>
          <t>US</t>
        </is>
      </c>
      <c r="I963" s="49" t="n">
        <v>1183</v>
      </c>
      <c r="J963" s="46" t="inlineStr">
        <is>
          <t>EA</t>
        </is>
      </c>
      <c r="K963" s="50" t="n">
        <v>2.6</v>
      </c>
      <c r="L963" s="50" t="n">
        <v>449438.67</v>
      </c>
      <c r="M963" s="46" t="inlineStr">
        <is>
          <t>USD</t>
        </is>
      </c>
      <c r="N963" s="46" t="inlineStr">
        <is>
          <t>FOB</t>
        </is>
      </c>
      <c r="O963" s="46" t="inlineStr">
        <is>
          <t>N</t>
        </is>
      </c>
      <c r="P963" s="50" t="n">
        <v>1458.3452</v>
      </c>
      <c r="Q963" s="49">
        <f>IF(OR(L963="",M963="",P963=""),"",L963*P963)</f>
        <v/>
      </c>
    </row>
    <row r="964" ht="15" customHeight="1" s="32">
      <c r="A964" s="46" t="inlineStr">
        <is>
          <t>R-HB-0963</t>
        </is>
      </c>
      <c r="B964" s="47" t="n">
        <v>45737</v>
      </c>
      <c r="C964" s="46" t="inlineStr">
        <is>
          <t>2025-03</t>
        </is>
      </c>
      <c r="D964" s="46" t="n">
        <v>2025</v>
      </c>
      <c r="E964" s="46" t="inlineStr">
        <is>
          <t>P-HB-001</t>
        </is>
      </c>
      <c r="F964" s="46" t="inlineStr">
        <is>
          <t>C-HB-03</t>
        </is>
      </c>
      <c r="G964" s="48" t="inlineStr">
        <is>
          <t>멕시코</t>
        </is>
      </c>
      <c r="H964" s="46" t="inlineStr">
        <is>
          <t>MX</t>
        </is>
      </c>
      <c r="I964" s="49" t="n">
        <v>31092</v>
      </c>
      <c r="J964" s="46" t="inlineStr">
        <is>
          <t>EA</t>
        </is>
      </c>
      <c r="K964" s="50" t="n">
        <v>13.99</v>
      </c>
      <c r="L964" s="50" t="n">
        <v>178596.87</v>
      </c>
      <c r="M964" s="46" t="inlineStr">
        <is>
          <t>USD</t>
        </is>
      </c>
      <c r="N964" s="46" t="inlineStr">
        <is>
          <t>FOB</t>
        </is>
      </c>
      <c r="O964" s="46" t="inlineStr">
        <is>
          <t>N</t>
        </is>
      </c>
      <c r="P964" s="50" t="n">
        <v>1458.3452</v>
      </c>
      <c r="Q964" s="49">
        <f>IF(OR(L964="",M964="",P964=""),"",L964*P964)</f>
        <v/>
      </c>
    </row>
    <row r="965" ht="15" customHeight="1" s="32">
      <c r="A965" s="46" t="inlineStr">
        <is>
          <t>R-HB-0964</t>
        </is>
      </c>
      <c r="B965" s="47" t="n">
        <v>45737</v>
      </c>
      <c r="C965" s="46" t="inlineStr">
        <is>
          <t>2025-03</t>
        </is>
      </c>
      <c r="D965" s="46" t="n">
        <v>2025</v>
      </c>
      <c r="E965" s="46" t="inlineStr">
        <is>
          <t>P-HB-002</t>
        </is>
      </c>
      <c r="F965" s="46" t="inlineStr">
        <is>
          <t>C-HB-03</t>
        </is>
      </c>
      <c r="G965" s="48" t="inlineStr">
        <is>
          <t>멕시코</t>
        </is>
      </c>
      <c r="H965" s="46" t="inlineStr">
        <is>
          <t>MX</t>
        </is>
      </c>
      <c r="I965" s="49" t="n">
        <v>197</v>
      </c>
      <c r="J965" s="46" t="inlineStr">
        <is>
          <t>EA</t>
        </is>
      </c>
      <c r="K965" s="50" t="n">
        <v>0.43</v>
      </c>
      <c r="L965" s="50" t="n">
        <v>77162.73</v>
      </c>
      <c r="M965" s="46" t="inlineStr">
        <is>
          <t>USD</t>
        </is>
      </c>
      <c r="N965" s="46" t="inlineStr">
        <is>
          <t>FOB</t>
        </is>
      </c>
      <c r="O965" s="46" t="inlineStr">
        <is>
          <t>N</t>
        </is>
      </c>
      <c r="P965" s="50" t="n">
        <v>1458.3452</v>
      </c>
      <c r="Q965" s="49">
        <f>IF(OR(L965="",M965="",P965=""),"",L965*P965)</f>
        <v/>
      </c>
    </row>
    <row r="966" ht="15" customHeight="1" s="32">
      <c r="A966" s="46" t="inlineStr">
        <is>
          <t>R-HB-0965</t>
        </is>
      </c>
      <c r="B966" s="47" t="n">
        <v>45737</v>
      </c>
      <c r="C966" s="46" t="inlineStr">
        <is>
          <t>2025-03</t>
        </is>
      </c>
      <c r="D966" s="46" t="n">
        <v>2025</v>
      </c>
      <c r="E966" s="46" t="inlineStr">
        <is>
          <t>P-HB-003</t>
        </is>
      </c>
      <c r="F966" s="46" t="inlineStr">
        <is>
          <t>C-HB-07</t>
        </is>
      </c>
      <c r="G966" s="48" t="inlineStr">
        <is>
          <t>인도</t>
        </is>
      </c>
      <c r="H966" s="46" t="inlineStr">
        <is>
          <t>IN</t>
        </is>
      </c>
      <c r="I966" s="49" t="n">
        <v>24491</v>
      </c>
      <c r="J966" s="46" t="inlineStr">
        <is>
          <t>EA</t>
        </is>
      </c>
      <c r="K966" s="50" t="n">
        <v>15.92</v>
      </c>
      <c r="L966" s="50" t="n">
        <v>196964.75</v>
      </c>
      <c r="M966" s="46" t="inlineStr">
        <is>
          <t>USD</t>
        </is>
      </c>
      <c r="N966" s="46" t="inlineStr">
        <is>
          <t>FOB</t>
        </is>
      </c>
      <c r="O966" s="46" t="inlineStr">
        <is>
          <t>N</t>
        </is>
      </c>
      <c r="P966" s="50" t="n">
        <v>1458.3452</v>
      </c>
      <c r="Q966" s="49">
        <f>IF(OR(L966="",M966="",P966=""),"",L966*P966)</f>
        <v/>
      </c>
    </row>
    <row r="967" ht="15" customHeight="1" s="32">
      <c r="A967" s="46" t="inlineStr">
        <is>
          <t>R-HB-0966</t>
        </is>
      </c>
      <c r="B967" s="47" t="n">
        <v>45738</v>
      </c>
      <c r="C967" s="46" t="inlineStr">
        <is>
          <t>2025-03</t>
        </is>
      </c>
      <c r="D967" s="46" t="n">
        <v>2025</v>
      </c>
      <c r="E967" s="46" t="inlineStr">
        <is>
          <t>P-HB-001</t>
        </is>
      </c>
      <c r="F967" s="46" t="inlineStr">
        <is>
          <t>C-HB-08</t>
        </is>
      </c>
      <c r="G967" s="48" t="inlineStr">
        <is>
          <t>중국</t>
        </is>
      </c>
      <c r="H967" s="46" t="inlineStr">
        <is>
          <t>CN</t>
        </is>
      </c>
      <c r="I967" s="49" t="n">
        <v>194369</v>
      </c>
      <c r="J967" s="46" t="inlineStr">
        <is>
          <t>EA</t>
        </is>
      </c>
      <c r="K967" s="50" t="n">
        <v>87.47</v>
      </c>
      <c r="L967" s="50" t="n">
        <v>1133473.56</v>
      </c>
      <c r="M967" s="46" t="inlineStr">
        <is>
          <t>USD</t>
        </is>
      </c>
      <c r="N967" s="46" t="inlineStr">
        <is>
          <t>FOB</t>
        </is>
      </c>
      <c r="O967" s="46" t="inlineStr">
        <is>
          <t>N</t>
        </is>
      </c>
      <c r="P967" s="50" t="n">
        <v>1458.3452</v>
      </c>
      <c r="Q967" s="49">
        <f>IF(OR(L967="",M967="",P967=""),"",L967*P967)</f>
        <v/>
      </c>
    </row>
    <row r="968" ht="15" customHeight="1" s="32">
      <c r="A968" s="46" t="inlineStr">
        <is>
          <t>R-HB-0967</t>
        </is>
      </c>
      <c r="B968" s="47" t="n">
        <v>45739</v>
      </c>
      <c r="C968" s="46" t="inlineStr">
        <is>
          <t>2025-03</t>
        </is>
      </c>
      <c r="D968" s="46" t="n">
        <v>2025</v>
      </c>
      <c r="E968" s="46" t="inlineStr">
        <is>
          <t>P-HB-003</t>
        </is>
      </c>
      <c r="F968" s="46" t="inlineStr">
        <is>
          <t>C-HB-04</t>
        </is>
      </c>
      <c r="G968" s="48" t="inlineStr">
        <is>
          <t>캐나다</t>
        </is>
      </c>
      <c r="H968" s="46" t="inlineStr">
        <is>
          <t>CA</t>
        </is>
      </c>
      <c r="I968" s="49" t="n">
        <v>4779</v>
      </c>
      <c r="J968" s="46" t="inlineStr">
        <is>
          <t>EA</t>
        </is>
      </c>
      <c r="K968" s="50" t="n">
        <v>3.11</v>
      </c>
      <c r="L968" s="50" t="n">
        <v>38736.93</v>
      </c>
      <c r="M968" s="46" t="inlineStr">
        <is>
          <t>USD</t>
        </is>
      </c>
      <c r="N968" s="46" t="inlineStr">
        <is>
          <t>FOB</t>
        </is>
      </c>
      <c r="O968" s="46" t="inlineStr">
        <is>
          <t>N</t>
        </is>
      </c>
      <c r="P968" s="50" t="n">
        <v>1458.3452</v>
      </c>
      <c r="Q968" s="49">
        <f>IF(OR(L968="",M968="",P968=""),"",L968*P968)</f>
        <v/>
      </c>
    </row>
    <row r="969" ht="15" customHeight="1" s="32">
      <c r="A969" s="46" t="inlineStr">
        <is>
          <t>R-HB-0968</t>
        </is>
      </c>
      <c r="B969" s="47" t="n">
        <v>45739</v>
      </c>
      <c r="C969" s="46" t="inlineStr">
        <is>
          <t>2025-03</t>
        </is>
      </c>
      <c r="D969" s="46" t="n">
        <v>2025</v>
      </c>
      <c r="E969" s="46" t="inlineStr">
        <is>
          <t>P-HB-004</t>
        </is>
      </c>
      <c r="F969" s="46" t="inlineStr">
        <is>
          <t>C-HB-08</t>
        </is>
      </c>
      <c r="G969" s="48" t="inlineStr">
        <is>
          <t>중국</t>
        </is>
      </c>
      <c r="H969" s="46" t="inlineStr">
        <is>
          <t>CN</t>
        </is>
      </c>
      <c r="I969" s="49" t="n">
        <v>17988</v>
      </c>
      <c r="J969" s="46" t="inlineStr">
        <is>
          <t>EA</t>
        </is>
      </c>
      <c r="K969" s="50" t="n">
        <v>19.79</v>
      </c>
      <c r="L969" s="50" t="n">
        <v>513003.81</v>
      </c>
      <c r="M969" s="46" t="inlineStr">
        <is>
          <t>USD</t>
        </is>
      </c>
      <c r="N969" s="46" t="inlineStr">
        <is>
          <t>FOB</t>
        </is>
      </c>
      <c r="O969" s="46" t="inlineStr">
        <is>
          <t>N</t>
        </is>
      </c>
      <c r="P969" s="50" t="n">
        <v>1458.3452</v>
      </c>
      <c r="Q969" s="49">
        <f>IF(OR(L969="",M969="",P969=""),"",L969*P969)</f>
        <v/>
      </c>
    </row>
    <row r="970" ht="15" customHeight="1" s="32">
      <c r="A970" s="46" t="inlineStr">
        <is>
          <t>R-HB-0969</t>
        </is>
      </c>
      <c r="B970" s="47" t="n">
        <v>45739</v>
      </c>
      <c r="C970" s="46" t="inlineStr">
        <is>
          <t>2025-03</t>
        </is>
      </c>
      <c r="D970" s="46" t="n">
        <v>2025</v>
      </c>
      <c r="E970" s="46" t="inlineStr">
        <is>
          <t>P-HB-001</t>
        </is>
      </c>
      <c r="F970" s="46" t="inlineStr">
        <is>
          <t>C-HB-09</t>
        </is>
      </c>
      <c r="G970" s="48" t="inlineStr">
        <is>
          <t>중국</t>
        </is>
      </c>
      <c r="H970" s="46" t="inlineStr">
        <is>
          <t>CN</t>
        </is>
      </c>
      <c r="I970" s="49" t="n">
        <v>129976</v>
      </c>
      <c r="J970" s="46" t="inlineStr">
        <is>
          <t>EA</t>
        </is>
      </c>
      <c r="K970" s="50" t="n">
        <v>58.49</v>
      </c>
      <c r="L970" s="50" t="n">
        <v>725269.05</v>
      </c>
      <c r="M970" s="46" t="inlineStr">
        <is>
          <t>USD</t>
        </is>
      </c>
      <c r="N970" s="46" t="inlineStr">
        <is>
          <t>FOB</t>
        </is>
      </c>
      <c r="O970" s="46" t="inlineStr">
        <is>
          <t>N</t>
        </is>
      </c>
      <c r="P970" s="50" t="n">
        <v>1458.3452</v>
      </c>
      <c r="Q970" s="49">
        <f>IF(OR(L970="",M970="",P970=""),"",L970*P970)</f>
        <v/>
      </c>
    </row>
    <row r="971" ht="15" customHeight="1" s="32">
      <c r="A971" s="46" t="inlineStr">
        <is>
          <t>R-HB-0970</t>
        </is>
      </c>
      <c r="B971" s="47" t="n">
        <v>45740</v>
      </c>
      <c r="C971" s="46" t="inlineStr">
        <is>
          <t>2025-03</t>
        </is>
      </c>
      <c r="D971" s="46" t="n">
        <v>2025</v>
      </c>
      <c r="E971" s="46" t="inlineStr">
        <is>
          <t>P-HB-001</t>
        </is>
      </c>
      <c r="F971" s="46" t="inlineStr">
        <is>
          <t>C-HB-01</t>
        </is>
      </c>
      <c r="G971" s="48" t="inlineStr">
        <is>
          <t>미국</t>
        </is>
      </c>
      <c r="H971" s="46" t="inlineStr">
        <is>
          <t>US</t>
        </is>
      </c>
      <c r="I971" s="49" t="n">
        <v>178387</v>
      </c>
      <c r="J971" s="46" t="inlineStr">
        <is>
          <t>EA</t>
        </is>
      </c>
      <c r="K971" s="50" t="n">
        <v>80.27</v>
      </c>
      <c r="L971" s="50" t="n">
        <v>1003334.08</v>
      </c>
      <c r="M971" s="46" t="inlineStr">
        <is>
          <t>USD</t>
        </is>
      </c>
      <c r="N971" s="46" t="inlineStr">
        <is>
          <t>FOB</t>
        </is>
      </c>
      <c r="O971" s="46" t="inlineStr">
        <is>
          <t>N</t>
        </is>
      </c>
      <c r="P971" s="50" t="n">
        <v>1458.3452</v>
      </c>
      <c r="Q971" s="49">
        <f>IF(OR(L971="",M971="",P971=""),"",L971*P971)</f>
        <v/>
      </c>
    </row>
    <row r="972" ht="15" customHeight="1" s="32">
      <c r="A972" s="46" t="inlineStr">
        <is>
          <t>R-HB-0971</t>
        </is>
      </c>
      <c r="B972" s="47" t="n">
        <v>45742</v>
      </c>
      <c r="C972" s="46" t="inlineStr">
        <is>
          <t>2025-03</t>
        </is>
      </c>
      <c r="D972" s="46" t="n">
        <v>2025</v>
      </c>
      <c r="E972" s="46" t="inlineStr">
        <is>
          <t>P-HB-003</t>
        </is>
      </c>
      <c r="F972" s="46" t="inlineStr">
        <is>
          <t>C-HB-02</t>
        </is>
      </c>
      <c r="G972" s="48" t="inlineStr">
        <is>
          <t>미국</t>
        </is>
      </c>
      <c r="H972" s="46" t="inlineStr">
        <is>
          <t>US</t>
        </is>
      </c>
      <c r="I972" s="49" t="n">
        <v>27509</v>
      </c>
      <c r="J972" s="46" t="inlineStr">
        <is>
          <t>EA</t>
        </is>
      </c>
      <c r="K972" s="50" t="n">
        <v>17.88</v>
      </c>
      <c r="L972" s="50" t="n">
        <v>223542.96</v>
      </c>
      <c r="M972" s="46" t="inlineStr">
        <is>
          <t>USD</t>
        </is>
      </c>
      <c r="N972" s="46" t="inlineStr">
        <is>
          <t>FOB</t>
        </is>
      </c>
      <c r="O972" s="46" t="inlineStr">
        <is>
          <t>N</t>
        </is>
      </c>
      <c r="P972" s="50" t="n">
        <v>1458.3452</v>
      </c>
      <c r="Q972" s="49">
        <f>IF(OR(L972="",M972="",P972=""),"",L972*P972)</f>
        <v/>
      </c>
    </row>
    <row r="973" ht="15" customHeight="1" s="32">
      <c r="A973" s="46" t="inlineStr">
        <is>
          <t>R-HB-0972</t>
        </is>
      </c>
      <c r="B973" s="47" t="n">
        <v>45743</v>
      </c>
      <c r="C973" s="46" t="inlineStr">
        <is>
          <t>2025-03</t>
        </is>
      </c>
      <c r="D973" s="46" t="n">
        <v>2025</v>
      </c>
      <c r="E973" s="46" t="inlineStr">
        <is>
          <t>P-HB-002</t>
        </is>
      </c>
      <c r="F973" s="46" t="inlineStr">
        <is>
          <t>C-HB-04</t>
        </is>
      </c>
      <c r="G973" s="48" t="inlineStr">
        <is>
          <t>캐나다</t>
        </is>
      </c>
      <c r="H973" s="46" t="inlineStr">
        <is>
          <t>CA</t>
        </is>
      </c>
      <c r="I973" s="49" t="n">
        <v>105</v>
      </c>
      <c r="J973" s="46" t="inlineStr">
        <is>
          <t>EA</t>
        </is>
      </c>
      <c r="K973" s="50" t="n">
        <v>0.23</v>
      </c>
      <c r="L973" s="50" t="n">
        <v>40562.98</v>
      </c>
      <c r="M973" s="46" t="inlineStr">
        <is>
          <t>USD</t>
        </is>
      </c>
      <c r="N973" s="46" t="inlineStr">
        <is>
          <t>FOB</t>
        </is>
      </c>
      <c r="O973" s="46" t="inlineStr">
        <is>
          <t>N</t>
        </is>
      </c>
      <c r="P973" s="50" t="n">
        <v>1458.3452</v>
      </c>
      <c r="Q973" s="49">
        <f>IF(OR(L973="",M973="",P973=""),"",L973*P973)</f>
        <v/>
      </c>
    </row>
    <row r="974" ht="15" customHeight="1" s="32">
      <c r="A974" s="46" t="inlineStr">
        <is>
          <t>R-HB-0973</t>
        </is>
      </c>
      <c r="B974" s="47" t="n">
        <v>45750</v>
      </c>
      <c r="C974" s="46" t="inlineStr">
        <is>
          <t>2025-04</t>
        </is>
      </c>
      <c r="D974" s="46" t="n">
        <v>2025</v>
      </c>
      <c r="E974" s="46" t="inlineStr">
        <is>
          <t>P-HB-001</t>
        </is>
      </c>
      <c r="F974" s="46" t="inlineStr">
        <is>
          <t>C-HB-08</t>
        </is>
      </c>
      <c r="G974" s="48" t="inlineStr">
        <is>
          <t>중국</t>
        </is>
      </c>
      <c r="H974" s="46" t="inlineStr">
        <is>
          <t>CN</t>
        </is>
      </c>
      <c r="I974" s="49" t="n">
        <v>195556</v>
      </c>
      <c r="J974" s="46" t="inlineStr">
        <is>
          <t>EA</t>
        </is>
      </c>
      <c r="K974" s="50" t="n">
        <v>88</v>
      </c>
      <c r="L974" s="50" t="n">
        <v>1164779.35</v>
      </c>
      <c r="M974" s="46" t="inlineStr">
        <is>
          <t>USD</t>
        </is>
      </c>
      <c r="N974" s="46" t="inlineStr">
        <is>
          <t>FOB</t>
        </is>
      </c>
      <c r="O974" s="46" t="inlineStr">
        <is>
          <t>N</t>
        </is>
      </c>
      <c r="P974" s="50" t="n">
        <v>1439.7777</v>
      </c>
      <c r="Q974" s="49">
        <f>IF(OR(L974="",M974="",P974=""),"",L974*P974)</f>
        <v/>
      </c>
    </row>
    <row r="975" ht="15" customHeight="1" s="32">
      <c r="A975" s="46" t="inlineStr">
        <is>
          <t>R-HB-0974</t>
        </is>
      </c>
      <c r="B975" s="47" t="n">
        <v>45751</v>
      </c>
      <c r="C975" s="46" t="inlineStr">
        <is>
          <t>2025-04</t>
        </is>
      </c>
      <c r="D975" s="46" t="n">
        <v>2025</v>
      </c>
      <c r="E975" s="46" t="inlineStr">
        <is>
          <t>P-HB-001</t>
        </is>
      </c>
      <c r="F975" s="46" t="inlineStr">
        <is>
          <t>C-HB-04</t>
        </is>
      </c>
      <c r="G975" s="48" t="inlineStr">
        <is>
          <t>캐나다</t>
        </is>
      </c>
      <c r="H975" s="46" t="inlineStr">
        <is>
          <t>CA</t>
        </is>
      </c>
      <c r="I975" s="49" t="n">
        <v>14997</v>
      </c>
      <c r="J975" s="46" t="inlineStr">
        <is>
          <t>EA</t>
        </is>
      </c>
      <c r="K975" s="50" t="n">
        <v>6.75</v>
      </c>
      <c r="L975" s="50" t="n">
        <v>87588.45</v>
      </c>
      <c r="M975" s="46" t="inlineStr">
        <is>
          <t>USD</t>
        </is>
      </c>
      <c r="N975" s="46" t="inlineStr">
        <is>
          <t>FOB</t>
        </is>
      </c>
      <c r="O975" s="46" t="inlineStr">
        <is>
          <t>N</t>
        </is>
      </c>
      <c r="P975" s="50" t="n">
        <v>1439.7777</v>
      </c>
      <c r="Q975" s="49">
        <f>IF(OR(L975="",M975="",P975=""),"",L975*P975)</f>
        <v/>
      </c>
    </row>
    <row r="976" ht="15" customHeight="1" s="32">
      <c r="A976" s="46" t="inlineStr">
        <is>
          <t>R-HB-0975</t>
        </is>
      </c>
      <c r="B976" s="47" t="n">
        <v>45751</v>
      </c>
      <c r="C976" s="46" t="inlineStr">
        <is>
          <t>2025-04</t>
        </is>
      </c>
      <c r="D976" s="46" t="n">
        <v>2025</v>
      </c>
      <c r="E976" s="46" t="inlineStr">
        <is>
          <t>P-HB-002</t>
        </is>
      </c>
      <c r="F976" s="46" t="inlineStr">
        <is>
          <t>C-HB-05</t>
        </is>
      </c>
      <c r="G976" s="48" t="inlineStr">
        <is>
          <t>독일</t>
        </is>
      </c>
      <c r="H976" s="46" t="inlineStr">
        <is>
          <t>DE</t>
        </is>
      </c>
      <c r="I976" s="49" t="n">
        <v>933</v>
      </c>
      <c r="J976" s="46" t="inlineStr">
        <is>
          <t>EA</t>
        </is>
      </c>
      <c r="K976" s="50" t="n">
        <v>2.05</v>
      </c>
      <c r="L976" s="50" t="n">
        <v>372067.58</v>
      </c>
      <c r="M976" s="46" t="inlineStr">
        <is>
          <t>USD</t>
        </is>
      </c>
      <c r="N976" s="46" t="inlineStr">
        <is>
          <t>FOB</t>
        </is>
      </c>
      <c r="O976" s="46" t="inlineStr">
        <is>
          <t>N</t>
        </is>
      </c>
      <c r="P976" s="50" t="n">
        <v>1439.7777</v>
      </c>
      <c r="Q976" s="49">
        <f>IF(OR(L976="",M976="",P976=""),"",L976*P976)</f>
        <v/>
      </c>
    </row>
    <row r="977" ht="15" customHeight="1" s="32">
      <c r="A977" s="46" t="inlineStr">
        <is>
          <t>R-HB-0976</t>
        </is>
      </c>
      <c r="B977" s="47" t="n">
        <v>45751</v>
      </c>
      <c r="C977" s="46" t="inlineStr">
        <is>
          <t>2025-04</t>
        </is>
      </c>
      <c r="D977" s="46" t="n">
        <v>2025</v>
      </c>
      <c r="E977" s="46" t="inlineStr">
        <is>
          <t>P-HB-003</t>
        </is>
      </c>
      <c r="F977" s="46" t="inlineStr">
        <is>
          <t>C-HB-07</t>
        </is>
      </c>
      <c r="G977" s="48" t="inlineStr">
        <is>
          <t>인도</t>
        </is>
      </c>
      <c r="H977" s="46" t="inlineStr">
        <is>
          <t>IN</t>
        </is>
      </c>
      <c r="I977" s="49" t="n">
        <v>24805</v>
      </c>
      <c r="J977" s="46" t="inlineStr">
        <is>
          <t>EA</t>
        </is>
      </c>
      <c r="K977" s="50" t="n">
        <v>16.12</v>
      </c>
      <c r="L977" s="50" t="n">
        <v>204010.77</v>
      </c>
      <c r="M977" s="46" t="inlineStr">
        <is>
          <t>USD</t>
        </is>
      </c>
      <c r="N977" s="46" t="inlineStr">
        <is>
          <t>FOB</t>
        </is>
      </c>
      <c r="O977" s="46" t="inlineStr">
        <is>
          <t>N</t>
        </is>
      </c>
      <c r="P977" s="50" t="n">
        <v>1439.7777</v>
      </c>
      <c r="Q977" s="49">
        <f>IF(OR(L977="",M977="",P977=""),"",L977*P977)</f>
        <v/>
      </c>
    </row>
    <row r="978" ht="15" customHeight="1" s="32">
      <c r="A978" s="46" t="inlineStr">
        <is>
          <t>R-HB-0977</t>
        </is>
      </c>
      <c r="B978" s="47" t="n">
        <v>45751</v>
      </c>
      <c r="C978" s="46" t="inlineStr">
        <is>
          <t>2025-04</t>
        </is>
      </c>
      <c r="D978" s="46" t="n">
        <v>2025</v>
      </c>
      <c r="E978" s="46" t="inlineStr">
        <is>
          <t>P-HB-002</t>
        </is>
      </c>
      <c r="F978" s="46" t="inlineStr">
        <is>
          <t>C-HB-08</t>
        </is>
      </c>
      <c r="G978" s="48" t="inlineStr">
        <is>
          <t>중국</t>
        </is>
      </c>
      <c r="H978" s="46" t="inlineStr">
        <is>
          <t>CN</t>
        </is>
      </c>
      <c r="I978" s="49" t="n">
        <v>1341</v>
      </c>
      <c r="J978" s="46" t="inlineStr">
        <is>
          <t>EA</t>
        </is>
      </c>
      <c r="K978" s="50" t="n">
        <v>2.95</v>
      </c>
      <c r="L978" s="50" t="n">
        <v>538591.5699999999</v>
      </c>
      <c r="M978" s="46" t="inlineStr">
        <is>
          <t>USD</t>
        </is>
      </c>
      <c r="N978" s="46" t="inlineStr">
        <is>
          <t>FOB</t>
        </is>
      </c>
      <c r="O978" s="46" t="inlineStr">
        <is>
          <t>N</t>
        </is>
      </c>
      <c r="P978" s="50" t="n">
        <v>1439.7777</v>
      </c>
      <c r="Q978" s="49">
        <f>IF(OR(L978="",M978="",P978=""),"",L978*P978)</f>
        <v/>
      </c>
    </row>
    <row r="979" ht="15" customHeight="1" s="32">
      <c r="A979" s="46" t="inlineStr">
        <is>
          <t>R-HB-0978</t>
        </is>
      </c>
      <c r="B979" s="47" t="n">
        <v>45752</v>
      </c>
      <c r="C979" s="46" t="inlineStr">
        <is>
          <t>2025-04</t>
        </is>
      </c>
      <c r="D979" s="46" t="n">
        <v>2025</v>
      </c>
      <c r="E979" s="46" t="inlineStr">
        <is>
          <t>P-HB-002</t>
        </is>
      </c>
      <c r="F979" s="46" t="inlineStr">
        <is>
          <t>C-HB-01</t>
        </is>
      </c>
      <c r="G979" s="48" t="inlineStr">
        <is>
          <t>미국</t>
        </is>
      </c>
      <c r="H979" s="46" t="inlineStr">
        <is>
          <t>US</t>
        </is>
      </c>
      <c r="I979" s="49" t="n">
        <v>1150</v>
      </c>
      <c r="J979" s="46" t="inlineStr">
        <is>
          <t>EA</t>
        </is>
      </c>
      <c r="K979" s="50" t="n">
        <v>2.53</v>
      </c>
      <c r="L979" s="50" t="n">
        <v>470406.49</v>
      </c>
      <c r="M979" s="46" t="inlineStr">
        <is>
          <t>USD</t>
        </is>
      </c>
      <c r="N979" s="46" t="inlineStr">
        <is>
          <t>FOB</t>
        </is>
      </c>
      <c r="O979" s="46" t="inlineStr">
        <is>
          <t>N</t>
        </is>
      </c>
      <c r="P979" s="50" t="n">
        <v>1439.7777</v>
      </c>
      <c r="Q979" s="49">
        <f>IF(OR(L979="",M979="",P979=""),"",L979*P979)</f>
        <v/>
      </c>
    </row>
    <row r="980" ht="15" customHeight="1" s="32">
      <c r="A980" s="46" t="inlineStr">
        <is>
          <t>R-HB-0979</t>
        </is>
      </c>
      <c r="B980" s="47" t="n">
        <v>45752</v>
      </c>
      <c r="C980" s="46" t="inlineStr">
        <is>
          <t>2025-04</t>
        </is>
      </c>
      <c r="D980" s="46" t="n">
        <v>2025</v>
      </c>
      <c r="E980" s="46" t="inlineStr">
        <is>
          <t>P-HB-004</t>
        </is>
      </c>
      <c r="F980" s="46" t="inlineStr">
        <is>
          <t>C-HB-02</t>
        </is>
      </c>
      <c r="G980" s="48" t="inlineStr">
        <is>
          <t>미국</t>
        </is>
      </c>
      <c r="H980" s="46" t="inlineStr">
        <is>
          <t>US</t>
        </is>
      </c>
      <c r="I980" s="49" t="n">
        <v>9339</v>
      </c>
      <c r="J980" s="46" t="inlineStr">
        <is>
          <t>EA</t>
        </is>
      </c>
      <c r="K980" s="50" t="n">
        <v>10.27</v>
      </c>
      <c r="L980" s="50" t="n">
        <v>261899.49</v>
      </c>
      <c r="M980" s="46" t="inlineStr">
        <is>
          <t>USD</t>
        </is>
      </c>
      <c r="N980" s="46" t="inlineStr">
        <is>
          <t>FOB</t>
        </is>
      </c>
      <c r="O980" s="46" t="inlineStr">
        <is>
          <t>N</t>
        </is>
      </c>
      <c r="P980" s="50" t="n">
        <v>1439.7777</v>
      </c>
      <c r="Q980" s="49">
        <f>IF(OR(L980="",M980="",P980=""),"",L980*P980)</f>
        <v/>
      </c>
    </row>
    <row r="981" ht="15" customHeight="1" s="32">
      <c r="A981" s="46" t="inlineStr">
        <is>
          <t>R-HB-0980</t>
        </is>
      </c>
      <c r="B981" s="47" t="n">
        <v>45752</v>
      </c>
      <c r="C981" s="46" t="inlineStr">
        <is>
          <t>2025-04</t>
        </is>
      </c>
      <c r="D981" s="46" t="n">
        <v>2025</v>
      </c>
      <c r="E981" s="46" t="inlineStr">
        <is>
          <t>P-HB-004</t>
        </is>
      </c>
      <c r="F981" s="46" t="inlineStr">
        <is>
          <t>C-HB-07</t>
        </is>
      </c>
      <c r="G981" s="48" t="inlineStr">
        <is>
          <t>인도</t>
        </is>
      </c>
      <c r="H981" s="46" t="inlineStr">
        <is>
          <t>IN</t>
        </is>
      </c>
      <c r="I981" s="49" t="n">
        <v>7718</v>
      </c>
      <c r="J981" s="46" t="inlineStr">
        <is>
          <t>EA</t>
        </is>
      </c>
      <c r="K981" s="50" t="n">
        <v>8.49</v>
      </c>
      <c r="L981" s="50" t="n">
        <v>219986.04</v>
      </c>
      <c r="M981" s="46" t="inlineStr">
        <is>
          <t>USD</t>
        </is>
      </c>
      <c r="N981" s="46" t="inlineStr">
        <is>
          <t>FOB</t>
        </is>
      </c>
      <c r="O981" s="46" t="inlineStr">
        <is>
          <t>N</t>
        </is>
      </c>
      <c r="P981" s="50" t="n">
        <v>1439.7777</v>
      </c>
      <c r="Q981" s="49">
        <f>IF(OR(L981="",M981="",P981=""),"",L981*P981)</f>
        <v/>
      </c>
    </row>
    <row r="982" ht="15" customHeight="1" s="32">
      <c r="A982" s="46" t="inlineStr">
        <is>
          <t>R-HB-0981</t>
        </is>
      </c>
      <c r="B982" s="47" t="n">
        <v>45754</v>
      </c>
      <c r="C982" s="46" t="inlineStr">
        <is>
          <t>2025-04</t>
        </is>
      </c>
      <c r="D982" s="46" t="n">
        <v>2025</v>
      </c>
      <c r="E982" s="46" t="inlineStr">
        <is>
          <t>P-HB-004</t>
        </is>
      </c>
      <c r="F982" s="46" t="inlineStr">
        <is>
          <t>C-HB-01</t>
        </is>
      </c>
      <c r="G982" s="48" t="inlineStr">
        <is>
          <t>미국</t>
        </is>
      </c>
      <c r="H982" s="46" t="inlineStr">
        <is>
          <t>US</t>
        </is>
      </c>
      <c r="I982" s="49" t="n">
        <v>16881</v>
      </c>
      <c r="J982" s="46" t="inlineStr">
        <is>
          <t>EA</t>
        </is>
      </c>
      <c r="K982" s="50" t="n">
        <v>18.57</v>
      </c>
      <c r="L982" s="50" t="n">
        <v>472211.11</v>
      </c>
      <c r="M982" s="46" t="inlineStr">
        <is>
          <t>USD</t>
        </is>
      </c>
      <c r="N982" s="46" t="inlineStr">
        <is>
          <t>FOB</t>
        </is>
      </c>
      <c r="O982" s="46" t="inlineStr">
        <is>
          <t>N</t>
        </is>
      </c>
      <c r="P982" s="50" t="n">
        <v>1439.7777</v>
      </c>
      <c r="Q982" s="49">
        <f>IF(OR(L982="",M982="",P982=""),"",L982*P982)</f>
        <v/>
      </c>
    </row>
    <row r="983" ht="15" customHeight="1" s="32">
      <c r="A983" s="46" t="inlineStr">
        <is>
          <t>R-HB-0982</t>
        </is>
      </c>
      <c r="B983" s="47" t="n">
        <v>45755</v>
      </c>
      <c r="C983" s="46" t="inlineStr">
        <is>
          <t>2025-04</t>
        </is>
      </c>
      <c r="D983" s="46" t="n">
        <v>2025</v>
      </c>
      <c r="E983" s="46" t="inlineStr">
        <is>
          <t>P-HB-004</t>
        </is>
      </c>
      <c r="F983" s="46" t="inlineStr">
        <is>
          <t>C-HB-05</t>
        </is>
      </c>
      <c r="G983" s="48" t="inlineStr">
        <is>
          <t>독일</t>
        </is>
      </c>
      <c r="H983" s="46" t="inlineStr">
        <is>
          <t>DE</t>
        </is>
      </c>
      <c r="I983" s="49" t="n">
        <v>13884</v>
      </c>
      <c r="J983" s="46" t="inlineStr">
        <is>
          <t>EA</t>
        </is>
      </c>
      <c r="K983" s="50" t="n">
        <v>15.27</v>
      </c>
      <c r="L983" s="50" t="n">
        <v>397993.43</v>
      </c>
      <c r="M983" s="46" t="inlineStr">
        <is>
          <t>USD</t>
        </is>
      </c>
      <c r="N983" s="46" t="inlineStr">
        <is>
          <t>FOB</t>
        </is>
      </c>
      <c r="O983" s="46" t="inlineStr">
        <is>
          <t>N</t>
        </is>
      </c>
      <c r="P983" s="50" t="n">
        <v>1439.7777</v>
      </c>
      <c r="Q983" s="49">
        <f>IF(OR(L983="",M983="",P983=""),"",L983*P983)</f>
        <v/>
      </c>
    </row>
    <row r="984" ht="15" customHeight="1" s="32">
      <c r="A984" s="46" t="inlineStr">
        <is>
          <t>R-HB-0983</t>
        </is>
      </c>
      <c r="B984" s="47" t="n">
        <v>45758</v>
      </c>
      <c r="C984" s="46" t="inlineStr">
        <is>
          <t>2025-04</t>
        </is>
      </c>
      <c r="D984" s="46" t="n">
        <v>2025</v>
      </c>
      <c r="E984" s="46" t="inlineStr">
        <is>
          <t>P-HB-003</t>
        </is>
      </c>
      <c r="F984" s="46" t="inlineStr">
        <is>
          <t>C-HB-03</t>
        </is>
      </c>
      <c r="G984" s="48" t="inlineStr">
        <is>
          <t>멕시코</t>
        </is>
      </c>
      <c r="H984" s="46" t="inlineStr">
        <is>
          <t>MX</t>
        </is>
      </c>
      <c r="I984" s="49" t="n">
        <v>8918</v>
      </c>
      <c r="J984" s="46" t="inlineStr">
        <is>
          <t>EA</t>
        </is>
      </c>
      <c r="K984" s="50" t="n">
        <v>5.8</v>
      </c>
      <c r="L984" s="50" t="n">
        <v>72158.55</v>
      </c>
      <c r="M984" s="46" t="inlineStr">
        <is>
          <t>USD</t>
        </is>
      </c>
      <c r="N984" s="46" t="inlineStr">
        <is>
          <t>FOB</t>
        </is>
      </c>
      <c r="O984" s="46" t="inlineStr">
        <is>
          <t>N</t>
        </is>
      </c>
      <c r="P984" s="50" t="n">
        <v>1439.7777</v>
      </c>
      <c r="Q984" s="49">
        <f>IF(OR(L984="",M984="",P984=""),"",L984*P984)</f>
        <v/>
      </c>
    </row>
    <row r="985" ht="15" customHeight="1" s="32">
      <c r="A985" s="46" t="inlineStr">
        <is>
          <t>R-HB-0984</t>
        </is>
      </c>
      <c r="B985" s="47" t="n">
        <v>45759</v>
      </c>
      <c r="C985" s="46" t="inlineStr">
        <is>
          <t>2025-04</t>
        </is>
      </c>
      <c r="D985" s="46" t="n">
        <v>2025</v>
      </c>
      <c r="E985" s="46" t="inlineStr">
        <is>
          <t>P-HB-002</t>
        </is>
      </c>
      <c r="F985" s="46" t="inlineStr">
        <is>
          <t>C-HB-07</t>
        </is>
      </c>
      <c r="G985" s="48" t="inlineStr">
        <is>
          <t>인도</t>
        </is>
      </c>
      <c r="H985" s="46" t="inlineStr">
        <is>
          <t>IN</t>
        </is>
      </c>
      <c r="I985" s="49" t="n">
        <v>539</v>
      </c>
      <c r="J985" s="46" t="inlineStr">
        <is>
          <t>EA</t>
        </is>
      </c>
      <c r="K985" s="50" t="n">
        <v>1.19</v>
      </c>
      <c r="L985" s="50" t="n">
        <v>210909.55</v>
      </c>
      <c r="M985" s="46" t="inlineStr">
        <is>
          <t>USD</t>
        </is>
      </c>
      <c r="N985" s="46" t="inlineStr">
        <is>
          <t>FOB</t>
        </is>
      </c>
      <c r="O985" s="46" t="inlineStr">
        <is>
          <t>N</t>
        </is>
      </c>
      <c r="P985" s="50" t="n">
        <v>1439.7777</v>
      </c>
      <c r="Q985" s="49">
        <f>IF(OR(L985="",M985="",P985=""),"",L985*P985)</f>
        <v/>
      </c>
    </row>
    <row r="986" ht="15" customHeight="1" s="32">
      <c r="A986" s="46" t="inlineStr">
        <is>
          <t>R-HB-0985</t>
        </is>
      </c>
      <c r="B986" s="47" t="n">
        <v>45760</v>
      </c>
      <c r="C986" s="46" t="inlineStr">
        <is>
          <t>2025-04</t>
        </is>
      </c>
      <c r="D986" s="46" t="n">
        <v>2025</v>
      </c>
      <c r="E986" s="46" t="inlineStr">
        <is>
          <t>P-HB-001</t>
        </is>
      </c>
      <c r="F986" s="46" t="inlineStr">
        <is>
          <t>C-HB-07</t>
        </is>
      </c>
      <c r="G986" s="48" t="inlineStr">
        <is>
          <t>인도</t>
        </is>
      </c>
      <c r="H986" s="46" t="inlineStr">
        <is>
          <t>IN</t>
        </is>
      </c>
      <c r="I986" s="49" t="n">
        <v>83591</v>
      </c>
      <c r="J986" s="46" t="inlineStr">
        <is>
          <t>EA</t>
        </is>
      </c>
      <c r="K986" s="50" t="n">
        <v>37.62</v>
      </c>
      <c r="L986" s="50" t="n">
        <v>499819.6</v>
      </c>
      <c r="M986" s="46" t="inlineStr">
        <is>
          <t>USD</t>
        </is>
      </c>
      <c r="N986" s="46" t="inlineStr">
        <is>
          <t>FOB</t>
        </is>
      </c>
      <c r="O986" s="46" t="inlineStr">
        <is>
          <t>N</t>
        </is>
      </c>
      <c r="P986" s="50" t="n">
        <v>1439.7777</v>
      </c>
      <c r="Q986" s="49">
        <f>IF(OR(L986="",M986="",P986=""),"",L986*P986)</f>
        <v/>
      </c>
    </row>
    <row r="987" ht="15" customHeight="1" s="32">
      <c r="A987" s="46" t="inlineStr">
        <is>
          <t>R-HB-0986</t>
        </is>
      </c>
      <c r="B987" s="47" t="n">
        <v>45761</v>
      </c>
      <c r="C987" s="46" t="inlineStr">
        <is>
          <t>2025-04</t>
        </is>
      </c>
      <c r="D987" s="46" t="n">
        <v>2025</v>
      </c>
      <c r="E987" s="46" t="inlineStr">
        <is>
          <t>P-HB-001</t>
        </is>
      </c>
      <c r="F987" s="46" t="inlineStr">
        <is>
          <t>C-HB-03</t>
        </is>
      </c>
      <c r="G987" s="48" t="inlineStr">
        <is>
          <t>멕시코</t>
        </is>
      </c>
      <c r="H987" s="46" t="inlineStr">
        <is>
          <t>MX</t>
        </is>
      </c>
      <c r="I987" s="49" t="n">
        <v>32949</v>
      </c>
      <c r="J987" s="46" t="inlineStr">
        <is>
          <t>EA</t>
        </is>
      </c>
      <c r="K987" s="50" t="n">
        <v>14.83</v>
      </c>
      <c r="L987" s="50" t="n">
        <v>195838.65</v>
      </c>
      <c r="M987" s="46" t="inlineStr">
        <is>
          <t>USD</t>
        </is>
      </c>
      <c r="N987" s="46" t="inlineStr">
        <is>
          <t>FOB</t>
        </is>
      </c>
      <c r="O987" s="46" t="inlineStr">
        <is>
          <t>N</t>
        </is>
      </c>
      <c r="P987" s="50" t="n">
        <v>1439.7777</v>
      </c>
      <c r="Q987" s="49">
        <f>IF(OR(L987="",M987="",P987=""),"",L987*P987)</f>
        <v/>
      </c>
    </row>
    <row r="988" ht="15" customHeight="1" s="32">
      <c r="A988" s="46" t="inlineStr">
        <is>
          <t>R-HB-0987</t>
        </is>
      </c>
      <c r="B988" s="47" t="n">
        <v>45761</v>
      </c>
      <c r="C988" s="46" t="inlineStr">
        <is>
          <t>2025-04</t>
        </is>
      </c>
      <c r="D988" s="46" t="n">
        <v>2025</v>
      </c>
      <c r="E988" s="46" t="inlineStr">
        <is>
          <t>P-HB-003</t>
        </is>
      </c>
      <c r="F988" s="46" t="inlineStr">
        <is>
          <t>C-HB-05</t>
        </is>
      </c>
      <c r="G988" s="48" t="inlineStr">
        <is>
          <t>독일</t>
        </is>
      </c>
      <c r="H988" s="46" t="inlineStr">
        <is>
          <t>DE</t>
        </is>
      </c>
      <c r="I988" s="49" t="n">
        <v>41178</v>
      </c>
      <c r="J988" s="46" t="inlineStr">
        <is>
          <t>EA</t>
        </is>
      </c>
      <c r="K988" s="50" t="n">
        <v>26.77</v>
      </c>
      <c r="L988" s="50" t="n">
        <v>345040.64</v>
      </c>
      <c r="M988" s="46" t="inlineStr">
        <is>
          <t>USD</t>
        </is>
      </c>
      <c r="N988" s="46" t="inlineStr">
        <is>
          <t>FOB</t>
        </is>
      </c>
      <c r="O988" s="46" t="inlineStr">
        <is>
          <t>N</t>
        </is>
      </c>
      <c r="P988" s="50" t="n">
        <v>1439.7777</v>
      </c>
      <c r="Q988" s="49">
        <f>IF(OR(L988="",M988="",P988=""),"",L988*P988)</f>
        <v/>
      </c>
    </row>
    <row r="989" ht="15" customHeight="1" s="32">
      <c r="A989" s="46" t="inlineStr">
        <is>
          <t>R-HB-0988</t>
        </is>
      </c>
      <c r="B989" s="47" t="n">
        <v>45765</v>
      </c>
      <c r="C989" s="46" t="inlineStr">
        <is>
          <t>2025-04</t>
        </is>
      </c>
      <c r="D989" s="46" t="n">
        <v>2025</v>
      </c>
      <c r="E989" s="46" t="inlineStr">
        <is>
          <t>P-HB-003</t>
        </is>
      </c>
      <c r="F989" s="46" t="inlineStr">
        <is>
          <t>C-HB-01</t>
        </is>
      </c>
      <c r="G989" s="48" t="inlineStr">
        <is>
          <t>미국</t>
        </is>
      </c>
      <c r="H989" s="46" t="inlineStr">
        <is>
          <t>US</t>
        </is>
      </c>
      <c r="I989" s="49" t="n">
        <v>50207</v>
      </c>
      <c r="J989" s="46" t="inlineStr">
        <is>
          <t>EA</t>
        </is>
      </c>
      <c r="K989" s="50" t="n">
        <v>32.63</v>
      </c>
      <c r="L989" s="50" t="n">
        <v>400453.86</v>
      </c>
      <c r="M989" s="46" t="inlineStr">
        <is>
          <t>USD</t>
        </is>
      </c>
      <c r="N989" s="46" t="inlineStr">
        <is>
          <t>FOB</t>
        </is>
      </c>
      <c r="O989" s="46" t="inlineStr">
        <is>
          <t>N</t>
        </is>
      </c>
      <c r="P989" s="50" t="n">
        <v>1439.7777</v>
      </c>
      <c r="Q989" s="49">
        <f>IF(OR(L989="",M989="",P989=""),"",L989*P989)</f>
        <v/>
      </c>
    </row>
    <row r="990" ht="15" customHeight="1" s="32">
      <c r="A990" s="46" t="inlineStr">
        <is>
          <t>R-HB-0989</t>
        </is>
      </c>
      <c r="B990" s="47" t="n">
        <v>45765</v>
      </c>
      <c r="C990" s="46" t="inlineStr">
        <is>
          <t>2025-04</t>
        </is>
      </c>
      <c r="D990" s="46" t="n">
        <v>2025</v>
      </c>
      <c r="E990" s="46" t="inlineStr">
        <is>
          <t>P-HB-002</t>
        </is>
      </c>
      <c r="F990" s="46" t="inlineStr">
        <is>
          <t>C-HB-04</t>
        </is>
      </c>
      <c r="G990" s="48" t="inlineStr">
        <is>
          <t>캐나다</t>
        </is>
      </c>
      <c r="H990" s="46" t="inlineStr">
        <is>
          <t>CA</t>
        </is>
      </c>
      <c r="I990" s="49" t="n">
        <v>108</v>
      </c>
      <c r="J990" s="46" t="inlineStr">
        <is>
          <t>EA</t>
        </is>
      </c>
      <c r="K990" s="50" t="n">
        <v>0.24</v>
      </c>
      <c r="L990" s="50" t="n">
        <v>41149.09</v>
      </c>
      <c r="M990" s="46" t="inlineStr">
        <is>
          <t>USD</t>
        </is>
      </c>
      <c r="N990" s="46" t="inlineStr">
        <is>
          <t>FOB</t>
        </is>
      </c>
      <c r="O990" s="46" t="inlineStr">
        <is>
          <t>N</t>
        </is>
      </c>
      <c r="P990" s="50" t="n">
        <v>1439.7777</v>
      </c>
      <c r="Q990" s="49">
        <f>IF(OR(L990="",M990="",P990=""),"",L990*P990)</f>
        <v/>
      </c>
    </row>
    <row r="991" ht="15" customHeight="1" s="32">
      <c r="A991" s="46" t="inlineStr">
        <is>
          <t>R-HB-0990</t>
        </is>
      </c>
      <c r="B991" s="47" t="n">
        <v>45765</v>
      </c>
      <c r="C991" s="46" t="inlineStr">
        <is>
          <t>2025-04</t>
        </is>
      </c>
      <c r="D991" s="46" t="n">
        <v>2025</v>
      </c>
      <c r="E991" s="46" t="inlineStr">
        <is>
          <t>P-HB-004</t>
        </is>
      </c>
      <c r="F991" s="46" t="inlineStr">
        <is>
          <t>C-HB-04</t>
        </is>
      </c>
      <c r="G991" s="48" t="inlineStr">
        <is>
          <t>캐나다</t>
        </is>
      </c>
      <c r="H991" s="46" t="inlineStr">
        <is>
          <t>CA</t>
        </is>
      </c>
      <c r="I991" s="49" t="n">
        <v>1567</v>
      </c>
      <c r="J991" s="46" t="inlineStr">
        <is>
          <t>EA</t>
        </is>
      </c>
      <c r="K991" s="50" t="n">
        <v>1.72</v>
      </c>
      <c r="L991" s="50" t="n">
        <v>42217.33</v>
      </c>
      <c r="M991" s="46" t="inlineStr">
        <is>
          <t>USD</t>
        </is>
      </c>
      <c r="N991" s="46" t="inlineStr">
        <is>
          <t>FOB</t>
        </is>
      </c>
      <c r="O991" s="46" t="inlineStr">
        <is>
          <t>N</t>
        </is>
      </c>
      <c r="P991" s="50" t="n">
        <v>1439.7777</v>
      </c>
      <c r="Q991" s="49">
        <f>IF(OR(L991="",M991="",P991=""),"",L991*P991)</f>
        <v/>
      </c>
    </row>
    <row r="992" ht="15" customHeight="1" s="32">
      <c r="A992" s="46" t="inlineStr">
        <is>
          <t>R-HB-0991</t>
        </is>
      </c>
      <c r="B992" s="47" t="n">
        <v>45765</v>
      </c>
      <c r="C992" s="46" t="inlineStr">
        <is>
          <t>2025-04</t>
        </is>
      </c>
      <c r="D992" s="46" t="n">
        <v>2025</v>
      </c>
      <c r="E992" s="46" t="inlineStr">
        <is>
          <t>P-HB-001</t>
        </is>
      </c>
      <c r="F992" s="46" t="inlineStr">
        <is>
          <t>C-HB-05</t>
        </is>
      </c>
      <c r="G992" s="48" t="inlineStr">
        <is>
          <t>독일</t>
        </is>
      </c>
      <c r="H992" s="46" t="inlineStr">
        <is>
          <t>DE</t>
        </is>
      </c>
      <c r="I992" s="49" t="n">
        <v>147169</v>
      </c>
      <c r="J992" s="46" t="inlineStr">
        <is>
          <t>EA</t>
        </is>
      </c>
      <c r="K992" s="50" t="n">
        <v>66.23</v>
      </c>
      <c r="L992" s="50" t="n">
        <v>841227.03</v>
      </c>
      <c r="M992" s="46" t="inlineStr">
        <is>
          <t>USD</t>
        </is>
      </c>
      <c r="N992" s="46" t="inlineStr">
        <is>
          <t>FOB</t>
        </is>
      </c>
      <c r="O992" s="46" t="inlineStr">
        <is>
          <t>N</t>
        </is>
      </c>
      <c r="P992" s="50" t="n">
        <v>1439.7777</v>
      </c>
      <c r="Q992" s="49">
        <f>IF(OR(L992="",M992="",P992=""),"",L992*P992)</f>
        <v/>
      </c>
    </row>
    <row r="993" ht="15" customHeight="1" s="32">
      <c r="A993" s="46" t="inlineStr">
        <is>
          <t>R-HB-0992</t>
        </is>
      </c>
      <c r="B993" s="47" t="n">
        <v>45766</v>
      </c>
      <c r="C993" s="46" t="inlineStr">
        <is>
          <t>2025-04</t>
        </is>
      </c>
      <c r="D993" s="46" t="n">
        <v>2025</v>
      </c>
      <c r="E993" s="46" t="inlineStr">
        <is>
          <t>P-HB-001</t>
        </is>
      </c>
      <c r="F993" s="46" t="inlineStr">
        <is>
          <t>C-HB-09</t>
        </is>
      </c>
      <c r="G993" s="48" t="inlineStr">
        <is>
          <t>중국</t>
        </is>
      </c>
      <c r="H993" s="46" t="inlineStr">
        <is>
          <t>CN</t>
        </is>
      </c>
      <c r="I993" s="49" t="n">
        <v>125610</v>
      </c>
      <c r="J993" s="46" t="inlineStr">
        <is>
          <t>EA</t>
        </is>
      </c>
      <c r="K993" s="50" t="n">
        <v>56.52</v>
      </c>
      <c r="L993" s="50" t="n">
        <v>748893.34</v>
      </c>
      <c r="M993" s="46" t="inlineStr">
        <is>
          <t>USD</t>
        </is>
      </c>
      <c r="N993" s="46" t="inlineStr">
        <is>
          <t>FOB</t>
        </is>
      </c>
      <c r="O993" s="46" t="inlineStr">
        <is>
          <t>N</t>
        </is>
      </c>
      <c r="P993" s="50" t="n">
        <v>1439.7777</v>
      </c>
      <c r="Q993" s="49">
        <f>IF(OR(L993="",M993="",P993=""),"",L993*P993)</f>
        <v/>
      </c>
    </row>
    <row r="994" ht="15" customHeight="1" s="32">
      <c r="A994" s="46" t="inlineStr">
        <is>
          <t>R-HB-0993</t>
        </is>
      </c>
      <c r="B994" s="47" t="n">
        <v>45766</v>
      </c>
      <c r="C994" s="46" t="inlineStr">
        <is>
          <t>2025-04</t>
        </is>
      </c>
      <c r="D994" s="46" t="n">
        <v>2025</v>
      </c>
      <c r="E994" s="46" t="inlineStr">
        <is>
          <t>P-HB-002</t>
        </is>
      </c>
      <c r="F994" s="46" t="inlineStr">
        <is>
          <t>C-HB-09</t>
        </is>
      </c>
      <c r="G994" s="48" t="inlineStr">
        <is>
          <t>중국</t>
        </is>
      </c>
      <c r="H994" s="46" t="inlineStr">
        <is>
          <t>CN</t>
        </is>
      </c>
      <c r="I994" s="49" t="n">
        <v>828</v>
      </c>
      <c r="J994" s="46" t="inlineStr">
        <is>
          <t>EA</t>
        </is>
      </c>
      <c r="K994" s="50" t="n">
        <v>1.82</v>
      </c>
      <c r="L994" s="50" t="n">
        <v>331689.91</v>
      </c>
      <c r="M994" s="46" t="inlineStr">
        <is>
          <t>USD</t>
        </is>
      </c>
      <c r="N994" s="46" t="inlineStr">
        <is>
          <t>FOB</t>
        </is>
      </c>
      <c r="O994" s="46" t="inlineStr">
        <is>
          <t>N</t>
        </is>
      </c>
      <c r="P994" s="50" t="n">
        <v>1439.7777</v>
      </c>
      <c r="Q994" s="49">
        <f>IF(OR(L994="",M994="",P994=""),"",L994*P994)</f>
        <v/>
      </c>
    </row>
    <row r="995" ht="15" customHeight="1" s="32">
      <c r="A995" s="46" t="inlineStr">
        <is>
          <t>R-HB-0994</t>
        </is>
      </c>
      <c r="B995" s="47" t="n">
        <v>45767</v>
      </c>
      <c r="C995" s="46" t="inlineStr">
        <is>
          <t>2025-04</t>
        </is>
      </c>
      <c r="D995" s="46" t="n">
        <v>2025</v>
      </c>
      <c r="E995" s="46" t="inlineStr">
        <is>
          <t>P-HB-002</t>
        </is>
      </c>
      <c r="F995" s="46" t="inlineStr">
        <is>
          <t>C-HB-06</t>
        </is>
      </c>
      <c r="G995" s="48" t="inlineStr">
        <is>
          <t>베트남</t>
        </is>
      </c>
      <c r="H995" s="46" t="inlineStr">
        <is>
          <t>VN</t>
        </is>
      </c>
      <c r="I995" s="49" t="n">
        <v>749</v>
      </c>
      <c r="J995" s="46" t="inlineStr">
        <is>
          <t>EA</t>
        </is>
      </c>
      <c r="K995" s="50" t="n">
        <v>1.65</v>
      </c>
      <c r="L995" s="50" t="n">
        <v>299507.84</v>
      </c>
      <c r="M995" s="46" t="inlineStr">
        <is>
          <t>USD</t>
        </is>
      </c>
      <c r="N995" s="46" t="inlineStr">
        <is>
          <t>FOB</t>
        </is>
      </c>
      <c r="O995" s="46" t="inlineStr">
        <is>
          <t>N</t>
        </is>
      </c>
      <c r="P995" s="50" t="n">
        <v>1439.7777</v>
      </c>
      <c r="Q995" s="49">
        <f>IF(OR(L995="",M995="",P995=""),"",L995*P995)</f>
        <v/>
      </c>
    </row>
    <row r="996" ht="15" customHeight="1" s="32">
      <c r="A996" s="46" t="inlineStr">
        <is>
          <t>R-HB-0995</t>
        </is>
      </c>
      <c r="B996" s="47" t="n">
        <v>45767</v>
      </c>
      <c r="C996" s="46" t="inlineStr">
        <is>
          <t>2025-04</t>
        </is>
      </c>
      <c r="D996" s="46" t="n">
        <v>2025</v>
      </c>
      <c r="E996" s="46" t="inlineStr">
        <is>
          <t>P-HB-004</t>
        </is>
      </c>
      <c r="F996" s="46" t="inlineStr">
        <is>
          <t>C-HB-08</t>
        </is>
      </c>
      <c r="G996" s="48" t="inlineStr">
        <is>
          <t>중국</t>
        </is>
      </c>
      <c r="H996" s="46" t="inlineStr">
        <is>
          <t>CN</t>
        </is>
      </c>
      <c r="I996" s="49" t="n">
        <v>19958</v>
      </c>
      <c r="J996" s="46" t="inlineStr">
        <is>
          <t>EA</t>
        </is>
      </c>
      <c r="K996" s="50" t="n">
        <v>21.95</v>
      </c>
      <c r="L996" s="50" t="n">
        <v>542975.34</v>
      </c>
      <c r="M996" s="46" t="inlineStr">
        <is>
          <t>USD</t>
        </is>
      </c>
      <c r="N996" s="46" t="inlineStr">
        <is>
          <t>FOB</t>
        </is>
      </c>
      <c r="O996" s="46" t="inlineStr">
        <is>
          <t>N</t>
        </is>
      </c>
      <c r="P996" s="50" t="n">
        <v>1439.7777</v>
      </c>
      <c r="Q996" s="49">
        <f>IF(OR(L996="",M996="",P996=""),"",L996*P996)</f>
        <v/>
      </c>
    </row>
    <row r="997" ht="15" customHeight="1" s="32">
      <c r="A997" s="46" t="inlineStr">
        <is>
          <t>R-HB-0996</t>
        </is>
      </c>
      <c r="B997" s="47" t="n">
        <v>45767</v>
      </c>
      <c r="C997" s="46" t="inlineStr">
        <is>
          <t>2025-04</t>
        </is>
      </c>
      <c r="D997" s="46" t="n">
        <v>2025</v>
      </c>
      <c r="E997" s="46" t="inlineStr">
        <is>
          <t>P-HB-003</t>
        </is>
      </c>
      <c r="F997" s="46" t="inlineStr">
        <is>
          <t>C-HB-09</t>
        </is>
      </c>
      <c r="G997" s="48" t="inlineStr">
        <is>
          <t>중국</t>
        </is>
      </c>
      <c r="H997" s="46" t="inlineStr">
        <is>
          <t>CN</t>
        </is>
      </c>
      <c r="I997" s="49" t="n">
        <v>36062</v>
      </c>
      <c r="J997" s="46" t="inlineStr">
        <is>
          <t>EA</t>
        </is>
      </c>
      <c r="K997" s="50" t="n">
        <v>23.44</v>
      </c>
      <c r="L997" s="50" t="n">
        <v>291456.13</v>
      </c>
      <c r="M997" s="46" t="inlineStr">
        <is>
          <t>USD</t>
        </is>
      </c>
      <c r="N997" s="46" t="inlineStr">
        <is>
          <t>FOB</t>
        </is>
      </c>
      <c r="O997" s="46" t="inlineStr">
        <is>
          <t>N</t>
        </is>
      </c>
      <c r="P997" s="50" t="n">
        <v>1439.7777</v>
      </c>
      <c r="Q997" s="49">
        <f>IF(OR(L997="",M997="",P997=""),"",L997*P997)</f>
        <v/>
      </c>
    </row>
    <row r="998" ht="15" customHeight="1" s="32">
      <c r="A998" s="46" t="inlineStr">
        <is>
          <t>R-HB-0997</t>
        </is>
      </c>
      <c r="B998" s="47" t="n">
        <v>45768</v>
      </c>
      <c r="C998" s="46" t="inlineStr">
        <is>
          <t>2025-04</t>
        </is>
      </c>
      <c r="D998" s="46" t="n">
        <v>2025</v>
      </c>
      <c r="E998" s="46" t="inlineStr">
        <is>
          <t>P-HB-001</t>
        </is>
      </c>
      <c r="F998" s="46" t="inlineStr">
        <is>
          <t>C-HB-02</t>
        </is>
      </c>
      <c r="G998" s="48" t="inlineStr">
        <is>
          <t>미국</t>
        </is>
      </c>
      <c r="H998" s="46" t="inlineStr">
        <is>
          <t>US</t>
        </is>
      </c>
      <c r="I998" s="49" t="n">
        <v>86891</v>
      </c>
      <c r="J998" s="46" t="inlineStr">
        <is>
          <t>EA</t>
        </is>
      </c>
      <c r="K998" s="50" t="n">
        <v>39.1</v>
      </c>
      <c r="L998" s="50" t="n">
        <v>499710.84</v>
      </c>
      <c r="M998" s="46" t="inlineStr">
        <is>
          <t>USD</t>
        </is>
      </c>
      <c r="N998" s="46" t="inlineStr">
        <is>
          <t>FOB</t>
        </is>
      </c>
      <c r="O998" s="46" t="inlineStr">
        <is>
          <t>N</t>
        </is>
      </c>
      <c r="P998" s="50" t="n">
        <v>1439.7777</v>
      </c>
      <c r="Q998" s="49">
        <f>IF(OR(L998="",M998="",P998=""),"",L998*P998)</f>
        <v/>
      </c>
    </row>
    <row r="999" ht="15" customHeight="1" s="32">
      <c r="A999" s="46" t="inlineStr">
        <is>
          <t>R-HB-0998</t>
        </is>
      </c>
      <c r="B999" s="47" t="n">
        <v>45768</v>
      </c>
      <c r="C999" s="46" t="inlineStr">
        <is>
          <t>2025-04</t>
        </is>
      </c>
      <c r="D999" s="46" t="n">
        <v>2025</v>
      </c>
      <c r="E999" s="46" t="inlineStr">
        <is>
          <t>P-HB-002</t>
        </is>
      </c>
      <c r="F999" s="46" t="inlineStr">
        <is>
          <t>C-HB-03</t>
        </is>
      </c>
      <c r="G999" s="48" t="inlineStr">
        <is>
          <t>멕시코</t>
        </is>
      </c>
      <c r="H999" s="46" t="inlineStr">
        <is>
          <t>MX</t>
        </is>
      </c>
      <c r="I999" s="49" t="n">
        <v>210</v>
      </c>
      <c r="J999" s="46" t="inlineStr">
        <is>
          <t>EA</t>
        </is>
      </c>
      <c r="K999" s="50" t="n">
        <v>0.46</v>
      </c>
      <c r="L999" s="50" t="n">
        <v>80437.23</v>
      </c>
      <c r="M999" s="46" t="inlineStr">
        <is>
          <t>USD</t>
        </is>
      </c>
      <c r="N999" s="46" t="inlineStr">
        <is>
          <t>FOB</t>
        </is>
      </c>
      <c r="O999" s="46" t="inlineStr">
        <is>
          <t>N</t>
        </is>
      </c>
      <c r="P999" s="50" t="n">
        <v>1439.7777</v>
      </c>
      <c r="Q999" s="49">
        <f>IF(OR(L999="",M999="",P999=""),"",L999*P999)</f>
        <v/>
      </c>
    </row>
    <row r="1000" ht="15" customHeight="1" s="32">
      <c r="A1000" s="46" t="inlineStr">
        <is>
          <t>R-HB-0999</t>
        </is>
      </c>
      <c r="B1000" s="47" t="n">
        <v>45768</v>
      </c>
      <c r="C1000" s="46" t="inlineStr">
        <is>
          <t>2025-04</t>
        </is>
      </c>
      <c r="D1000" s="46" t="n">
        <v>2025</v>
      </c>
      <c r="E1000" s="46" t="inlineStr">
        <is>
          <t>P-HB-003</t>
        </is>
      </c>
      <c r="F1000" s="46" t="inlineStr">
        <is>
          <t>C-HB-04</t>
        </is>
      </c>
      <c r="G1000" s="48" t="inlineStr">
        <is>
          <t>캐나다</t>
        </is>
      </c>
      <c r="H1000" s="46" t="inlineStr">
        <is>
          <t>CA</t>
        </is>
      </c>
      <c r="I1000" s="49" t="n">
        <v>4820</v>
      </c>
      <c r="J1000" s="46" t="inlineStr">
        <is>
          <t>EA</t>
        </is>
      </c>
      <c r="K1000" s="50" t="n">
        <v>3.13</v>
      </c>
      <c r="L1000" s="50" t="n">
        <v>38211.75</v>
      </c>
      <c r="M1000" s="46" t="inlineStr">
        <is>
          <t>USD</t>
        </is>
      </c>
      <c r="N1000" s="46" t="inlineStr">
        <is>
          <t>FOB</t>
        </is>
      </c>
      <c r="O1000" s="46" t="inlineStr">
        <is>
          <t>N</t>
        </is>
      </c>
      <c r="P1000" s="50" t="n">
        <v>1439.7777</v>
      </c>
      <c r="Q1000" s="49">
        <f>IF(OR(L1000="",M1000="",P1000=""),"",L1000*P1000)</f>
        <v/>
      </c>
    </row>
    <row r="1001" ht="15" customHeight="1" s="32">
      <c r="A1001" s="46" t="inlineStr">
        <is>
          <t>R-HB-1000</t>
        </is>
      </c>
      <c r="B1001" s="47" t="n">
        <v>45769</v>
      </c>
      <c r="C1001" s="46" t="inlineStr">
        <is>
          <t>2025-04</t>
        </is>
      </c>
      <c r="D1001" s="46" t="n">
        <v>2025</v>
      </c>
      <c r="E1001" s="46" t="inlineStr">
        <is>
          <t>P-HB-002</t>
        </is>
      </c>
      <c r="F1001" s="46" t="inlineStr">
        <is>
          <t>C-HB-02</t>
        </is>
      </c>
      <c r="G1001" s="48" t="inlineStr">
        <is>
          <t>미국</t>
        </is>
      </c>
      <c r="H1001" s="46" t="inlineStr">
        <is>
          <t>US</t>
        </is>
      </c>
      <c r="I1001" s="49" t="n">
        <v>604</v>
      </c>
      <c r="J1001" s="46" t="inlineStr">
        <is>
          <t>EA</t>
        </is>
      </c>
      <c r="K1001" s="50" t="n">
        <v>1.33</v>
      </c>
      <c r="L1001" s="50" t="n">
        <v>245299.21</v>
      </c>
      <c r="M1001" s="46" t="inlineStr">
        <is>
          <t>USD</t>
        </is>
      </c>
      <c r="N1001" s="46" t="inlineStr">
        <is>
          <t>FOB</t>
        </is>
      </c>
      <c r="O1001" s="46" t="inlineStr">
        <is>
          <t>N</t>
        </is>
      </c>
      <c r="P1001" s="50" t="n">
        <v>1439.7777</v>
      </c>
      <c r="Q1001" s="49">
        <f>IF(OR(L1001="",M1001="",P1001=""),"",L1001*P1001)</f>
        <v/>
      </c>
    </row>
    <row r="1002" ht="15" customHeight="1" s="32">
      <c r="A1002" s="46" t="inlineStr">
        <is>
          <t>R-HB-1001</t>
        </is>
      </c>
      <c r="B1002" s="47" t="n">
        <v>45770</v>
      </c>
      <c r="C1002" s="46" t="inlineStr">
        <is>
          <t>2025-04</t>
        </is>
      </c>
      <c r="D1002" s="46" t="n">
        <v>2025</v>
      </c>
      <c r="E1002" s="46" t="inlineStr">
        <is>
          <t>P-HB-001</t>
        </is>
      </c>
      <c r="F1002" s="46" t="inlineStr">
        <is>
          <t>C-HB-01</t>
        </is>
      </c>
      <c r="G1002" s="48" t="inlineStr">
        <is>
          <t>미국</t>
        </is>
      </c>
      <c r="H1002" s="46" t="inlineStr">
        <is>
          <t>US</t>
        </is>
      </c>
      <c r="I1002" s="49" t="n">
        <v>176536</v>
      </c>
      <c r="J1002" s="46" t="inlineStr">
        <is>
          <t>EA</t>
        </is>
      </c>
      <c r="K1002" s="50" t="n">
        <v>79.44</v>
      </c>
      <c r="L1002" s="50" t="n">
        <v>1047042.65</v>
      </c>
      <c r="M1002" s="46" t="inlineStr">
        <is>
          <t>USD</t>
        </is>
      </c>
      <c r="N1002" s="46" t="inlineStr">
        <is>
          <t>FOB</t>
        </is>
      </c>
      <c r="O1002" s="46" t="inlineStr">
        <is>
          <t>N</t>
        </is>
      </c>
      <c r="P1002" s="50" t="n">
        <v>1439.7777</v>
      </c>
      <c r="Q1002" s="49">
        <f>IF(OR(L1002="",M1002="",P1002=""),"",L1002*P1002)</f>
        <v/>
      </c>
    </row>
    <row r="1003" ht="15" customHeight="1" s="32">
      <c r="A1003" s="46" t="inlineStr">
        <is>
          <t>R-HB-1002</t>
        </is>
      </c>
      <c r="B1003" s="47" t="n">
        <v>45770</v>
      </c>
      <c r="C1003" s="46" t="inlineStr">
        <is>
          <t>2025-04</t>
        </is>
      </c>
      <c r="D1003" s="46" t="n">
        <v>2025</v>
      </c>
      <c r="E1003" s="46" t="inlineStr">
        <is>
          <t>P-HB-003</t>
        </is>
      </c>
      <c r="F1003" s="46" t="inlineStr">
        <is>
          <t>C-HB-02</t>
        </is>
      </c>
      <c r="G1003" s="48" t="inlineStr">
        <is>
          <t>미국</t>
        </is>
      </c>
      <c r="H1003" s="46" t="inlineStr">
        <is>
          <t>US</t>
        </is>
      </c>
      <c r="I1003" s="49" t="n">
        <v>29496</v>
      </c>
      <c r="J1003" s="46" t="inlineStr">
        <is>
          <t>EA</t>
        </is>
      </c>
      <c r="K1003" s="50" t="n">
        <v>19.17</v>
      </c>
      <c r="L1003" s="50" t="n">
        <v>237635.14</v>
      </c>
      <c r="M1003" s="46" t="inlineStr">
        <is>
          <t>USD</t>
        </is>
      </c>
      <c r="N1003" s="46" t="inlineStr">
        <is>
          <t>FOB</t>
        </is>
      </c>
      <c r="O1003" s="46" t="inlineStr">
        <is>
          <t>N</t>
        </is>
      </c>
      <c r="P1003" s="50" t="n">
        <v>1439.7777</v>
      </c>
      <c r="Q1003" s="49">
        <f>IF(OR(L1003="",M1003="",P1003=""),"",L1003*P1003)</f>
        <v/>
      </c>
    </row>
    <row r="1004" ht="15" customHeight="1" s="32">
      <c r="A1004" s="46" t="inlineStr">
        <is>
          <t>R-HB-1003</t>
        </is>
      </c>
      <c r="B1004" s="47" t="n">
        <v>45770</v>
      </c>
      <c r="C1004" s="46" t="inlineStr">
        <is>
          <t>2025-04</t>
        </is>
      </c>
      <c r="D1004" s="46" t="n">
        <v>2025</v>
      </c>
      <c r="E1004" s="46" t="inlineStr">
        <is>
          <t>P-HB-003</t>
        </is>
      </c>
      <c r="F1004" s="46" t="inlineStr">
        <is>
          <t>C-HB-06</t>
        </is>
      </c>
      <c r="G1004" s="48" t="inlineStr">
        <is>
          <t>베트남</t>
        </is>
      </c>
      <c r="H1004" s="46" t="inlineStr">
        <is>
          <t>VN</t>
        </is>
      </c>
      <c r="I1004" s="49" t="n">
        <v>36165</v>
      </c>
      <c r="J1004" s="46" t="inlineStr">
        <is>
          <t>EA</t>
        </is>
      </c>
      <c r="K1004" s="50" t="n">
        <v>23.51</v>
      </c>
      <c r="L1004" s="50" t="n">
        <v>295312.28</v>
      </c>
      <c r="M1004" s="46" t="inlineStr">
        <is>
          <t>USD</t>
        </is>
      </c>
      <c r="N1004" s="46" t="inlineStr">
        <is>
          <t>FOB</t>
        </is>
      </c>
      <c r="O1004" s="46" t="inlineStr">
        <is>
          <t>N</t>
        </is>
      </c>
      <c r="P1004" s="50" t="n">
        <v>1439.7777</v>
      </c>
      <c r="Q1004" s="49">
        <f>IF(OR(L1004="",M1004="",P1004=""),"",L1004*P1004)</f>
        <v/>
      </c>
    </row>
    <row r="1005" ht="15" customHeight="1" s="32">
      <c r="A1005" s="46" t="inlineStr">
        <is>
          <t>R-HB-1004</t>
        </is>
      </c>
      <c r="B1005" s="47" t="n">
        <v>45771</v>
      </c>
      <c r="C1005" s="46" t="inlineStr">
        <is>
          <t>2025-04</t>
        </is>
      </c>
      <c r="D1005" s="46" t="n">
        <v>2025</v>
      </c>
      <c r="E1005" s="46" t="inlineStr">
        <is>
          <t>P-HB-004</t>
        </is>
      </c>
      <c r="F1005" s="46" t="inlineStr">
        <is>
          <t>C-HB-03</t>
        </is>
      </c>
      <c r="G1005" s="48" t="inlineStr">
        <is>
          <t>멕시코</t>
        </is>
      </c>
      <c r="H1005" s="46" t="inlineStr">
        <is>
          <t>MX</t>
        </is>
      </c>
      <c r="I1005" s="49" t="n">
        <v>2938</v>
      </c>
      <c r="J1005" s="46" t="inlineStr">
        <is>
          <t>EA</t>
        </is>
      </c>
      <c r="K1005" s="50" t="n">
        <v>3.23</v>
      </c>
      <c r="L1005" s="50" t="n">
        <v>80337</v>
      </c>
      <c r="M1005" s="46" t="inlineStr">
        <is>
          <t>USD</t>
        </is>
      </c>
      <c r="N1005" s="46" t="inlineStr">
        <is>
          <t>FOB</t>
        </is>
      </c>
      <c r="O1005" s="46" t="inlineStr">
        <is>
          <t>N</t>
        </is>
      </c>
      <c r="P1005" s="50" t="n">
        <v>1439.7777</v>
      </c>
      <c r="Q1005" s="49">
        <f>IF(OR(L1005="",M1005="",P1005=""),"",L1005*P1005)</f>
        <v/>
      </c>
    </row>
    <row r="1006" ht="15" customHeight="1" s="32">
      <c r="A1006" s="46" t="inlineStr">
        <is>
          <t>R-HB-1005</t>
        </is>
      </c>
      <c r="B1006" s="47" t="n">
        <v>45771</v>
      </c>
      <c r="C1006" s="46" t="inlineStr">
        <is>
          <t>2025-04</t>
        </is>
      </c>
      <c r="D1006" s="46" t="n">
        <v>2025</v>
      </c>
      <c r="E1006" s="46" t="inlineStr">
        <is>
          <t>P-HB-004</t>
        </is>
      </c>
      <c r="F1006" s="46" t="inlineStr">
        <is>
          <t>C-HB-09</t>
        </is>
      </c>
      <c r="G1006" s="48" t="inlineStr">
        <is>
          <t>중국</t>
        </is>
      </c>
      <c r="H1006" s="46" t="inlineStr">
        <is>
          <t>CN</t>
        </is>
      </c>
      <c r="I1006" s="49" t="n">
        <v>12838</v>
      </c>
      <c r="J1006" s="46" t="inlineStr">
        <is>
          <t>EA</t>
        </is>
      </c>
      <c r="K1006" s="50" t="n">
        <v>14.12</v>
      </c>
      <c r="L1006" s="50" t="n">
        <v>347115.95</v>
      </c>
      <c r="M1006" s="46" t="inlineStr">
        <is>
          <t>USD</t>
        </is>
      </c>
      <c r="N1006" s="46" t="inlineStr">
        <is>
          <t>FOB</t>
        </is>
      </c>
      <c r="O1006" s="46" t="inlineStr">
        <is>
          <t>N</t>
        </is>
      </c>
      <c r="P1006" s="50" t="n">
        <v>1439.7777</v>
      </c>
      <c r="Q1006" s="49">
        <f>IF(OR(L1006="",M1006="",P1006=""),"",L1006*P1006)</f>
        <v/>
      </c>
    </row>
    <row r="1007" ht="15" customHeight="1" s="32">
      <c r="A1007" s="46" t="inlineStr">
        <is>
          <t>R-HB-1006</t>
        </is>
      </c>
      <c r="B1007" s="47" t="n">
        <v>45773</v>
      </c>
      <c r="C1007" s="46" t="inlineStr">
        <is>
          <t>2025-04</t>
        </is>
      </c>
      <c r="D1007" s="46" t="n">
        <v>2025</v>
      </c>
      <c r="E1007" s="46" t="inlineStr">
        <is>
          <t>P-HB-004</t>
        </is>
      </c>
      <c r="F1007" s="46" t="inlineStr">
        <is>
          <t>C-HB-06</t>
        </is>
      </c>
      <c r="G1007" s="48" t="inlineStr">
        <is>
          <t>베트남</t>
        </is>
      </c>
      <c r="H1007" s="46" t="inlineStr">
        <is>
          <t>VN</t>
        </is>
      </c>
      <c r="I1007" s="49" t="n">
        <v>11452</v>
      </c>
      <c r="J1007" s="46" t="inlineStr">
        <is>
          <t>EA</t>
        </is>
      </c>
      <c r="K1007" s="50" t="n">
        <v>12.6</v>
      </c>
      <c r="L1007" s="50" t="n">
        <v>327062.73</v>
      </c>
      <c r="M1007" s="46" t="inlineStr">
        <is>
          <t>USD</t>
        </is>
      </c>
      <c r="N1007" s="46" t="inlineStr">
        <is>
          <t>FOB</t>
        </is>
      </c>
      <c r="O1007" s="46" t="inlineStr">
        <is>
          <t>N</t>
        </is>
      </c>
      <c r="P1007" s="50" t="n">
        <v>1439.7777</v>
      </c>
      <c r="Q1007" s="49">
        <f>IF(OR(L1007="",M1007="",P1007=""),"",L1007*P1007)</f>
        <v/>
      </c>
    </row>
    <row r="1008" ht="15" customHeight="1" s="32">
      <c r="A1008" s="46" t="inlineStr">
        <is>
          <t>R-HB-1007</t>
        </is>
      </c>
      <c r="B1008" s="47" t="n">
        <v>45774</v>
      </c>
      <c r="C1008" s="46" t="inlineStr">
        <is>
          <t>2025-04</t>
        </is>
      </c>
      <c r="D1008" s="46" t="n">
        <v>2025</v>
      </c>
      <c r="E1008" s="46" t="inlineStr">
        <is>
          <t>P-HB-001</t>
        </is>
      </c>
      <c r="F1008" s="46" t="inlineStr">
        <is>
          <t>C-HB-06</t>
        </is>
      </c>
      <c r="G1008" s="48" t="inlineStr">
        <is>
          <t>베트남</t>
        </is>
      </c>
      <c r="H1008" s="46" t="inlineStr">
        <is>
          <t>VN</t>
        </is>
      </c>
      <c r="I1008" s="49" t="n">
        <v>122556</v>
      </c>
      <c r="J1008" s="46" t="inlineStr">
        <is>
          <t>EA</t>
        </is>
      </c>
      <c r="K1008" s="50" t="n">
        <v>55.15</v>
      </c>
      <c r="L1008" s="50" t="n">
        <v>697337.16</v>
      </c>
      <c r="M1008" s="46" t="inlineStr">
        <is>
          <t>USD</t>
        </is>
      </c>
      <c r="N1008" s="46" t="inlineStr">
        <is>
          <t>FOB</t>
        </is>
      </c>
      <c r="O1008" s="46" t="inlineStr">
        <is>
          <t>N</t>
        </is>
      </c>
      <c r="P1008" s="50" t="n">
        <v>1439.7777</v>
      </c>
      <c r="Q1008" s="49">
        <f>IF(OR(L1008="",M1008="",P1008=""),"",L1008*P1008)</f>
        <v/>
      </c>
    </row>
    <row r="1009" ht="15" customHeight="1" s="32">
      <c r="A1009" s="46" t="inlineStr">
        <is>
          <t>R-HB-1008</t>
        </is>
      </c>
      <c r="B1009" s="47" t="n">
        <v>45774</v>
      </c>
      <c r="C1009" s="46" t="inlineStr">
        <is>
          <t>2025-04</t>
        </is>
      </c>
      <c r="D1009" s="46" t="n">
        <v>2025</v>
      </c>
      <c r="E1009" s="46" t="inlineStr">
        <is>
          <t>P-HB-003</t>
        </is>
      </c>
      <c r="F1009" s="46" t="inlineStr">
        <is>
          <t>C-HB-08</t>
        </is>
      </c>
      <c r="G1009" s="48" t="inlineStr">
        <is>
          <t>중국</t>
        </is>
      </c>
      <c r="H1009" s="46" t="inlineStr">
        <is>
          <t>CN</t>
        </is>
      </c>
      <c r="I1009" s="49" t="n">
        <v>58280</v>
      </c>
      <c r="J1009" s="46" t="inlineStr">
        <is>
          <t>EA</t>
        </is>
      </c>
      <c r="K1009" s="50" t="n">
        <v>37.88</v>
      </c>
      <c r="L1009" s="50" t="n">
        <v>478960.98</v>
      </c>
      <c r="M1009" s="46" t="inlineStr">
        <is>
          <t>USD</t>
        </is>
      </c>
      <c r="N1009" s="46" t="inlineStr">
        <is>
          <t>FOB</t>
        </is>
      </c>
      <c r="O1009" s="46" t="inlineStr">
        <is>
          <t>N</t>
        </is>
      </c>
      <c r="P1009" s="50" t="n">
        <v>1439.7777</v>
      </c>
      <c r="Q1009" s="49">
        <f>IF(OR(L1009="",M1009="",P1009=""),"",L1009*P1009)</f>
        <v/>
      </c>
    </row>
    <row r="1010" ht="15" customHeight="1" s="32">
      <c r="A1010" s="46" t="inlineStr">
        <is>
          <t>R-HB-1009</t>
        </is>
      </c>
      <c r="B1010" s="47" t="n">
        <v>45780</v>
      </c>
      <c r="C1010" s="46" t="inlineStr">
        <is>
          <t>2025-05</t>
        </is>
      </c>
      <c r="D1010" s="46" t="n">
        <v>2025</v>
      </c>
      <c r="E1010" s="46" t="inlineStr">
        <is>
          <t>P-HB-003</t>
        </is>
      </c>
      <c r="F1010" s="46" t="inlineStr">
        <is>
          <t>C-HB-06</t>
        </is>
      </c>
      <c r="G1010" s="48" t="inlineStr">
        <is>
          <t>베트남</t>
        </is>
      </c>
      <c r="H1010" s="46" t="inlineStr">
        <is>
          <t>VN</t>
        </is>
      </c>
      <c r="I1010" s="49" t="n">
        <v>35356</v>
      </c>
      <c r="J1010" s="46" t="inlineStr">
        <is>
          <t>EA</t>
        </is>
      </c>
      <c r="K1010" s="50" t="n">
        <v>22.98</v>
      </c>
      <c r="L1010" s="50" t="n">
        <v>299133.57</v>
      </c>
      <c r="M1010" s="46" t="inlineStr">
        <is>
          <t>USD</t>
        </is>
      </c>
      <c r="N1010" s="46" t="inlineStr">
        <is>
          <t>FOB</t>
        </is>
      </c>
      <c r="O1010" s="46" t="inlineStr">
        <is>
          <t>N</t>
        </is>
      </c>
      <c r="P1010" s="50" t="n">
        <v>1391.4376</v>
      </c>
      <c r="Q1010" s="49">
        <f>IF(OR(L1010="",M1010="",P1010=""),"",L1010*P1010)</f>
        <v/>
      </c>
    </row>
    <row r="1011" ht="15" customHeight="1" s="32">
      <c r="A1011" s="46" t="inlineStr">
        <is>
          <t>R-HB-1010</t>
        </is>
      </c>
      <c r="B1011" s="47" t="n">
        <v>45780</v>
      </c>
      <c r="C1011" s="46" t="inlineStr">
        <is>
          <t>2025-05</t>
        </is>
      </c>
      <c r="D1011" s="46" t="n">
        <v>2025</v>
      </c>
      <c r="E1011" s="46" t="inlineStr">
        <is>
          <t>P-HB-001</t>
        </is>
      </c>
      <c r="F1011" s="46" t="inlineStr">
        <is>
          <t>C-HB-09</t>
        </is>
      </c>
      <c r="G1011" s="48" t="inlineStr">
        <is>
          <t>중국</t>
        </is>
      </c>
      <c r="H1011" s="46" t="inlineStr">
        <is>
          <t>CN</t>
        </is>
      </c>
      <c r="I1011" s="49" t="n">
        <v>148024</v>
      </c>
      <c r="J1011" s="46" t="inlineStr">
        <is>
          <t>EA</t>
        </is>
      </c>
      <c r="K1011" s="50" t="n">
        <v>66.61</v>
      </c>
      <c r="L1011" s="50" t="n">
        <v>832299.17</v>
      </c>
      <c r="M1011" s="46" t="inlineStr">
        <is>
          <t>USD</t>
        </is>
      </c>
      <c r="N1011" s="46" t="inlineStr">
        <is>
          <t>FOB</t>
        </is>
      </c>
      <c r="O1011" s="46" t="inlineStr">
        <is>
          <t>N</t>
        </is>
      </c>
      <c r="P1011" s="50" t="n">
        <v>1391.4376</v>
      </c>
      <c r="Q1011" s="49">
        <f>IF(OR(L1011="",M1011="",P1011=""),"",L1011*P1011)</f>
        <v/>
      </c>
    </row>
    <row r="1012" ht="15" customHeight="1" s="32">
      <c r="A1012" s="46" t="inlineStr">
        <is>
          <t>R-HB-1011</t>
        </is>
      </c>
      <c r="B1012" s="47" t="n">
        <v>45781</v>
      </c>
      <c r="C1012" s="46" t="inlineStr">
        <is>
          <t>2025-05</t>
        </is>
      </c>
      <c r="D1012" s="46" t="n">
        <v>2025</v>
      </c>
      <c r="E1012" s="46" t="inlineStr">
        <is>
          <t>P-HB-001</t>
        </is>
      </c>
      <c r="F1012" s="46" t="inlineStr">
        <is>
          <t>C-HB-02</t>
        </is>
      </c>
      <c r="G1012" s="48" t="inlineStr">
        <is>
          <t>미국</t>
        </is>
      </c>
      <c r="H1012" s="46" t="inlineStr">
        <is>
          <t>US</t>
        </is>
      </c>
      <c r="I1012" s="49" t="n">
        <v>101289</v>
      </c>
      <c r="J1012" s="46" t="inlineStr">
        <is>
          <t>EA</t>
        </is>
      </c>
      <c r="K1012" s="50" t="n">
        <v>45.58</v>
      </c>
      <c r="L1012" s="50" t="n">
        <v>598077.28</v>
      </c>
      <c r="M1012" s="46" t="inlineStr">
        <is>
          <t>USD</t>
        </is>
      </c>
      <c r="N1012" s="46" t="inlineStr">
        <is>
          <t>FOB</t>
        </is>
      </c>
      <c r="O1012" s="46" t="inlineStr">
        <is>
          <t>N</t>
        </is>
      </c>
      <c r="P1012" s="50" t="n">
        <v>1391.4376</v>
      </c>
      <c r="Q1012" s="49">
        <f>IF(OR(L1012="",M1012="",P1012=""),"",L1012*P1012)</f>
        <v/>
      </c>
    </row>
    <row r="1013" ht="15" customHeight="1" s="32">
      <c r="A1013" s="46" t="inlineStr">
        <is>
          <t>R-HB-1012</t>
        </is>
      </c>
      <c r="B1013" s="47" t="n">
        <v>45782</v>
      </c>
      <c r="C1013" s="46" t="inlineStr">
        <is>
          <t>2025-05</t>
        </is>
      </c>
      <c r="D1013" s="46" t="n">
        <v>2025</v>
      </c>
      <c r="E1013" s="46" t="inlineStr">
        <is>
          <t>P-HB-004</t>
        </is>
      </c>
      <c r="F1013" s="46" t="inlineStr">
        <is>
          <t>C-HB-09</t>
        </is>
      </c>
      <c r="G1013" s="48" t="inlineStr">
        <is>
          <t>중국</t>
        </is>
      </c>
      <c r="H1013" s="46" t="inlineStr">
        <is>
          <t>CN</t>
        </is>
      </c>
      <c r="I1013" s="49" t="n">
        <v>12237</v>
      </c>
      <c r="J1013" s="46" t="inlineStr">
        <is>
          <t>EA</t>
        </is>
      </c>
      <c r="K1013" s="50" t="n">
        <v>13.46</v>
      </c>
      <c r="L1013" s="50" t="n">
        <v>345112.3</v>
      </c>
      <c r="M1013" s="46" t="inlineStr">
        <is>
          <t>USD</t>
        </is>
      </c>
      <c r="N1013" s="46" t="inlineStr">
        <is>
          <t>FOB</t>
        </is>
      </c>
      <c r="O1013" s="46" t="inlineStr">
        <is>
          <t>N</t>
        </is>
      </c>
      <c r="P1013" s="50" t="n">
        <v>1391.4376</v>
      </c>
      <c r="Q1013" s="49">
        <f>IF(OR(L1013="",M1013="",P1013=""),"",L1013*P1013)</f>
        <v/>
      </c>
    </row>
    <row r="1014" ht="15" customHeight="1" s="32">
      <c r="A1014" s="46" t="inlineStr">
        <is>
          <t>R-HB-1013</t>
        </is>
      </c>
      <c r="B1014" s="47" t="n">
        <v>45784</v>
      </c>
      <c r="C1014" s="46" t="inlineStr">
        <is>
          <t>2025-05</t>
        </is>
      </c>
      <c r="D1014" s="46" t="n">
        <v>2025</v>
      </c>
      <c r="E1014" s="46" t="inlineStr">
        <is>
          <t>P-HB-004</t>
        </is>
      </c>
      <c r="F1014" s="46" t="inlineStr">
        <is>
          <t>C-HB-02</t>
        </is>
      </c>
      <c r="G1014" s="48" t="inlineStr">
        <is>
          <t>미국</t>
        </is>
      </c>
      <c r="H1014" s="46" t="inlineStr">
        <is>
          <t>US</t>
        </is>
      </c>
      <c r="I1014" s="49" t="n">
        <v>9188</v>
      </c>
      <c r="J1014" s="46" t="inlineStr">
        <is>
          <t>EA</t>
        </is>
      </c>
      <c r="K1014" s="50" t="n">
        <v>10.11</v>
      </c>
      <c r="L1014" s="50" t="n">
        <v>260606.53</v>
      </c>
      <c r="M1014" s="46" t="inlineStr">
        <is>
          <t>USD</t>
        </is>
      </c>
      <c r="N1014" s="46" t="inlineStr">
        <is>
          <t>FOB</t>
        </is>
      </c>
      <c r="O1014" s="46" t="inlineStr">
        <is>
          <t>N</t>
        </is>
      </c>
      <c r="P1014" s="50" t="n">
        <v>1391.4376</v>
      </c>
      <c r="Q1014" s="49">
        <f>IF(OR(L1014="",M1014="",P1014=""),"",L1014*P1014)</f>
        <v/>
      </c>
    </row>
    <row r="1015" ht="15" customHeight="1" s="32">
      <c r="A1015" s="46" t="inlineStr">
        <is>
          <t>R-HB-1014</t>
        </is>
      </c>
      <c r="B1015" s="47" t="n">
        <v>45785</v>
      </c>
      <c r="C1015" s="46" t="inlineStr">
        <is>
          <t>2025-05</t>
        </is>
      </c>
      <c r="D1015" s="46" t="n">
        <v>2025</v>
      </c>
      <c r="E1015" s="46" t="inlineStr">
        <is>
          <t>P-HB-001</t>
        </is>
      </c>
      <c r="F1015" s="46" t="inlineStr">
        <is>
          <t>C-HB-04</t>
        </is>
      </c>
      <c r="G1015" s="48" t="inlineStr">
        <is>
          <t>캐나다</t>
        </is>
      </c>
      <c r="H1015" s="46" t="inlineStr">
        <is>
          <t>CA</t>
        </is>
      </c>
      <c r="I1015" s="49" t="n">
        <v>16546</v>
      </c>
      <c r="J1015" s="46" t="inlineStr">
        <is>
          <t>EA</t>
        </is>
      </c>
      <c r="K1015" s="50" t="n">
        <v>7.45</v>
      </c>
      <c r="L1015" s="50" t="n">
        <v>95054.85000000001</v>
      </c>
      <c r="M1015" s="46" t="inlineStr">
        <is>
          <t>USD</t>
        </is>
      </c>
      <c r="N1015" s="46" t="inlineStr">
        <is>
          <t>FOB</t>
        </is>
      </c>
      <c r="O1015" s="46" t="inlineStr">
        <is>
          <t>N</t>
        </is>
      </c>
      <c r="P1015" s="50" t="n">
        <v>1391.4376</v>
      </c>
      <c r="Q1015" s="49">
        <f>IF(OR(L1015="",M1015="",P1015=""),"",L1015*P1015)</f>
        <v/>
      </c>
    </row>
    <row r="1016" ht="15" customHeight="1" s="32">
      <c r="A1016" s="46" t="inlineStr">
        <is>
          <t>R-HB-1015</t>
        </is>
      </c>
      <c r="B1016" s="47" t="n">
        <v>45785</v>
      </c>
      <c r="C1016" s="46" t="inlineStr">
        <is>
          <t>2025-05</t>
        </is>
      </c>
      <c r="D1016" s="46" t="n">
        <v>2025</v>
      </c>
      <c r="E1016" s="46" t="inlineStr">
        <is>
          <t>P-HB-002</t>
        </is>
      </c>
      <c r="F1016" s="46" t="inlineStr">
        <is>
          <t>C-HB-09</t>
        </is>
      </c>
      <c r="G1016" s="48" t="inlineStr">
        <is>
          <t>중국</t>
        </is>
      </c>
      <c r="H1016" s="46" t="inlineStr">
        <is>
          <t>CN</t>
        </is>
      </c>
      <c r="I1016" s="49" t="n">
        <v>818</v>
      </c>
      <c r="J1016" s="46" t="inlineStr">
        <is>
          <t>EA</t>
        </is>
      </c>
      <c r="K1016" s="50" t="n">
        <v>1.8</v>
      </c>
      <c r="L1016" s="50" t="n">
        <v>322789.89</v>
      </c>
      <c r="M1016" s="46" t="inlineStr">
        <is>
          <t>USD</t>
        </is>
      </c>
      <c r="N1016" s="46" t="inlineStr">
        <is>
          <t>FOB</t>
        </is>
      </c>
      <c r="O1016" s="46" t="inlineStr">
        <is>
          <t>N</t>
        </is>
      </c>
      <c r="P1016" s="50" t="n">
        <v>1391.4376</v>
      </c>
      <c r="Q1016" s="49">
        <f>IF(OR(L1016="",M1016="",P1016=""),"",L1016*P1016)</f>
        <v/>
      </c>
    </row>
    <row r="1017" ht="15" customHeight="1" s="32">
      <c r="A1017" s="46" t="inlineStr">
        <is>
          <t>R-HB-1016</t>
        </is>
      </c>
      <c r="B1017" s="47" t="n">
        <v>45787</v>
      </c>
      <c r="C1017" s="46" t="inlineStr">
        <is>
          <t>2025-05</t>
        </is>
      </c>
      <c r="D1017" s="46" t="n">
        <v>2025</v>
      </c>
      <c r="E1017" s="46" t="inlineStr">
        <is>
          <t>P-HB-001</t>
        </is>
      </c>
      <c r="F1017" s="46" t="inlineStr">
        <is>
          <t>C-HB-06</t>
        </is>
      </c>
      <c r="G1017" s="48" t="inlineStr">
        <is>
          <t>베트남</t>
        </is>
      </c>
      <c r="H1017" s="46" t="inlineStr">
        <is>
          <t>VN</t>
        </is>
      </c>
      <c r="I1017" s="49" t="n">
        <v>123428</v>
      </c>
      <c r="J1017" s="46" t="inlineStr">
        <is>
          <t>EA</t>
        </is>
      </c>
      <c r="K1017" s="50" t="n">
        <v>55.54</v>
      </c>
      <c r="L1017" s="50" t="n">
        <v>739524.67</v>
      </c>
      <c r="M1017" s="46" t="inlineStr">
        <is>
          <t>USD</t>
        </is>
      </c>
      <c r="N1017" s="46" t="inlineStr">
        <is>
          <t>FOB</t>
        </is>
      </c>
      <c r="O1017" s="46" t="inlineStr">
        <is>
          <t>N</t>
        </is>
      </c>
      <c r="P1017" s="50" t="n">
        <v>1391.4376</v>
      </c>
      <c r="Q1017" s="49">
        <f>IF(OR(L1017="",M1017="",P1017=""),"",L1017*P1017)</f>
        <v/>
      </c>
    </row>
    <row r="1018" ht="15" customHeight="1" s="32">
      <c r="A1018" s="46" t="inlineStr">
        <is>
          <t>R-HB-1017</t>
        </is>
      </c>
      <c r="B1018" s="47" t="n">
        <v>45787</v>
      </c>
      <c r="C1018" s="46" t="inlineStr">
        <is>
          <t>2025-05</t>
        </is>
      </c>
      <c r="D1018" s="46" t="n">
        <v>2025</v>
      </c>
      <c r="E1018" s="46" t="inlineStr">
        <is>
          <t>P-HB-003</t>
        </is>
      </c>
      <c r="F1018" s="46" t="inlineStr">
        <is>
          <t>C-HB-08</t>
        </is>
      </c>
      <c r="G1018" s="48" t="inlineStr">
        <is>
          <t>중국</t>
        </is>
      </c>
      <c r="H1018" s="46" t="inlineStr">
        <is>
          <t>CN</t>
        </is>
      </c>
      <c r="I1018" s="49" t="n">
        <v>62255</v>
      </c>
      <c r="J1018" s="46" t="inlineStr">
        <is>
          <t>EA</t>
        </is>
      </c>
      <c r="K1018" s="50" t="n">
        <v>40.47</v>
      </c>
      <c r="L1018" s="50" t="n">
        <v>504576.26</v>
      </c>
      <c r="M1018" s="46" t="inlineStr">
        <is>
          <t>USD</t>
        </is>
      </c>
      <c r="N1018" s="46" t="inlineStr">
        <is>
          <t>FOB</t>
        </is>
      </c>
      <c r="O1018" s="46" t="inlineStr">
        <is>
          <t>N</t>
        </is>
      </c>
      <c r="P1018" s="50" t="n">
        <v>1391.4376</v>
      </c>
      <c r="Q1018" s="49">
        <f>IF(OR(L1018="",M1018="",P1018=""),"",L1018*P1018)</f>
        <v/>
      </c>
    </row>
    <row r="1019" ht="15" customHeight="1" s="32">
      <c r="A1019" s="46" t="inlineStr">
        <is>
          <t>R-HB-1018</t>
        </is>
      </c>
      <c r="B1019" s="47" t="n">
        <v>45788</v>
      </c>
      <c r="C1019" s="46" t="inlineStr">
        <is>
          <t>2025-05</t>
        </is>
      </c>
      <c r="D1019" s="46" t="n">
        <v>2025</v>
      </c>
      <c r="E1019" s="46" t="inlineStr">
        <is>
          <t>P-HB-002</t>
        </is>
      </c>
      <c r="F1019" s="46" t="inlineStr">
        <is>
          <t>C-HB-03</t>
        </is>
      </c>
      <c r="G1019" s="48" t="inlineStr">
        <is>
          <t>멕시코</t>
        </is>
      </c>
      <c r="H1019" s="46" t="inlineStr">
        <is>
          <t>MX</t>
        </is>
      </c>
      <c r="I1019" s="49" t="n">
        <v>222</v>
      </c>
      <c r="J1019" s="46" t="inlineStr">
        <is>
          <t>EA</t>
        </is>
      </c>
      <c r="K1019" s="50" t="n">
        <v>0.49</v>
      </c>
      <c r="L1019" s="50" t="n">
        <v>91700.34</v>
      </c>
      <c r="M1019" s="46" t="inlineStr">
        <is>
          <t>USD</t>
        </is>
      </c>
      <c r="N1019" s="46" t="inlineStr">
        <is>
          <t>FOB</t>
        </is>
      </c>
      <c r="O1019" s="46" t="inlineStr">
        <is>
          <t>N</t>
        </is>
      </c>
      <c r="P1019" s="50" t="n">
        <v>1391.4376</v>
      </c>
      <c r="Q1019" s="49">
        <f>IF(OR(L1019="",M1019="",P1019=""),"",L1019*P1019)</f>
        <v/>
      </c>
    </row>
    <row r="1020" ht="15" customHeight="1" s="32">
      <c r="A1020" s="46" t="inlineStr">
        <is>
          <t>R-HB-1019</t>
        </is>
      </c>
      <c r="B1020" s="47" t="n">
        <v>45788</v>
      </c>
      <c r="C1020" s="46" t="inlineStr">
        <is>
          <t>2025-05</t>
        </is>
      </c>
      <c r="D1020" s="46" t="n">
        <v>2025</v>
      </c>
      <c r="E1020" s="46" t="inlineStr">
        <is>
          <t>P-HB-004</t>
        </is>
      </c>
      <c r="F1020" s="46" t="inlineStr">
        <is>
          <t>C-HB-06</t>
        </is>
      </c>
      <c r="G1020" s="48" t="inlineStr">
        <is>
          <t>베트남</t>
        </is>
      </c>
      <c r="H1020" s="46" t="inlineStr">
        <is>
          <t>VN</t>
        </is>
      </c>
      <c r="I1020" s="49" t="n">
        <v>14087</v>
      </c>
      <c r="J1020" s="46" t="inlineStr">
        <is>
          <t>EA</t>
        </is>
      </c>
      <c r="K1020" s="50" t="n">
        <v>15.5</v>
      </c>
      <c r="L1020" s="50" t="n">
        <v>383771.25</v>
      </c>
      <c r="M1020" s="46" t="inlineStr">
        <is>
          <t>USD</t>
        </is>
      </c>
      <c r="N1020" s="46" t="inlineStr">
        <is>
          <t>FOB</t>
        </is>
      </c>
      <c r="O1020" s="46" t="inlineStr">
        <is>
          <t>N</t>
        </is>
      </c>
      <c r="P1020" s="50" t="n">
        <v>1391.4376</v>
      </c>
      <c r="Q1020" s="49">
        <f>IF(OR(L1020="",M1020="",P1020=""),"",L1020*P1020)</f>
        <v/>
      </c>
    </row>
    <row r="1021" ht="15" customHeight="1" s="32">
      <c r="A1021" s="46" t="inlineStr">
        <is>
          <t>R-HB-1020</t>
        </is>
      </c>
      <c r="B1021" s="47" t="n">
        <v>45789</v>
      </c>
      <c r="C1021" s="46" t="inlineStr">
        <is>
          <t>2025-05</t>
        </is>
      </c>
      <c r="D1021" s="46" t="n">
        <v>2025</v>
      </c>
      <c r="E1021" s="46" t="inlineStr">
        <is>
          <t>P-HB-004</t>
        </is>
      </c>
      <c r="F1021" s="46" t="inlineStr">
        <is>
          <t>C-HB-01</t>
        </is>
      </c>
      <c r="G1021" s="48" t="inlineStr">
        <is>
          <t>미국</t>
        </is>
      </c>
      <c r="H1021" s="46" t="inlineStr">
        <is>
          <t>US</t>
        </is>
      </c>
      <c r="I1021" s="49" t="n">
        <v>17684</v>
      </c>
      <c r="J1021" s="46" t="inlineStr">
        <is>
          <t>EA</t>
        </is>
      </c>
      <c r="K1021" s="50" t="n">
        <v>19.45</v>
      </c>
      <c r="L1021" s="50" t="n">
        <v>499264.33</v>
      </c>
      <c r="M1021" s="46" t="inlineStr">
        <is>
          <t>USD</t>
        </is>
      </c>
      <c r="N1021" s="46" t="inlineStr">
        <is>
          <t>FOB</t>
        </is>
      </c>
      <c r="O1021" s="46" t="inlineStr">
        <is>
          <t>N</t>
        </is>
      </c>
      <c r="P1021" s="50" t="n">
        <v>1391.4376</v>
      </c>
      <c r="Q1021" s="49">
        <f>IF(OR(L1021="",M1021="",P1021=""),"",L1021*P1021)</f>
        <v/>
      </c>
    </row>
    <row r="1022" ht="15" customHeight="1" s="32">
      <c r="A1022" s="46" t="inlineStr">
        <is>
          <t>R-HB-1021</t>
        </is>
      </c>
      <c r="B1022" s="47" t="n">
        <v>45789</v>
      </c>
      <c r="C1022" s="46" t="inlineStr">
        <is>
          <t>2025-05</t>
        </is>
      </c>
      <c r="D1022" s="46" t="n">
        <v>2025</v>
      </c>
      <c r="E1022" s="46" t="inlineStr">
        <is>
          <t>P-HB-002</t>
        </is>
      </c>
      <c r="F1022" s="46" t="inlineStr">
        <is>
          <t>C-HB-08</t>
        </is>
      </c>
      <c r="G1022" s="48" t="inlineStr">
        <is>
          <t>중국</t>
        </is>
      </c>
      <c r="H1022" s="46" t="inlineStr">
        <is>
          <t>CN</t>
        </is>
      </c>
      <c r="I1022" s="49" t="n">
        <v>1211</v>
      </c>
      <c r="J1022" s="46" t="inlineStr">
        <is>
          <t>EA</t>
        </is>
      </c>
      <c r="K1022" s="50" t="n">
        <v>2.66</v>
      </c>
      <c r="L1022" s="50" t="n">
        <v>484170.44</v>
      </c>
      <c r="M1022" s="46" t="inlineStr">
        <is>
          <t>USD</t>
        </is>
      </c>
      <c r="N1022" s="46" t="inlineStr">
        <is>
          <t>FOB</t>
        </is>
      </c>
      <c r="O1022" s="46" t="inlineStr">
        <is>
          <t>N</t>
        </is>
      </c>
      <c r="P1022" s="50" t="n">
        <v>1391.4376</v>
      </c>
      <c r="Q1022" s="49">
        <f>IF(OR(L1022="",M1022="",P1022=""),"",L1022*P1022)</f>
        <v/>
      </c>
    </row>
    <row r="1023" ht="15" customHeight="1" s="32">
      <c r="A1023" s="46" t="inlineStr">
        <is>
          <t>R-HB-1022</t>
        </is>
      </c>
      <c r="B1023" s="47" t="n">
        <v>45789</v>
      </c>
      <c r="C1023" s="46" t="inlineStr">
        <is>
          <t>2025-05</t>
        </is>
      </c>
      <c r="D1023" s="46" t="n">
        <v>2025</v>
      </c>
      <c r="E1023" s="46" t="inlineStr">
        <is>
          <t>P-HB-004</t>
        </is>
      </c>
      <c r="F1023" s="46" t="inlineStr">
        <is>
          <t>C-HB-08</t>
        </is>
      </c>
      <c r="G1023" s="48" t="inlineStr">
        <is>
          <t>중국</t>
        </is>
      </c>
      <c r="H1023" s="46" t="inlineStr">
        <is>
          <t>CN</t>
        </is>
      </c>
      <c r="I1023" s="49" t="n">
        <v>20884</v>
      </c>
      <c r="J1023" s="46" t="inlineStr">
        <is>
          <t>EA</t>
        </is>
      </c>
      <c r="K1023" s="50" t="n">
        <v>22.97</v>
      </c>
      <c r="L1023" s="50" t="n">
        <v>571662.45</v>
      </c>
      <c r="M1023" s="46" t="inlineStr">
        <is>
          <t>USD</t>
        </is>
      </c>
      <c r="N1023" s="46" t="inlineStr">
        <is>
          <t>FOB</t>
        </is>
      </c>
      <c r="O1023" s="46" t="inlineStr">
        <is>
          <t>N</t>
        </is>
      </c>
      <c r="P1023" s="50" t="n">
        <v>1391.4376</v>
      </c>
      <c r="Q1023" s="49">
        <f>IF(OR(L1023="",M1023="",P1023=""),"",L1023*P1023)</f>
        <v/>
      </c>
    </row>
    <row r="1024" ht="15" customHeight="1" s="32">
      <c r="A1024" s="46" t="inlineStr">
        <is>
          <t>R-HB-1023</t>
        </is>
      </c>
      <c r="B1024" s="47" t="n">
        <v>45791</v>
      </c>
      <c r="C1024" s="46" t="inlineStr">
        <is>
          <t>2025-05</t>
        </is>
      </c>
      <c r="D1024" s="46" t="n">
        <v>2025</v>
      </c>
      <c r="E1024" s="46" t="inlineStr">
        <is>
          <t>P-HB-001</t>
        </is>
      </c>
      <c r="F1024" s="46" t="inlineStr">
        <is>
          <t>C-HB-05</t>
        </is>
      </c>
      <c r="G1024" s="48" t="inlineStr">
        <is>
          <t>독일</t>
        </is>
      </c>
      <c r="H1024" s="46" t="inlineStr">
        <is>
          <t>DE</t>
        </is>
      </c>
      <c r="I1024" s="49" t="n">
        <v>158411</v>
      </c>
      <c r="J1024" s="46" t="inlineStr">
        <is>
          <t>EA</t>
        </is>
      </c>
      <c r="K1024" s="50" t="n">
        <v>71.28</v>
      </c>
      <c r="L1024" s="50" t="n">
        <v>928183.42</v>
      </c>
      <c r="M1024" s="46" t="inlineStr">
        <is>
          <t>USD</t>
        </is>
      </c>
      <c r="N1024" s="46" t="inlineStr">
        <is>
          <t>FOB</t>
        </is>
      </c>
      <c r="O1024" s="46" t="inlineStr">
        <is>
          <t>N</t>
        </is>
      </c>
      <c r="P1024" s="50" t="n">
        <v>1391.4376</v>
      </c>
      <c r="Q1024" s="49">
        <f>IF(OR(L1024="",M1024="",P1024=""),"",L1024*P1024)</f>
        <v/>
      </c>
    </row>
    <row r="1025" ht="15" customHeight="1" s="32">
      <c r="A1025" s="46" t="inlineStr">
        <is>
          <t>R-HB-1024</t>
        </is>
      </c>
      <c r="B1025" s="47" t="n">
        <v>45791</v>
      </c>
      <c r="C1025" s="46" t="inlineStr">
        <is>
          <t>2025-05</t>
        </is>
      </c>
      <c r="D1025" s="46" t="n">
        <v>2025</v>
      </c>
      <c r="E1025" s="46" t="inlineStr">
        <is>
          <t>P-HB-003</t>
        </is>
      </c>
      <c r="F1025" s="46" t="inlineStr">
        <is>
          <t>C-HB-05</t>
        </is>
      </c>
      <c r="G1025" s="48" t="inlineStr">
        <is>
          <t>독일</t>
        </is>
      </c>
      <c r="H1025" s="46" t="inlineStr">
        <is>
          <t>DE</t>
        </is>
      </c>
      <c r="I1025" s="49" t="n">
        <v>42304</v>
      </c>
      <c r="J1025" s="46" t="inlineStr">
        <is>
          <t>EA</t>
        </is>
      </c>
      <c r="K1025" s="50" t="n">
        <v>27.5</v>
      </c>
      <c r="L1025" s="50" t="n">
        <v>347583.73</v>
      </c>
      <c r="M1025" s="46" t="inlineStr">
        <is>
          <t>USD</t>
        </is>
      </c>
      <c r="N1025" s="46" t="inlineStr">
        <is>
          <t>FOB</t>
        </is>
      </c>
      <c r="O1025" s="46" t="inlineStr">
        <is>
          <t>N</t>
        </is>
      </c>
      <c r="P1025" s="50" t="n">
        <v>1391.4376</v>
      </c>
      <c r="Q1025" s="49">
        <f>IF(OR(L1025="",M1025="",P1025=""),"",L1025*P1025)</f>
        <v/>
      </c>
    </row>
    <row r="1026" ht="15" customHeight="1" s="32">
      <c r="A1026" s="46" t="inlineStr">
        <is>
          <t>R-HB-1025</t>
        </is>
      </c>
      <c r="B1026" s="47" t="n">
        <v>45791</v>
      </c>
      <c r="C1026" s="46" t="inlineStr">
        <is>
          <t>2025-05</t>
        </is>
      </c>
      <c r="D1026" s="46" t="n">
        <v>2025</v>
      </c>
      <c r="E1026" s="46" t="inlineStr">
        <is>
          <t>P-HB-001</t>
        </is>
      </c>
      <c r="F1026" s="46" t="inlineStr">
        <is>
          <t>C-HB-07</t>
        </is>
      </c>
      <c r="G1026" s="48" t="inlineStr">
        <is>
          <t>인도</t>
        </is>
      </c>
      <c r="H1026" s="46" t="inlineStr">
        <is>
          <t>IN</t>
        </is>
      </c>
      <c r="I1026" s="49" t="n">
        <v>98142</v>
      </c>
      <c r="J1026" s="46" t="inlineStr">
        <is>
          <t>EA</t>
        </is>
      </c>
      <c r="K1026" s="50" t="n">
        <v>44.16</v>
      </c>
      <c r="L1026" s="50" t="n">
        <v>576401.25</v>
      </c>
      <c r="M1026" s="46" t="inlineStr">
        <is>
          <t>USD</t>
        </is>
      </c>
      <c r="N1026" s="46" t="inlineStr">
        <is>
          <t>FOB</t>
        </is>
      </c>
      <c r="O1026" s="46" t="inlineStr">
        <is>
          <t>N</t>
        </is>
      </c>
      <c r="P1026" s="50" t="n">
        <v>1391.4376</v>
      </c>
      <c r="Q1026" s="49">
        <f>IF(OR(L1026="",M1026="",P1026=""),"",L1026*P1026)</f>
        <v/>
      </c>
    </row>
    <row r="1027" ht="15" customHeight="1" s="32">
      <c r="A1027" s="46" t="inlineStr">
        <is>
          <t>R-HB-1026</t>
        </is>
      </c>
      <c r="B1027" s="47" t="n">
        <v>45792</v>
      </c>
      <c r="C1027" s="46" t="inlineStr">
        <is>
          <t>2025-05</t>
        </is>
      </c>
      <c r="D1027" s="46" t="n">
        <v>2025</v>
      </c>
      <c r="E1027" s="46" t="inlineStr">
        <is>
          <t>P-HB-004</t>
        </is>
      </c>
      <c r="F1027" s="46" t="inlineStr">
        <is>
          <t>C-HB-03</t>
        </is>
      </c>
      <c r="G1027" s="48" t="inlineStr">
        <is>
          <t>멕시코</t>
        </is>
      </c>
      <c r="H1027" s="46" t="inlineStr">
        <is>
          <t>MX</t>
        </is>
      </c>
      <c r="I1027" s="49" t="n">
        <v>3479</v>
      </c>
      <c r="J1027" s="46" t="inlineStr">
        <is>
          <t>EA</t>
        </is>
      </c>
      <c r="K1027" s="50" t="n">
        <v>3.83</v>
      </c>
      <c r="L1027" s="50" t="n">
        <v>93859.66</v>
      </c>
      <c r="M1027" s="46" t="inlineStr">
        <is>
          <t>USD</t>
        </is>
      </c>
      <c r="N1027" s="46" t="inlineStr">
        <is>
          <t>FOB</t>
        </is>
      </c>
      <c r="O1027" s="46" t="inlineStr">
        <is>
          <t>N</t>
        </is>
      </c>
      <c r="P1027" s="50" t="n">
        <v>1391.4376</v>
      </c>
      <c r="Q1027" s="49">
        <f>IF(OR(L1027="",M1027="",P1027=""),"",L1027*P1027)</f>
        <v/>
      </c>
    </row>
    <row r="1028" ht="15" customHeight="1" s="32">
      <c r="A1028" s="46" t="inlineStr">
        <is>
          <t>R-HB-1027</t>
        </is>
      </c>
      <c r="B1028" s="47" t="n">
        <v>45792</v>
      </c>
      <c r="C1028" s="46" t="inlineStr">
        <is>
          <t>2025-05</t>
        </is>
      </c>
      <c r="D1028" s="46" t="n">
        <v>2025</v>
      </c>
      <c r="E1028" s="46" t="inlineStr">
        <is>
          <t>P-HB-002</t>
        </is>
      </c>
      <c r="F1028" s="46" t="inlineStr">
        <is>
          <t>C-HB-07</t>
        </is>
      </c>
      <c r="G1028" s="48" t="inlineStr">
        <is>
          <t>인도</t>
        </is>
      </c>
      <c r="H1028" s="46" t="inlineStr">
        <is>
          <t>IN</t>
        </is>
      </c>
      <c r="I1028" s="49" t="n">
        <v>521</v>
      </c>
      <c r="J1028" s="46" t="inlineStr">
        <is>
          <t>EA</t>
        </is>
      </c>
      <c r="K1028" s="50" t="n">
        <v>1.15</v>
      </c>
      <c r="L1028" s="50" t="n">
        <v>213425.14</v>
      </c>
      <c r="M1028" s="46" t="inlineStr">
        <is>
          <t>USD</t>
        </is>
      </c>
      <c r="N1028" s="46" t="inlineStr">
        <is>
          <t>FOB</t>
        </is>
      </c>
      <c r="O1028" s="46" t="inlineStr">
        <is>
          <t>N</t>
        </is>
      </c>
      <c r="P1028" s="50" t="n">
        <v>1391.4376</v>
      </c>
      <c r="Q1028" s="49">
        <f>IF(OR(L1028="",M1028="",P1028=""),"",L1028*P1028)</f>
        <v/>
      </c>
    </row>
    <row r="1029" ht="15" customHeight="1" s="32">
      <c r="A1029" s="46" t="inlineStr">
        <is>
          <t>R-HB-1028</t>
        </is>
      </c>
      <c r="B1029" s="47" t="n">
        <v>45792</v>
      </c>
      <c r="C1029" s="46" t="inlineStr">
        <is>
          <t>2025-05</t>
        </is>
      </c>
      <c r="D1029" s="46" t="n">
        <v>2025</v>
      </c>
      <c r="E1029" s="46" t="inlineStr">
        <is>
          <t>P-HB-004</t>
        </is>
      </c>
      <c r="F1029" s="46" t="inlineStr">
        <is>
          <t>C-HB-07</t>
        </is>
      </c>
      <c r="G1029" s="48" t="inlineStr">
        <is>
          <t>인도</t>
        </is>
      </c>
      <c r="H1029" s="46" t="inlineStr">
        <is>
          <t>IN</t>
        </is>
      </c>
      <c r="I1029" s="49" t="n">
        <v>8728</v>
      </c>
      <c r="J1029" s="46" t="inlineStr">
        <is>
          <t>EA</t>
        </is>
      </c>
      <c r="K1029" s="50" t="n">
        <v>9.6</v>
      </c>
      <c r="L1029" s="50" t="n">
        <v>237384.5</v>
      </c>
      <c r="M1029" s="46" t="inlineStr">
        <is>
          <t>USD</t>
        </is>
      </c>
      <c r="N1029" s="46" t="inlineStr">
        <is>
          <t>FOB</t>
        </is>
      </c>
      <c r="O1029" s="46" t="inlineStr">
        <is>
          <t>N</t>
        </is>
      </c>
      <c r="P1029" s="50" t="n">
        <v>1391.4376</v>
      </c>
      <c r="Q1029" s="49">
        <f>IF(OR(L1029="",M1029="",P1029=""),"",L1029*P1029)</f>
        <v/>
      </c>
    </row>
    <row r="1030" ht="15" customHeight="1" s="32">
      <c r="A1030" s="46" t="inlineStr">
        <is>
          <t>R-HB-1029</t>
        </is>
      </c>
      <c r="B1030" s="47" t="n">
        <v>45793</v>
      </c>
      <c r="C1030" s="46" t="inlineStr">
        <is>
          <t>2025-05</t>
        </is>
      </c>
      <c r="D1030" s="46" t="n">
        <v>2025</v>
      </c>
      <c r="E1030" s="46" t="inlineStr">
        <is>
          <t>P-HB-003</t>
        </is>
      </c>
      <c r="F1030" s="46" t="inlineStr">
        <is>
          <t>C-HB-02</t>
        </is>
      </c>
      <c r="G1030" s="48" t="inlineStr">
        <is>
          <t>미국</t>
        </is>
      </c>
      <c r="H1030" s="46" t="inlineStr">
        <is>
          <t>US</t>
        </is>
      </c>
      <c r="I1030" s="49" t="n">
        <v>25832</v>
      </c>
      <c r="J1030" s="46" t="inlineStr">
        <is>
          <t>EA</t>
        </is>
      </c>
      <c r="K1030" s="50" t="n">
        <v>16.79</v>
      </c>
      <c r="L1030" s="50" t="n">
        <v>212047.71</v>
      </c>
      <c r="M1030" s="46" t="inlineStr">
        <is>
          <t>USD</t>
        </is>
      </c>
      <c r="N1030" s="46" t="inlineStr">
        <is>
          <t>FOB</t>
        </is>
      </c>
      <c r="O1030" s="46" t="inlineStr">
        <is>
          <t>N</t>
        </is>
      </c>
      <c r="P1030" s="50" t="n">
        <v>1391.4376</v>
      </c>
      <c r="Q1030" s="49">
        <f>IF(OR(L1030="",M1030="",P1030=""),"",L1030*P1030)</f>
        <v/>
      </c>
    </row>
    <row r="1031" ht="15" customHeight="1" s="32">
      <c r="A1031" s="46" t="inlineStr">
        <is>
          <t>R-HB-1030</t>
        </is>
      </c>
      <c r="B1031" s="47" t="n">
        <v>45793</v>
      </c>
      <c r="C1031" s="46" t="inlineStr">
        <is>
          <t>2025-05</t>
        </is>
      </c>
      <c r="D1031" s="46" t="n">
        <v>2025</v>
      </c>
      <c r="E1031" s="46" t="inlineStr">
        <is>
          <t>P-HB-001</t>
        </is>
      </c>
      <c r="F1031" s="46" t="inlineStr">
        <is>
          <t>C-HB-08</t>
        </is>
      </c>
      <c r="G1031" s="48" t="inlineStr">
        <is>
          <t>중국</t>
        </is>
      </c>
      <c r="H1031" s="46" t="inlineStr">
        <is>
          <t>CN</t>
        </is>
      </c>
      <c r="I1031" s="49" t="n">
        <v>199505</v>
      </c>
      <c r="J1031" s="46" t="inlineStr">
        <is>
          <t>EA</t>
        </is>
      </c>
      <c r="K1031" s="50" t="n">
        <v>89.78</v>
      </c>
      <c r="L1031" s="50" t="n">
        <v>1134911.57</v>
      </c>
      <c r="M1031" s="46" t="inlineStr">
        <is>
          <t>USD</t>
        </is>
      </c>
      <c r="N1031" s="46" t="inlineStr">
        <is>
          <t>FOB</t>
        </is>
      </c>
      <c r="O1031" s="46" t="inlineStr">
        <is>
          <t>N</t>
        </is>
      </c>
      <c r="P1031" s="50" t="n">
        <v>1391.4376</v>
      </c>
      <c r="Q1031" s="49">
        <f>IF(OR(L1031="",M1031="",P1031=""),"",L1031*P1031)</f>
        <v/>
      </c>
    </row>
    <row r="1032" ht="15" customHeight="1" s="32">
      <c r="A1032" s="46" t="inlineStr">
        <is>
          <t>R-HB-1031</t>
        </is>
      </c>
      <c r="B1032" s="47" t="n">
        <v>45796</v>
      </c>
      <c r="C1032" s="46" t="inlineStr">
        <is>
          <t>2025-05</t>
        </is>
      </c>
      <c r="D1032" s="46" t="n">
        <v>2025</v>
      </c>
      <c r="E1032" s="46" t="inlineStr">
        <is>
          <t>P-HB-003</t>
        </is>
      </c>
      <c r="F1032" s="46" t="inlineStr">
        <is>
          <t>C-HB-01</t>
        </is>
      </c>
      <c r="G1032" s="48" t="inlineStr">
        <is>
          <t>미국</t>
        </is>
      </c>
      <c r="H1032" s="46" t="inlineStr">
        <is>
          <t>US</t>
        </is>
      </c>
      <c r="I1032" s="49" t="n">
        <v>50413</v>
      </c>
      <c r="J1032" s="46" t="inlineStr">
        <is>
          <t>EA</t>
        </is>
      </c>
      <c r="K1032" s="50" t="n">
        <v>32.77</v>
      </c>
      <c r="L1032" s="50" t="n">
        <v>407559.05</v>
      </c>
      <c r="M1032" s="46" t="inlineStr">
        <is>
          <t>USD</t>
        </is>
      </c>
      <c r="N1032" s="46" t="inlineStr">
        <is>
          <t>FOB</t>
        </is>
      </c>
      <c r="O1032" s="46" t="inlineStr">
        <is>
          <t>N</t>
        </is>
      </c>
      <c r="P1032" s="50" t="n">
        <v>1391.4376</v>
      </c>
      <c r="Q1032" s="49">
        <f>IF(OR(L1032="",M1032="",P1032=""),"",L1032*P1032)</f>
        <v/>
      </c>
    </row>
    <row r="1033" ht="15" customHeight="1" s="32">
      <c r="A1033" s="46" t="inlineStr">
        <is>
          <t>R-HB-1032</t>
        </is>
      </c>
      <c r="B1033" s="47" t="n">
        <v>45796</v>
      </c>
      <c r="C1033" s="46" t="inlineStr">
        <is>
          <t>2025-05</t>
        </is>
      </c>
      <c r="D1033" s="46" t="n">
        <v>2025</v>
      </c>
      <c r="E1033" s="46" t="inlineStr">
        <is>
          <t>P-HB-003</t>
        </is>
      </c>
      <c r="F1033" s="46" t="inlineStr">
        <is>
          <t>C-HB-04</t>
        </is>
      </c>
      <c r="G1033" s="48" t="inlineStr">
        <is>
          <t>캐나다</t>
        </is>
      </c>
      <c r="H1033" s="46" t="inlineStr">
        <is>
          <t>CA</t>
        </is>
      </c>
      <c r="I1033" s="49" t="n">
        <v>4384</v>
      </c>
      <c r="J1033" s="46" t="inlineStr">
        <is>
          <t>EA</t>
        </is>
      </c>
      <c r="K1033" s="50" t="n">
        <v>2.85</v>
      </c>
      <c r="L1033" s="50" t="n">
        <v>37236.34</v>
      </c>
      <c r="M1033" s="46" t="inlineStr">
        <is>
          <t>USD</t>
        </is>
      </c>
      <c r="N1033" s="46" t="inlineStr">
        <is>
          <t>FOB</t>
        </is>
      </c>
      <c r="O1033" s="46" t="inlineStr">
        <is>
          <t>N</t>
        </is>
      </c>
      <c r="P1033" s="50" t="n">
        <v>1391.4376</v>
      </c>
      <c r="Q1033" s="49">
        <f>IF(OR(L1033="",M1033="",P1033=""),"",L1033*P1033)</f>
        <v/>
      </c>
    </row>
    <row r="1034" ht="15" customHeight="1" s="32">
      <c r="A1034" s="46" t="inlineStr">
        <is>
          <t>R-HB-1033</t>
        </is>
      </c>
      <c r="B1034" s="47" t="n">
        <v>45796</v>
      </c>
      <c r="C1034" s="46" t="inlineStr">
        <is>
          <t>2025-05</t>
        </is>
      </c>
      <c r="D1034" s="46" t="n">
        <v>2025</v>
      </c>
      <c r="E1034" s="46" t="inlineStr">
        <is>
          <t>P-HB-002</t>
        </is>
      </c>
      <c r="F1034" s="46" t="inlineStr">
        <is>
          <t>C-HB-06</t>
        </is>
      </c>
      <c r="G1034" s="48" t="inlineStr">
        <is>
          <t>베트남</t>
        </is>
      </c>
      <c r="H1034" s="46" t="inlineStr">
        <is>
          <t>VN</t>
        </is>
      </c>
      <c r="I1034" s="49" t="n">
        <v>843</v>
      </c>
      <c r="J1034" s="46" t="inlineStr">
        <is>
          <t>EA</t>
        </is>
      </c>
      <c r="K1034" s="50" t="n">
        <v>1.85</v>
      </c>
      <c r="L1034" s="50" t="n">
        <v>345234.9</v>
      </c>
      <c r="M1034" s="46" t="inlineStr">
        <is>
          <t>USD</t>
        </is>
      </c>
      <c r="N1034" s="46" t="inlineStr">
        <is>
          <t>FOB</t>
        </is>
      </c>
      <c r="O1034" s="46" t="inlineStr">
        <is>
          <t>N</t>
        </is>
      </c>
      <c r="P1034" s="50" t="n">
        <v>1391.4376</v>
      </c>
      <c r="Q1034" s="49">
        <f>IF(OR(L1034="",M1034="",P1034=""),"",L1034*P1034)</f>
        <v/>
      </c>
    </row>
    <row r="1035" ht="15" customHeight="1" s="32">
      <c r="A1035" s="46" t="inlineStr">
        <is>
          <t>R-HB-1034</t>
        </is>
      </c>
      <c r="B1035" s="47" t="n">
        <v>45797</v>
      </c>
      <c r="C1035" s="46" t="inlineStr">
        <is>
          <t>2025-05</t>
        </is>
      </c>
      <c r="D1035" s="46" t="n">
        <v>2025</v>
      </c>
      <c r="E1035" s="46" t="inlineStr">
        <is>
          <t>P-HB-001</t>
        </is>
      </c>
      <c r="F1035" s="46" t="inlineStr">
        <is>
          <t>C-HB-03</t>
        </is>
      </c>
      <c r="G1035" s="48" t="inlineStr">
        <is>
          <t>멕시코</t>
        </is>
      </c>
      <c r="H1035" s="46" t="inlineStr">
        <is>
          <t>MX</t>
        </is>
      </c>
      <c r="I1035" s="49" t="n">
        <v>30482</v>
      </c>
      <c r="J1035" s="46" t="inlineStr">
        <is>
          <t>EA</t>
        </is>
      </c>
      <c r="K1035" s="50" t="n">
        <v>13.72</v>
      </c>
      <c r="L1035" s="50" t="n">
        <v>175036.78</v>
      </c>
      <c r="M1035" s="46" t="inlineStr">
        <is>
          <t>USD</t>
        </is>
      </c>
      <c r="N1035" s="46" t="inlineStr">
        <is>
          <t>FOB</t>
        </is>
      </c>
      <c r="O1035" s="46" t="inlineStr">
        <is>
          <t>N</t>
        </is>
      </c>
      <c r="P1035" s="50" t="n">
        <v>1391.4376</v>
      </c>
      <c r="Q1035" s="49">
        <f>IF(OR(L1035="",M1035="",P1035=""),"",L1035*P1035)</f>
        <v/>
      </c>
    </row>
    <row r="1036" ht="15" customHeight="1" s="32">
      <c r="A1036" s="46" t="inlineStr">
        <is>
          <t>R-HB-1035</t>
        </is>
      </c>
      <c r="B1036" s="47" t="n">
        <v>45799</v>
      </c>
      <c r="C1036" s="46" t="inlineStr">
        <is>
          <t>2025-05</t>
        </is>
      </c>
      <c r="D1036" s="46" t="n">
        <v>2025</v>
      </c>
      <c r="E1036" s="46" t="inlineStr">
        <is>
          <t>P-HB-002</t>
        </is>
      </c>
      <c r="F1036" s="46" t="inlineStr">
        <is>
          <t>C-HB-01</t>
        </is>
      </c>
      <c r="G1036" s="48" t="inlineStr">
        <is>
          <t>미국</t>
        </is>
      </c>
      <c r="H1036" s="46" t="inlineStr">
        <is>
          <t>US</t>
        </is>
      </c>
      <c r="I1036" s="49" t="n">
        <v>1092</v>
      </c>
      <c r="J1036" s="46" t="inlineStr">
        <is>
          <t>EA</t>
        </is>
      </c>
      <c r="K1036" s="50" t="n">
        <v>2.4</v>
      </c>
      <c r="L1036" s="50" t="n">
        <v>424529.72</v>
      </c>
      <c r="M1036" s="46" t="inlineStr">
        <is>
          <t>USD</t>
        </is>
      </c>
      <c r="N1036" s="46" t="inlineStr">
        <is>
          <t>FOB</t>
        </is>
      </c>
      <c r="O1036" s="46" t="inlineStr">
        <is>
          <t>N</t>
        </is>
      </c>
      <c r="P1036" s="50" t="n">
        <v>1391.4376</v>
      </c>
      <c r="Q1036" s="49">
        <f>IF(OR(L1036="",M1036="",P1036=""),"",L1036*P1036)</f>
        <v/>
      </c>
    </row>
    <row r="1037" ht="15" customHeight="1" s="32">
      <c r="A1037" s="46" t="inlineStr">
        <is>
          <t>R-HB-1036</t>
        </is>
      </c>
      <c r="B1037" s="47" t="n">
        <v>45800</v>
      </c>
      <c r="C1037" s="46" t="inlineStr">
        <is>
          <t>2025-05</t>
        </is>
      </c>
      <c r="D1037" s="46" t="n">
        <v>2025</v>
      </c>
      <c r="E1037" s="46" t="inlineStr">
        <is>
          <t>P-HB-001</t>
        </is>
      </c>
      <c r="F1037" s="46" t="inlineStr">
        <is>
          <t>C-HB-01</t>
        </is>
      </c>
      <c r="G1037" s="48" t="inlineStr">
        <is>
          <t>미국</t>
        </is>
      </c>
      <c r="H1037" s="46" t="inlineStr">
        <is>
          <t>US</t>
        </is>
      </c>
      <c r="I1037" s="49" t="n">
        <v>174795</v>
      </c>
      <c r="J1037" s="46" t="inlineStr">
        <is>
          <t>EA</t>
        </is>
      </c>
      <c r="K1037" s="50" t="n">
        <v>78.66</v>
      </c>
      <c r="L1037" s="50" t="n">
        <v>1000778</v>
      </c>
      <c r="M1037" s="46" t="inlineStr">
        <is>
          <t>USD</t>
        </is>
      </c>
      <c r="N1037" s="46" t="inlineStr">
        <is>
          <t>FOB</t>
        </is>
      </c>
      <c r="O1037" s="46" t="inlineStr">
        <is>
          <t>N</t>
        </is>
      </c>
      <c r="P1037" s="50" t="n">
        <v>1391.4376</v>
      </c>
      <c r="Q1037" s="49">
        <f>IF(OR(L1037="",M1037="",P1037=""),"",L1037*P1037)</f>
        <v/>
      </c>
    </row>
    <row r="1038" ht="15" customHeight="1" s="32">
      <c r="A1038" s="46" t="inlineStr">
        <is>
          <t>R-HB-1037</t>
        </is>
      </c>
      <c r="B1038" s="47" t="n">
        <v>45800</v>
      </c>
      <c r="C1038" s="46" t="inlineStr">
        <is>
          <t>2025-05</t>
        </is>
      </c>
      <c r="D1038" s="46" t="n">
        <v>2025</v>
      </c>
      <c r="E1038" s="46" t="inlineStr">
        <is>
          <t>P-HB-002</t>
        </is>
      </c>
      <c r="F1038" s="46" t="inlineStr">
        <is>
          <t>C-HB-02</t>
        </is>
      </c>
      <c r="G1038" s="48" t="inlineStr">
        <is>
          <t>미국</t>
        </is>
      </c>
      <c r="H1038" s="46" t="inlineStr">
        <is>
          <t>US</t>
        </is>
      </c>
      <c r="I1038" s="49" t="n">
        <v>603</v>
      </c>
      <c r="J1038" s="46" t="inlineStr">
        <is>
          <t>EA</t>
        </is>
      </c>
      <c r="K1038" s="50" t="n">
        <v>1.33</v>
      </c>
      <c r="L1038" s="50" t="n">
        <v>238671.1</v>
      </c>
      <c r="M1038" s="46" t="inlineStr">
        <is>
          <t>USD</t>
        </is>
      </c>
      <c r="N1038" s="46" t="inlineStr">
        <is>
          <t>FOB</t>
        </is>
      </c>
      <c r="O1038" s="46" t="inlineStr">
        <is>
          <t>N</t>
        </is>
      </c>
      <c r="P1038" s="50" t="n">
        <v>1391.4376</v>
      </c>
      <c r="Q1038" s="49">
        <f>IF(OR(L1038="",M1038="",P1038=""),"",L1038*P1038)</f>
        <v/>
      </c>
    </row>
    <row r="1039" ht="15" customHeight="1" s="32">
      <c r="A1039" s="46" t="inlineStr">
        <is>
          <t>R-HB-1038</t>
        </is>
      </c>
      <c r="B1039" s="47" t="n">
        <v>45800</v>
      </c>
      <c r="C1039" s="46" t="inlineStr">
        <is>
          <t>2025-05</t>
        </is>
      </c>
      <c r="D1039" s="46" t="n">
        <v>2025</v>
      </c>
      <c r="E1039" s="46" t="inlineStr">
        <is>
          <t>P-HB-004</t>
        </is>
      </c>
      <c r="F1039" s="46" t="inlineStr">
        <is>
          <t>C-HB-04</t>
        </is>
      </c>
      <c r="G1039" s="48" t="inlineStr">
        <is>
          <t>캐나다</t>
        </is>
      </c>
      <c r="H1039" s="46" t="inlineStr">
        <is>
          <t>CA</t>
        </is>
      </c>
      <c r="I1039" s="49" t="n">
        <v>1646</v>
      </c>
      <c r="J1039" s="46" t="inlineStr">
        <is>
          <t>EA</t>
        </is>
      </c>
      <c r="K1039" s="50" t="n">
        <v>1.81</v>
      </c>
      <c r="L1039" s="50" t="n">
        <v>45305.25</v>
      </c>
      <c r="M1039" s="46" t="inlineStr">
        <is>
          <t>USD</t>
        </is>
      </c>
      <c r="N1039" s="46" t="inlineStr">
        <is>
          <t>FOB</t>
        </is>
      </c>
      <c r="O1039" s="46" t="inlineStr">
        <is>
          <t>N</t>
        </is>
      </c>
      <c r="P1039" s="50" t="n">
        <v>1391.4376</v>
      </c>
      <c r="Q1039" s="49">
        <f>IF(OR(L1039="",M1039="",P1039=""),"",L1039*P1039)</f>
        <v/>
      </c>
    </row>
    <row r="1040" ht="15" customHeight="1" s="32">
      <c r="A1040" s="46" t="inlineStr">
        <is>
          <t>R-HB-1039</t>
        </is>
      </c>
      <c r="B1040" s="47" t="n">
        <v>45801</v>
      </c>
      <c r="C1040" s="46" t="inlineStr">
        <is>
          <t>2025-05</t>
        </is>
      </c>
      <c r="D1040" s="46" t="n">
        <v>2025</v>
      </c>
      <c r="E1040" s="46" t="inlineStr">
        <is>
          <t>P-HB-002</t>
        </is>
      </c>
      <c r="F1040" s="46" t="inlineStr">
        <is>
          <t>C-HB-04</t>
        </is>
      </c>
      <c r="G1040" s="48" t="inlineStr">
        <is>
          <t>캐나다</t>
        </is>
      </c>
      <c r="H1040" s="46" t="inlineStr">
        <is>
          <t>CA</t>
        </is>
      </c>
      <c r="I1040" s="49" t="n">
        <v>104</v>
      </c>
      <c r="J1040" s="46" t="inlineStr">
        <is>
          <t>EA</t>
        </is>
      </c>
      <c r="K1040" s="50" t="n">
        <v>0.23</v>
      </c>
      <c r="L1040" s="50" t="n">
        <v>40458.58</v>
      </c>
      <c r="M1040" s="46" t="inlineStr">
        <is>
          <t>USD</t>
        </is>
      </c>
      <c r="N1040" s="46" t="inlineStr">
        <is>
          <t>FOB</t>
        </is>
      </c>
      <c r="O1040" s="46" t="inlineStr">
        <is>
          <t>N</t>
        </is>
      </c>
      <c r="P1040" s="50" t="n">
        <v>1391.4376</v>
      </c>
      <c r="Q1040" s="49">
        <f>IF(OR(L1040="",M1040="",P1040=""),"",L1040*P1040)</f>
        <v/>
      </c>
    </row>
    <row r="1041" ht="15" customHeight="1" s="32">
      <c r="A1041" s="46" t="inlineStr">
        <is>
          <t>R-HB-1040</t>
        </is>
      </c>
      <c r="B1041" s="47" t="n">
        <v>45801</v>
      </c>
      <c r="C1041" s="46" t="inlineStr">
        <is>
          <t>2025-05</t>
        </is>
      </c>
      <c r="D1041" s="46" t="n">
        <v>2025</v>
      </c>
      <c r="E1041" s="46" t="inlineStr">
        <is>
          <t>P-HB-002</t>
        </is>
      </c>
      <c r="F1041" s="46" t="inlineStr">
        <is>
          <t>C-HB-05</t>
        </is>
      </c>
      <c r="G1041" s="48" t="inlineStr">
        <is>
          <t>독일</t>
        </is>
      </c>
      <c r="H1041" s="46" t="inlineStr">
        <is>
          <t>DE</t>
        </is>
      </c>
      <c r="I1041" s="49" t="n">
        <v>984</v>
      </c>
      <c r="J1041" s="46" t="inlineStr">
        <is>
          <t>EA</t>
        </is>
      </c>
      <c r="K1041" s="50" t="n">
        <v>2.16</v>
      </c>
      <c r="L1041" s="50" t="n">
        <v>401002.67</v>
      </c>
      <c r="M1041" s="46" t="inlineStr">
        <is>
          <t>USD</t>
        </is>
      </c>
      <c r="N1041" s="46" t="inlineStr">
        <is>
          <t>FOB</t>
        </is>
      </c>
      <c r="O1041" s="46" t="inlineStr">
        <is>
          <t>N</t>
        </is>
      </c>
      <c r="P1041" s="50" t="n">
        <v>1391.4376</v>
      </c>
      <c r="Q1041" s="49">
        <f>IF(OR(L1041="",M1041="",P1041=""),"",L1041*P1041)</f>
        <v/>
      </c>
    </row>
    <row r="1042" ht="15" customHeight="1" s="32">
      <c r="A1042" s="46" t="inlineStr">
        <is>
          <t>R-HB-1041</t>
        </is>
      </c>
      <c r="B1042" s="47" t="n">
        <v>45801</v>
      </c>
      <c r="C1042" s="46" t="inlineStr">
        <is>
          <t>2025-05</t>
        </is>
      </c>
      <c r="D1042" s="46" t="n">
        <v>2025</v>
      </c>
      <c r="E1042" s="46" t="inlineStr">
        <is>
          <t>P-HB-004</t>
        </is>
      </c>
      <c r="F1042" s="46" t="inlineStr">
        <is>
          <t>C-HB-05</t>
        </is>
      </c>
      <c r="G1042" s="48" t="inlineStr">
        <is>
          <t>독일</t>
        </is>
      </c>
      <c r="H1042" s="46" t="inlineStr">
        <is>
          <t>DE</t>
        </is>
      </c>
      <c r="I1042" s="49" t="n">
        <v>13208</v>
      </c>
      <c r="J1042" s="46" t="inlineStr">
        <is>
          <t>EA</t>
        </is>
      </c>
      <c r="K1042" s="50" t="n">
        <v>14.53</v>
      </c>
      <c r="L1042" s="50" t="n">
        <v>384068.14</v>
      </c>
      <c r="M1042" s="46" t="inlineStr">
        <is>
          <t>USD</t>
        </is>
      </c>
      <c r="N1042" s="46" t="inlineStr">
        <is>
          <t>FOB</t>
        </is>
      </c>
      <c r="O1042" s="46" t="inlineStr">
        <is>
          <t>N</t>
        </is>
      </c>
      <c r="P1042" s="50" t="n">
        <v>1391.4376</v>
      </c>
      <c r="Q1042" s="49">
        <f>IF(OR(L1042="",M1042="",P1042=""),"",L1042*P1042)</f>
        <v/>
      </c>
    </row>
    <row r="1043" ht="15" customHeight="1" s="32">
      <c r="A1043" s="46" t="inlineStr">
        <is>
          <t>R-HB-1042</t>
        </is>
      </c>
      <c r="B1043" s="47" t="n">
        <v>45801</v>
      </c>
      <c r="C1043" s="46" t="inlineStr">
        <is>
          <t>2025-05</t>
        </is>
      </c>
      <c r="D1043" s="46" t="n">
        <v>2025</v>
      </c>
      <c r="E1043" s="46" t="inlineStr">
        <is>
          <t>P-HB-003</t>
        </is>
      </c>
      <c r="F1043" s="46" t="inlineStr">
        <is>
          <t>C-HB-09</t>
        </is>
      </c>
      <c r="G1043" s="48" t="inlineStr">
        <is>
          <t>중국</t>
        </is>
      </c>
      <c r="H1043" s="46" t="inlineStr">
        <is>
          <t>CN</t>
        </is>
      </c>
      <c r="I1043" s="49" t="n">
        <v>35540</v>
      </c>
      <c r="J1043" s="46" t="inlineStr">
        <is>
          <t>EA</t>
        </is>
      </c>
      <c r="K1043" s="50" t="n">
        <v>23.1</v>
      </c>
      <c r="L1043" s="50" t="n">
        <v>303050.58</v>
      </c>
      <c r="M1043" s="46" t="inlineStr">
        <is>
          <t>USD</t>
        </is>
      </c>
      <c r="N1043" s="46" t="inlineStr">
        <is>
          <t>FOB</t>
        </is>
      </c>
      <c r="O1043" s="46" t="inlineStr">
        <is>
          <t>N</t>
        </is>
      </c>
      <c r="P1043" s="50" t="n">
        <v>1391.4376</v>
      </c>
      <c r="Q1043" s="49">
        <f>IF(OR(L1043="",M1043="",P1043=""),"",L1043*P1043)</f>
        <v/>
      </c>
    </row>
    <row r="1044" ht="15" customHeight="1" s="32">
      <c r="A1044" s="46" t="inlineStr">
        <is>
          <t>R-HB-1043</t>
        </is>
      </c>
      <c r="B1044" s="47" t="n">
        <v>45802</v>
      </c>
      <c r="C1044" s="46" t="inlineStr">
        <is>
          <t>2025-05</t>
        </is>
      </c>
      <c r="D1044" s="46" t="n">
        <v>2025</v>
      </c>
      <c r="E1044" s="46" t="inlineStr">
        <is>
          <t>P-HB-003</t>
        </is>
      </c>
      <c r="F1044" s="46" t="inlineStr">
        <is>
          <t>C-HB-03</t>
        </is>
      </c>
      <c r="G1044" s="48" t="inlineStr">
        <is>
          <t>멕시코</t>
        </is>
      </c>
      <c r="H1044" s="46" t="inlineStr">
        <is>
          <t>MX</t>
        </is>
      </c>
      <c r="I1044" s="49" t="n">
        <v>9051</v>
      </c>
      <c r="J1044" s="46" t="inlineStr">
        <is>
          <t>EA</t>
        </is>
      </c>
      <c r="K1044" s="50" t="n">
        <v>5.88</v>
      </c>
      <c r="L1044" s="50" t="n">
        <v>76014.44</v>
      </c>
      <c r="M1044" s="46" t="inlineStr">
        <is>
          <t>USD</t>
        </is>
      </c>
      <c r="N1044" s="46" t="inlineStr">
        <is>
          <t>FOB</t>
        </is>
      </c>
      <c r="O1044" s="46" t="inlineStr">
        <is>
          <t>N</t>
        </is>
      </c>
      <c r="P1044" s="50" t="n">
        <v>1391.4376</v>
      </c>
      <c r="Q1044" s="49">
        <f>IF(OR(L1044="",M1044="",P1044=""),"",L1044*P1044)</f>
        <v/>
      </c>
    </row>
    <row r="1045" ht="15" customHeight="1" s="32">
      <c r="A1045" s="46" t="inlineStr">
        <is>
          <t>R-HB-1044</t>
        </is>
      </c>
      <c r="B1045" s="47" t="n">
        <v>45803</v>
      </c>
      <c r="C1045" s="46" t="inlineStr">
        <is>
          <t>2025-05</t>
        </is>
      </c>
      <c r="D1045" s="46" t="n">
        <v>2025</v>
      </c>
      <c r="E1045" s="46" t="inlineStr">
        <is>
          <t>P-HB-003</t>
        </is>
      </c>
      <c r="F1045" s="46" t="inlineStr">
        <is>
          <t>C-HB-07</t>
        </is>
      </c>
      <c r="G1045" s="48" t="inlineStr">
        <is>
          <t>인도</t>
        </is>
      </c>
      <c r="H1045" s="46" t="inlineStr">
        <is>
          <t>IN</t>
        </is>
      </c>
      <c r="I1045" s="49" t="n">
        <v>26338</v>
      </c>
      <c r="J1045" s="46" t="inlineStr">
        <is>
          <t>EA</t>
        </is>
      </c>
      <c r="K1045" s="50" t="n">
        <v>17.12</v>
      </c>
      <c r="L1045" s="50" t="n">
        <v>213073.68</v>
      </c>
      <c r="M1045" s="46" t="inlineStr">
        <is>
          <t>USD</t>
        </is>
      </c>
      <c r="N1045" s="46" t="inlineStr">
        <is>
          <t>FOB</t>
        </is>
      </c>
      <c r="O1045" s="46" t="inlineStr">
        <is>
          <t>N</t>
        </is>
      </c>
      <c r="P1045" s="50" t="n">
        <v>1391.4376</v>
      </c>
      <c r="Q1045" s="49">
        <f>IF(OR(L1045="",M1045="",P1045=""),"",L1045*P1045)</f>
        <v/>
      </c>
    </row>
    <row r="1046" ht="15" customHeight="1" s="32">
      <c r="A1046" s="46" t="inlineStr">
        <is>
          <t>R-HB-1045</t>
        </is>
      </c>
      <c r="B1046" s="47" t="n">
        <v>45811</v>
      </c>
      <c r="C1046" s="46" t="inlineStr">
        <is>
          <t>2025-06</t>
        </is>
      </c>
      <c r="D1046" s="46" t="n">
        <v>2025</v>
      </c>
      <c r="E1046" s="46" t="inlineStr">
        <is>
          <t>P-HB-003</t>
        </is>
      </c>
      <c r="F1046" s="46" t="inlineStr">
        <is>
          <t>C-HB-06</t>
        </is>
      </c>
      <c r="G1046" s="48" t="inlineStr">
        <is>
          <t>베트남</t>
        </is>
      </c>
      <c r="H1046" s="46" t="inlineStr">
        <is>
          <t>VN</t>
        </is>
      </c>
      <c r="I1046" s="49" t="n">
        <v>35512</v>
      </c>
      <c r="J1046" s="46" t="inlineStr">
        <is>
          <t>EA</t>
        </is>
      </c>
      <c r="K1046" s="50" t="n">
        <v>23.08</v>
      </c>
      <c r="L1046" s="50" t="n">
        <v>299057.36</v>
      </c>
      <c r="M1046" s="46" t="inlineStr">
        <is>
          <t>USD</t>
        </is>
      </c>
      <c r="N1046" s="46" t="inlineStr">
        <is>
          <t>FOB</t>
        </is>
      </c>
      <c r="O1046" s="46" t="inlineStr">
        <is>
          <t>N</t>
        </is>
      </c>
      <c r="P1046" s="50" t="n">
        <v>1364.6775</v>
      </c>
      <c r="Q1046" s="49">
        <f>IF(OR(L1046="",M1046="",P1046=""),"",L1046*P1046)</f>
        <v/>
      </c>
    </row>
    <row r="1047" ht="15" customHeight="1" s="32">
      <c r="A1047" s="46" t="inlineStr">
        <is>
          <t>R-HB-1046</t>
        </is>
      </c>
      <c r="B1047" s="47" t="n">
        <v>45811</v>
      </c>
      <c r="C1047" s="46" t="inlineStr">
        <is>
          <t>2025-06</t>
        </is>
      </c>
      <c r="D1047" s="46" t="n">
        <v>2025</v>
      </c>
      <c r="E1047" s="46" t="inlineStr">
        <is>
          <t>P-HB-001</t>
        </is>
      </c>
      <c r="F1047" s="46" t="inlineStr">
        <is>
          <t>C-HB-08</t>
        </is>
      </c>
      <c r="G1047" s="48" t="inlineStr">
        <is>
          <t>중국</t>
        </is>
      </c>
      <c r="H1047" s="46" t="inlineStr">
        <is>
          <t>CN</t>
        </is>
      </c>
      <c r="I1047" s="49" t="n">
        <v>220405</v>
      </c>
      <c r="J1047" s="46" t="inlineStr">
        <is>
          <t>EA</t>
        </is>
      </c>
      <c r="K1047" s="50" t="n">
        <v>99.18000000000001</v>
      </c>
      <c r="L1047" s="50" t="n">
        <v>1273822.14</v>
      </c>
      <c r="M1047" s="46" t="inlineStr">
        <is>
          <t>USD</t>
        </is>
      </c>
      <c r="N1047" s="46" t="inlineStr">
        <is>
          <t>FOB</t>
        </is>
      </c>
      <c r="O1047" s="46" t="inlineStr">
        <is>
          <t>N</t>
        </is>
      </c>
      <c r="P1047" s="50" t="n">
        <v>1364.6775</v>
      </c>
      <c r="Q1047" s="49">
        <f>IF(OR(L1047="",M1047="",P1047=""),"",L1047*P1047)</f>
        <v/>
      </c>
    </row>
    <row r="1048" ht="15" customHeight="1" s="32">
      <c r="A1048" s="46" t="inlineStr">
        <is>
          <t>R-HB-1047</t>
        </is>
      </c>
      <c r="B1048" s="47" t="n">
        <v>45812</v>
      </c>
      <c r="C1048" s="46" t="inlineStr">
        <is>
          <t>2025-06</t>
        </is>
      </c>
      <c r="D1048" s="46" t="n">
        <v>2025</v>
      </c>
      <c r="E1048" s="46" t="inlineStr">
        <is>
          <t>P-HB-001</t>
        </is>
      </c>
      <c r="F1048" s="46" t="inlineStr">
        <is>
          <t>C-HB-02</t>
        </is>
      </c>
      <c r="G1048" s="48" t="inlineStr">
        <is>
          <t>미국</t>
        </is>
      </c>
      <c r="H1048" s="46" t="inlineStr">
        <is>
          <t>US</t>
        </is>
      </c>
      <c r="I1048" s="49" t="n">
        <v>104098</v>
      </c>
      <c r="J1048" s="46" t="inlineStr">
        <is>
          <t>EA</t>
        </is>
      </c>
      <c r="K1048" s="50" t="n">
        <v>46.84</v>
      </c>
      <c r="L1048" s="50" t="n">
        <v>622510.9399999999</v>
      </c>
      <c r="M1048" s="46" t="inlineStr">
        <is>
          <t>USD</t>
        </is>
      </c>
      <c r="N1048" s="46" t="inlineStr">
        <is>
          <t>FOB</t>
        </is>
      </c>
      <c r="O1048" s="46" t="inlineStr">
        <is>
          <t>N</t>
        </is>
      </c>
      <c r="P1048" s="50" t="n">
        <v>1364.6775</v>
      </c>
      <c r="Q1048" s="49">
        <f>IF(OR(L1048="",M1048="",P1048=""),"",L1048*P1048)</f>
        <v/>
      </c>
    </row>
    <row r="1049" ht="15" customHeight="1" s="32">
      <c r="A1049" s="46" t="inlineStr">
        <is>
          <t>R-HB-1048</t>
        </is>
      </c>
      <c r="B1049" s="47" t="n">
        <v>45812</v>
      </c>
      <c r="C1049" s="46" t="inlineStr">
        <is>
          <t>2025-06</t>
        </is>
      </c>
      <c r="D1049" s="46" t="n">
        <v>2025</v>
      </c>
      <c r="E1049" s="46" t="inlineStr">
        <is>
          <t>P-HB-002</t>
        </is>
      </c>
      <c r="F1049" s="46" t="inlineStr">
        <is>
          <t>C-HB-05</t>
        </is>
      </c>
      <c r="G1049" s="48" t="inlineStr">
        <is>
          <t>독일</t>
        </is>
      </c>
      <c r="H1049" s="46" t="inlineStr">
        <is>
          <t>DE</t>
        </is>
      </c>
      <c r="I1049" s="49" t="n">
        <v>988</v>
      </c>
      <c r="J1049" s="46" t="inlineStr">
        <is>
          <t>EA</t>
        </is>
      </c>
      <c r="K1049" s="50" t="n">
        <v>2.17</v>
      </c>
      <c r="L1049" s="50" t="n">
        <v>403879.26</v>
      </c>
      <c r="M1049" s="46" t="inlineStr">
        <is>
          <t>USD</t>
        </is>
      </c>
      <c r="N1049" s="46" t="inlineStr">
        <is>
          <t>FOB</t>
        </is>
      </c>
      <c r="O1049" s="46" t="inlineStr">
        <is>
          <t>N</t>
        </is>
      </c>
      <c r="P1049" s="50" t="n">
        <v>1364.6775</v>
      </c>
      <c r="Q1049" s="49">
        <f>IF(OR(L1049="",M1049="",P1049=""),"",L1049*P1049)</f>
        <v/>
      </c>
    </row>
    <row r="1050" ht="15" customHeight="1" s="32">
      <c r="A1050" s="46" t="inlineStr">
        <is>
          <t>R-HB-1049</t>
        </is>
      </c>
      <c r="B1050" s="47" t="n">
        <v>45812</v>
      </c>
      <c r="C1050" s="46" t="inlineStr">
        <is>
          <t>2025-06</t>
        </is>
      </c>
      <c r="D1050" s="46" t="n">
        <v>2025</v>
      </c>
      <c r="E1050" s="46" t="inlineStr">
        <is>
          <t>P-HB-001</t>
        </is>
      </c>
      <c r="F1050" s="46" t="inlineStr">
        <is>
          <t>C-HB-07</t>
        </is>
      </c>
      <c r="G1050" s="48" t="inlineStr">
        <is>
          <t>인도</t>
        </is>
      </c>
      <c r="H1050" s="46" t="inlineStr">
        <is>
          <t>IN</t>
        </is>
      </c>
      <c r="I1050" s="49" t="n">
        <v>92727</v>
      </c>
      <c r="J1050" s="46" t="inlineStr">
        <is>
          <t>EA</t>
        </is>
      </c>
      <c r="K1050" s="50" t="n">
        <v>41.73</v>
      </c>
      <c r="L1050" s="50" t="n">
        <v>536034.37</v>
      </c>
      <c r="M1050" s="46" t="inlineStr">
        <is>
          <t>USD</t>
        </is>
      </c>
      <c r="N1050" s="46" t="inlineStr">
        <is>
          <t>FOB</t>
        </is>
      </c>
      <c r="O1050" s="46" t="inlineStr">
        <is>
          <t>N</t>
        </is>
      </c>
      <c r="P1050" s="50" t="n">
        <v>1364.6775</v>
      </c>
      <c r="Q1050" s="49">
        <f>IF(OR(L1050="",M1050="",P1050=""),"",L1050*P1050)</f>
        <v/>
      </c>
    </row>
    <row r="1051" ht="15" customHeight="1" s="32">
      <c r="A1051" s="46" t="inlineStr">
        <is>
          <t>R-HB-1050</t>
        </is>
      </c>
      <c r="B1051" s="47" t="n">
        <v>45812</v>
      </c>
      <c r="C1051" s="46" t="inlineStr">
        <is>
          <t>2025-06</t>
        </is>
      </c>
      <c r="D1051" s="46" t="n">
        <v>2025</v>
      </c>
      <c r="E1051" s="46" t="inlineStr">
        <is>
          <t>P-HB-001</t>
        </is>
      </c>
      <c r="F1051" s="46" t="inlineStr">
        <is>
          <t>C-HB-09</t>
        </is>
      </c>
      <c r="G1051" s="48" t="inlineStr">
        <is>
          <t>중국</t>
        </is>
      </c>
      <c r="H1051" s="46" t="inlineStr">
        <is>
          <t>CN</t>
        </is>
      </c>
      <c r="I1051" s="49" t="n">
        <v>146138</v>
      </c>
      <c r="J1051" s="46" t="inlineStr">
        <is>
          <t>EA</t>
        </is>
      </c>
      <c r="K1051" s="50" t="n">
        <v>65.76000000000001</v>
      </c>
      <c r="L1051" s="50" t="n">
        <v>843792.3100000001</v>
      </c>
      <c r="M1051" s="46" t="inlineStr">
        <is>
          <t>USD</t>
        </is>
      </c>
      <c r="N1051" s="46" t="inlineStr">
        <is>
          <t>FOB</t>
        </is>
      </c>
      <c r="O1051" s="46" t="inlineStr">
        <is>
          <t>N</t>
        </is>
      </c>
      <c r="P1051" s="50" t="n">
        <v>1364.6775</v>
      </c>
      <c r="Q1051" s="49">
        <f>IF(OR(L1051="",M1051="",P1051=""),"",L1051*P1051)</f>
        <v/>
      </c>
    </row>
    <row r="1052" ht="15" customHeight="1" s="32">
      <c r="A1052" s="46" t="inlineStr">
        <is>
          <t>R-HB-1051</t>
        </is>
      </c>
      <c r="B1052" s="47" t="n">
        <v>45813</v>
      </c>
      <c r="C1052" s="46" t="inlineStr">
        <is>
          <t>2025-06</t>
        </is>
      </c>
      <c r="D1052" s="46" t="n">
        <v>2025</v>
      </c>
      <c r="E1052" s="46" t="inlineStr">
        <is>
          <t>P-HB-003</t>
        </is>
      </c>
      <c r="F1052" s="46" t="inlineStr">
        <is>
          <t>C-HB-07</t>
        </is>
      </c>
      <c r="G1052" s="48" t="inlineStr">
        <is>
          <t>인도</t>
        </is>
      </c>
      <c r="H1052" s="46" t="inlineStr">
        <is>
          <t>IN</t>
        </is>
      </c>
      <c r="I1052" s="49" t="n">
        <v>23653</v>
      </c>
      <c r="J1052" s="46" t="inlineStr">
        <is>
          <t>EA</t>
        </is>
      </c>
      <c r="K1052" s="50" t="n">
        <v>15.37</v>
      </c>
      <c r="L1052" s="50" t="n">
        <v>202627.48</v>
      </c>
      <c r="M1052" s="46" t="inlineStr">
        <is>
          <t>USD</t>
        </is>
      </c>
      <c r="N1052" s="46" t="inlineStr">
        <is>
          <t>FOB</t>
        </is>
      </c>
      <c r="O1052" s="46" t="inlineStr">
        <is>
          <t>N</t>
        </is>
      </c>
      <c r="P1052" s="50" t="n">
        <v>1364.6775</v>
      </c>
      <c r="Q1052" s="49">
        <f>IF(OR(L1052="",M1052="",P1052=""),"",L1052*P1052)</f>
        <v/>
      </c>
    </row>
    <row r="1053" ht="15" customHeight="1" s="32">
      <c r="A1053" s="46" t="inlineStr">
        <is>
          <t>R-HB-1052</t>
        </is>
      </c>
      <c r="B1053" s="47" t="n">
        <v>45815</v>
      </c>
      <c r="C1053" s="46" t="inlineStr">
        <is>
          <t>2025-06</t>
        </is>
      </c>
      <c r="D1053" s="46" t="n">
        <v>2025</v>
      </c>
      <c r="E1053" s="46" t="inlineStr">
        <is>
          <t>P-HB-002</t>
        </is>
      </c>
      <c r="F1053" s="46" t="inlineStr">
        <is>
          <t>C-HB-02</t>
        </is>
      </c>
      <c r="G1053" s="48" t="inlineStr">
        <is>
          <t>미국</t>
        </is>
      </c>
      <c r="H1053" s="46" t="inlineStr">
        <is>
          <t>US</t>
        </is>
      </c>
      <c r="I1053" s="49" t="n">
        <v>657</v>
      </c>
      <c r="J1053" s="46" t="inlineStr">
        <is>
          <t>EA</t>
        </is>
      </c>
      <c r="K1053" s="50" t="n">
        <v>1.45</v>
      </c>
      <c r="L1053" s="50" t="n">
        <v>267600.73</v>
      </c>
      <c r="M1053" s="46" t="inlineStr">
        <is>
          <t>USD</t>
        </is>
      </c>
      <c r="N1053" s="46" t="inlineStr">
        <is>
          <t>FOB</t>
        </is>
      </c>
      <c r="O1053" s="46" t="inlineStr">
        <is>
          <t>N</t>
        </is>
      </c>
      <c r="P1053" s="50" t="n">
        <v>1364.6775</v>
      </c>
      <c r="Q1053" s="49">
        <f>IF(OR(L1053="",M1053="",P1053=""),"",L1053*P1053)</f>
        <v/>
      </c>
    </row>
    <row r="1054" ht="15" customHeight="1" s="32">
      <c r="A1054" s="46" t="inlineStr">
        <is>
          <t>R-HB-1053</t>
        </is>
      </c>
      <c r="B1054" s="47" t="n">
        <v>45815</v>
      </c>
      <c r="C1054" s="46" t="inlineStr">
        <is>
          <t>2025-06</t>
        </is>
      </c>
      <c r="D1054" s="46" t="n">
        <v>2025</v>
      </c>
      <c r="E1054" s="46" t="inlineStr">
        <is>
          <t>P-HB-001</t>
        </is>
      </c>
      <c r="F1054" s="46" t="inlineStr">
        <is>
          <t>C-HB-05</t>
        </is>
      </c>
      <c r="G1054" s="48" t="inlineStr">
        <is>
          <t>독일</t>
        </is>
      </c>
      <c r="H1054" s="46" t="inlineStr">
        <is>
          <t>DE</t>
        </is>
      </c>
      <c r="I1054" s="49" t="n">
        <v>159784</v>
      </c>
      <c r="J1054" s="46" t="inlineStr">
        <is>
          <t>EA</t>
        </is>
      </c>
      <c r="K1054" s="50" t="n">
        <v>71.90000000000001</v>
      </c>
      <c r="L1054" s="50" t="n">
        <v>941072.6899999999</v>
      </c>
      <c r="M1054" s="46" t="inlineStr">
        <is>
          <t>USD</t>
        </is>
      </c>
      <c r="N1054" s="46" t="inlineStr">
        <is>
          <t>FOB</t>
        </is>
      </c>
      <c r="O1054" s="46" t="inlineStr">
        <is>
          <t>N</t>
        </is>
      </c>
      <c r="P1054" s="50" t="n">
        <v>1364.6775</v>
      </c>
      <c r="Q1054" s="49">
        <f>IF(OR(L1054="",M1054="",P1054=""),"",L1054*P1054)</f>
        <v/>
      </c>
    </row>
    <row r="1055" ht="15" customHeight="1" s="32">
      <c r="A1055" s="46" t="inlineStr">
        <is>
          <t>R-HB-1054</t>
        </is>
      </c>
      <c r="B1055" s="47" t="n">
        <v>45816</v>
      </c>
      <c r="C1055" s="46" t="inlineStr">
        <is>
          <t>2025-06</t>
        </is>
      </c>
      <c r="D1055" s="46" t="n">
        <v>2025</v>
      </c>
      <c r="E1055" s="46" t="inlineStr">
        <is>
          <t>P-HB-001</t>
        </is>
      </c>
      <c r="F1055" s="46" t="inlineStr">
        <is>
          <t>C-HB-03</t>
        </is>
      </c>
      <c r="G1055" s="48" t="inlineStr">
        <is>
          <t>멕시코</t>
        </is>
      </c>
      <c r="H1055" s="46" t="inlineStr">
        <is>
          <t>MX</t>
        </is>
      </c>
      <c r="I1055" s="49" t="n">
        <v>35285</v>
      </c>
      <c r="J1055" s="46" t="inlineStr">
        <is>
          <t>EA</t>
        </is>
      </c>
      <c r="K1055" s="50" t="n">
        <v>15.88</v>
      </c>
      <c r="L1055" s="50" t="n">
        <v>207713.46</v>
      </c>
      <c r="M1055" s="46" t="inlineStr">
        <is>
          <t>USD</t>
        </is>
      </c>
      <c r="N1055" s="46" t="inlineStr">
        <is>
          <t>FOB</t>
        </is>
      </c>
      <c r="O1055" s="46" t="inlineStr">
        <is>
          <t>N</t>
        </is>
      </c>
      <c r="P1055" s="50" t="n">
        <v>1364.6775</v>
      </c>
      <c r="Q1055" s="49">
        <f>IF(OR(L1055="",M1055="",P1055=""),"",L1055*P1055)</f>
        <v/>
      </c>
    </row>
    <row r="1056" ht="15" customHeight="1" s="32">
      <c r="A1056" s="46" t="inlineStr">
        <is>
          <t>R-HB-1055</t>
        </is>
      </c>
      <c r="B1056" s="47" t="n">
        <v>45817</v>
      </c>
      <c r="C1056" s="46" t="inlineStr">
        <is>
          <t>2025-06</t>
        </is>
      </c>
      <c r="D1056" s="46" t="n">
        <v>2025</v>
      </c>
      <c r="E1056" s="46" t="inlineStr">
        <is>
          <t>P-HB-003</t>
        </is>
      </c>
      <c r="F1056" s="46" t="inlineStr">
        <is>
          <t>C-HB-05</t>
        </is>
      </c>
      <c r="G1056" s="48" t="inlineStr">
        <is>
          <t>독일</t>
        </is>
      </c>
      <c r="H1056" s="46" t="inlineStr">
        <is>
          <t>DE</t>
        </is>
      </c>
      <c r="I1056" s="49" t="n">
        <v>40165</v>
      </c>
      <c r="J1056" s="46" t="inlineStr">
        <is>
          <t>EA</t>
        </is>
      </c>
      <c r="K1056" s="50" t="n">
        <v>26.11</v>
      </c>
      <c r="L1056" s="50" t="n">
        <v>339442.94</v>
      </c>
      <c r="M1056" s="46" t="inlineStr">
        <is>
          <t>USD</t>
        </is>
      </c>
      <c r="N1056" s="46" t="inlineStr">
        <is>
          <t>FOB</t>
        </is>
      </c>
      <c r="O1056" s="46" t="inlineStr">
        <is>
          <t>N</t>
        </is>
      </c>
      <c r="P1056" s="50" t="n">
        <v>1364.6775</v>
      </c>
      <c r="Q1056" s="49">
        <f>IF(OR(L1056="",M1056="",P1056=""),"",L1056*P1056)</f>
        <v/>
      </c>
    </row>
    <row r="1057" ht="15" customHeight="1" s="32">
      <c r="A1057" s="46" t="inlineStr">
        <is>
          <t>R-HB-1056</t>
        </is>
      </c>
      <c r="B1057" s="47" t="n">
        <v>45817</v>
      </c>
      <c r="C1057" s="46" t="inlineStr">
        <is>
          <t>2025-06</t>
        </is>
      </c>
      <c r="D1057" s="46" t="n">
        <v>2025</v>
      </c>
      <c r="E1057" s="46" t="inlineStr">
        <is>
          <t>P-HB-004</t>
        </is>
      </c>
      <c r="F1057" s="46" t="inlineStr">
        <is>
          <t>C-HB-06</t>
        </is>
      </c>
      <c r="G1057" s="48" t="inlineStr">
        <is>
          <t>베트남</t>
        </is>
      </c>
      <c r="H1057" s="46" t="inlineStr">
        <is>
          <t>VN</t>
        </is>
      </c>
      <c r="I1057" s="49" t="n">
        <v>13417</v>
      </c>
      <c r="J1057" s="46" t="inlineStr">
        <is>
          <t>EA</t>
        </is>
      </c>
      <c r="K1057" s="50" t="n">
        <v>14.76</v>
      </c>
      <c r="L1057" s="50" t="n">
        <v>364987.13</v>
      </c>
      <c r="M1057" s="46" t="inlineStr">
        <is>
          <t>USD</t>
        </is>
      </c>
      <c r="N1057" s="46" t="inlineStr">
        <is>
          <t>FOB</t>
        </is>
      </c>
      <c r="O1057" s="46" t="inlineStr">
        <is>
          <t>N</t>
        </is>
      </c>
      <c r="P1057" s="50" t="n">
        <v>1364.6775</v>
      </c>
      <c r="Q1057" s="49">
        <f>IF(OR(L1057="",M1057="",P1057=""),"",L1057*P1057)</f>
        <v/>
      </c>
    </row>
    <row r="1058" ht="15" customHeight="1" s="32">
      <c r="A1058" s="46" t="inlineStr">
        <is>
          <t>R-HB-1057</t>
        </is>
      </c>
      <c r="B1058" s="47" t="n">
        <v>45819</v>
      </c>
      <c r="C1058" s="46" t="inlineStr">
        <is>
          <t>2025-06</t>
        </is>
      </c>
      <c r="D1058" s="46" t="n">
        <v>2025</v>
      </c>
      <c r="E1058" s="46" t="inlineStr">
        <is>
          <t>P-HB-003</t>
        </is>
      </c>
      <c r="F1058" s="46" t="inlineStr">
        <is>
          <t>C-HB-01</t>
        </is>
      </c>
      <c r="G1058" s="48" t="inlineStr">
        <is>
          <t>미국</t>
        </is>
      </c>
      <c r="H1058" s="46" t="inlineStr">
        <is>
          <t>US</t>
        </is>
      </c>
      <c r="I1058" s="49" t="n">
        <v>50694</v>
      </c>
      <c r="J1058" s="46" t="inlineStr">
        <is>
          <t>EA</t>
        </is>
      </c>
      <c r="K1058" s="50" t="n">
        <v>32.95</v>
      </c>
      <c r="L1058" s="50" t="n">
        <v>417522.81</v>
      </c>
      <c r="M1058" s="46" t="inlineStr">
        <is>
          <t>USD</t>
        </is>
      </c>
      <c r="N1058" s="46" t="inlineStr">
        <is>
          <t>FOB</t>
        </is>
      </c>
      <c r="O1058" s="46" t="inlineStr">
        <is>
          <t>N</t>
        </is>
      </c>
      <c r="P1058" s="50" t="n">
        <v>1364.6775</v>
      </c>
      <c r="Q1058" s="49">
        <f>IF(OR(L1058="",M1058="",P1058=""),"",L1058*P1058)</f>
        <v/>
      </c>
    </row>
    <row r="1059" ht="15" customHeight="1" s="32">
      <c r="A1059" s="46" t="inlineStr">
        <is>
          <t>R-HB-1058</t>
        </is>
      </c>
      <c r="B1059" s="47" t="n">
        <v>45820</v>
      </c>
      <c r="C1059" s="46" t="inlineStr">
        <is>
          <t>2025-06</t>
        </is>
      </c>
      <c r="D1059" s="46" t="n">
        <v>2025</v>
      </c>
      <c r="E1059" s="46" t="inlineStr">
        <is>
          <t>P-HB-003</t>
        </is>
      </c>
      <c r="F1059" s="46" t="inlineStr">
        <is>
          <t>C-HB-09</t>
        </is>
      </c>
      <c r="G1059" s="48" t="inlineStr">
        <is>
          <t>중국</t>
        </is>
      </c>
      <c r="H1059" s="46" t="inlineStr">
        <is>
          <t>CN</t>
        </is>
      </c>
      <c r="I1059" s="49" t="n">
        <v>44862</v>
      </c>
      <c r="J1059" s="46" t="inlineStr">
        <is>
          <t>EA</t>
        </is>
      </c>
      <c r="K1059" s="50" t="n">
        <v>29.16</v>
      </c>
      <c r="L1059" s="50" t="n">
        <v>360649.25</v>
      </c>
      <c r="M1059" s="46" t="inlineStr">
        <is>
          <t>USD</t>
        </is>
      </c>
      <c r="N1059" s="46" t="inlineStr">
        <is>
          <t>FOB</t>
        </is>
      </c>
      <c r="O1059" s="46" t="inlineStr">
        <is>
          <t>N</t>
        </is>
      </c>
      <c r="P1059" s="50" t="n">
        <v>1364.6775</v>
      </c>
      <c r="Q1059" s="49">
        <f>IF(OR(L1059="",M1059="",P1059=""),"",L1059*P1059)</f>
        <v/>
      </c>
    </row>
    <row r="1060" ht="15" customHeight="1" s="32">
      <c r="A1060" s="46" t="inlineStr">
        <is>
          <t>R-HB-1059</t>
        </is>
      </c>
      <c r="B1060" s="47" t="n">
        <v>45821</v>
      </c>
      <c r="C1060" s="46" t="inlineStr">
        <is>
          <t>2025-06</t>
        </is>
      </c>
      <c r="D1060" s="46" t="n">
        <v>2025</v>
      </c>
      <c r="E1060" s="46" t="inlineStr">
        <is>
          <t>P-HB-002</t>
        </is>
      </c>
      <c r="F1060" s="46" t="inlineStr">
        <is>
          <t>C-HB-06</t>
        </is>
      </c>
      <c r="G1060" s="48" t="inlineStr">
        <is>
          <t>베트남</t>
        </is>
      </c>
      <c r="H1060" s="46" t="inlineStr">
        <is>
          <t>VN</t>
        </is>
      </c>
      <c r="I1060" s="49" t="n">
        <v>856</v>
      </c>
      <c r="J1060" s="46" t="inlineStr">
        <is>
          <t>EA</t>
        </is>
      </c>
      <c r="K1060" s="50" t="n">
        <v>1.88</v>
      </c>
      <c r="L1060" s="50" t="n">
        <v>349502.71</v>
      </c>
      <c r="M1060" s="46" t="inlineStr">
        <is>
          <t>USD</t>
        </is>
      </c>
      <c r="N1060" s="46" t="inlineStr">
        <is>
          <t>FOB</t>
        </is>
      </c>
      <c r="O1060" s="46" t="inlineStr">
        <is>
          <t>N</t>
        </is>
      </c>
      <c r="P1060" s="50" t="n">
        <v>1364.6775</v>
      </c>
      <c r="Q1060" s="49">
        <f>IF(OR(L1060="",M1060="",P1060=""),"",L1060*P1060)</f>
        <v/>
      </c>
    </row>
    <row r="1061" ht="15" customHeight="1" s="32">
      <c r="A1061" s="46" t="inlineStr">
        <is>
          <t>R-HB-1060</t>
        </is>
      </c>
      <c r="B1061" s="47" t="n">
        <v>45821</v>
      </c>
      <c r="C1061" s="46" t="inlineStr">
        <is>
          <t>2025-06</t>
        </is>
      </c>
      <c r="D1061" s="46" t="n">
        <v>2025</v>
      </c>
      <c r="E1061" s="46" t="inlineStr">
        <is>
          <t>P-HB-004</t>
        </is>
      </c>
      <c r="F1061" s="46" t="inlineStr">
        <is>
          <t>C-HB-09</t>
        </is>
      </c>
      <c r="G1061" s="48" t="inlineStr">
        <is>
          <t>중국</t>
        </is>
      </c>
      <c r="H1061" s="46" t="inlineStr">
        <is>
          <t>CN</t>
        </is>
      </c>
      <c r="I1061" s="49" t="n">
        <v>13723</v>
      </c>
      <c r="J1061" s="46" t="inlineStr">
        <is>
          <t>EA</t>
        </is>
      </c>
      <c r="K1061" s="50" t="n">
        <v>15.1</v>
      </c>
      <c r="L1061" s="50" t="n">
        <v>392412.52</v>
      </c>
      <c r="M1061" s="46" t="inlineStr">
        <is>
          <t>USD</t>
        </is>
      </c>
      <c r="N1061" s="46" t="inlineStr">
        <is>
          <t>FOB</t>
        </is>
      </c>
      <c r="O1061" s="46" t="inlineStr">
        <is>
          <t>N</t>
        </is>
      </c>
      <c r="P1061" s="50" t="n">
        <v>1364.6775</v>
      </c>
      <c r="Q1061" s="49">
        <f>IF(OR(L1061="",M1061="",P1061=""),"",L1061*P1061)</f>
        <v/>
      </c>
    </row>
    <row r="1062" ht="15" customHeight="1" s="32">
      <c r="A1062" s="46" t="inlineStr">
        <is>
          <t>R-HB-1061</t>
        </is>
      </c>
      <c r="B1062" s="47" t="n">
        <v>45823</v>
      </c>
      <c r="C1062" s="46" t="inlineStr">
        <is>
          <t>2025-06</t>
        </is>
      </c>
      <c r="D1062" s="46" t="n">
        <v>2025</v>
      </c>
      <c r="E1062" s="46" t="inlineStr">
        <is>
          <t>P-HB-003</t>
        </is>
      </c>
      <c r="F1062" s="46" t="inlineStr">
        <is>
          <t>C-HB-02</t>
        </is>
      </c>
      <c r="G1062" s="48" t="inlineStr">
        <is>
          <t>미국</t>
        </is>
      </c>
      <c r="H1062" s="46" t="inlineStr">
        <is>
          <t>US</t>
        </is>
      </c>
      <c r="I1062" s="49" t="n">
        <v>27590</v>
      </c>
      <c r="J1062" s="46" t="inlineStr">
        <is>
          <t>EA</t>
        </is>
      </c>
      <c r="K1062" s="50" t="n">
        <v>17.93</v>
      </c>
      <c r="L1062" s="50" t="n">
        <v>230823.83</v>
      </c>
      <c r="M1062" s="46" t="inlineStr">
        <is>
          <t>USD</t>
        </is>
      </c>
      <c r="N1062" s="46" t="inlineStr">
        <is>
          <t>FOB</t>
        </is>
      </c>
      <c r="O1062" s="46" t="inlineStr">
        <is>
          <t>N</t>
        </is>
      </c>
      <c r="P1062" s="50" t="n">
        <v>1364.6775</v>
      </c>
      <c r="Q1062" s="49">
        <f>IF(OR(L1062="",M1062="",P1062=""),"",L1062*P1062)</f>
        <v/>
      </c>
    </row>
    <row r="1063" ht="15" customHeight="1" s="32">
      <c r="A1063" s="46" t="inlineStr">
        <is>
          <t>R-HB-1062</t>
        </is>
      </c>
      <c r="B1063" s="47" t="n">
        <v>45824</v>
      </c>
      <c r="C1063" s="46" t="inlineStr">
        <is>
          <t>2025-06</t>
        </is>
      </c>
      <c r="D1063" s="46" t="n">
        <v>2025</v>
      </c>
      <c r="E1063" s="46" t="inlineStr">
        <is>
          <t>P-HB-001</t>
        </is>
      </c>
      <c r="F1063" s="46" t="inlineStr">
        <is>
          <t>C-HB-04</t>
        </is>
      </c>
      <c r="G1063" s="48" t="inlineStr">
        <is>
          <t>캐나다</t>
        </is>
      </c>
      <c r="H1063" s="46" t="inlineStr">
        <is>
          <t>CA</t>
        </is>
      </c>
      <c r="I1063" s="49" t="n">
        <v>16172</v>
      </c>
      <c r="J1063" s="46" t="inlineStr">
        <is>
          <t>EA</t>
        </is>
      </c>
      <c r="K1063" s="50" t="n">
        <v>7.28</v>
      </c>
      <c r="L1063" s="50" t="n">
        <v>92199.39</v>
      </c>
      <c r="M1063" s="46" t="inlineStr">
        <is>
          <t>USD</t>
        </is>
      </c>
      <c r="N1063" s="46" t="inlineStr">
        <is>
          <t>FOB</t>
        </is>
      </c>
      <c r="O1063" s="46" t="inlineStr">
        <is>
          <t>N</t>
        </is>
      </c>
      <c r="P1063" s="50" t="n">
        <v>1364.6775</v>
      </c>
      <c r="Q1063" s="49">
        <f>IF(OR(L1063="",M1063="",P1063=""),"",L1063*P1063)</f>
        <v/>
      </c>
    </row>
    <row r="1064" ht="15" customHeight="1" s="32">
      <c r="A1064" s="46" t="inlineStr">
        <is>
          <t>R-HB-1063</t>
        </is>
      </c>
      <c r="B1064" s="47" t="n">
        <v>45824</v>
      </c>
      <c r="C1064" s="46" t="inlineStr">
        <is>
          <t>2025-06</t>
        </is>
      </c>
      <c r="D1064" s="46" t="n">
        <v>2025</v>
      </c>
      <c r="E1064" s="46" t="inlineStr">
        <is>
          <t>P-HB-003</t>
        </is>
      </c>
      <c r="F1064" s="46" t="inlineStr">
        <is>
          <t>C-HB-04</t>
        </is>
      </c>
      <c r="G1064" s="48" t="inlineStr">
        <is>
          <t>캐나다</t>
        </is>
      </c>
      <c r="H1064" s="46" t="inlineStr">
        <is>
          <t>CA</t>
        </is>
      </c>
      <c r="I1064" s="49" t="n">
        <v>4791</v>
      </c>
      <c r="J1064" s="46" t="inlineStr">
        <is>
          <t>EA</t>
        </is>
      </c>
      <c r="K1064" s="50" t="n">
        <v>3.11</v>
      </c>
      <c r="L1064" s="50" t="n">
        <v>39204.62</v>
      </c>
      <c r="M1064" s="46" t="inlineStr">
        <is>
          <t>USD</t>
        </is>
      </c>
      <c r="N1064" s="46" t="inlineStr">
        <is>
          <t>FOB</t>
        </is>
      </c>
      <c r="O1064" s="46" t="inlineStr">
        <is>
          <t>N</t>
        </is>
      </c>
      <c r="P1064" s="50" t="n">
        <v>1364.6775</v>
      </c>
      <c r="Q1064" s="49">
        <f>IF(OR(L1064="",M1064="",P1064=""),"",L1064*P1064)</f>
        <v/>
      </c>
    </row>
    <row r="1065" ht="15" customHeight="1" s="32">
      <c r="A1065" s="46" t="inlineStr">
        <is>
          <t>R-HB-1064</t>
        </is>
      </c>
      <c r="B1065" s="47" t="n">
        <v>45824</v>
      </c>
      <c r="C1065" s="46" t="inlineStr">
        <is>
          <t>2025-06</t>
        </is>
      </c>
      <c r="D1065" s="46" t="n">
        <v>2025</v>
      </c>
      <c r="E1065" s="46" t="inlineStr">
        <is>
          <t>P-HB-002</t>
        </is>
      </c>
      <c r="F1065" s="46" t="inlineStr">
        <is>
          <t>C-HB-07</t>
        </is>
      </c>
      <c r="G1065" s="48" t="inlineStr">
        <is>
          <t>인도</t>
        </is>
      </c>
      <c r="H1065" s="46" t="inlineStr">
        <is>
          <t>IN</t>
        </is>
      </c>
      <c r="I1065" s="49" t="n">
        <v>532</v>
      </c>
      <c r="J1065" s="46" t="inlineStr">
        <is>
          <t>EA</t>
        </is>
      </c>
      <c r="K1065" s="50" t="n">
        <v>1.17</v>
      </c>
      <c r="L1065" s="50" t="n">
        <v>209095.54</v>
      </c>
      <c r="M1065" s="46" t="inlineStr">
        <is>
          <t>USD</t>
        </is>
      </c>
      <c r="N1065" s="46" t="inlineStr">
        <is>
          <t>FOB</t>
        </is>
      </c>
      <c r="O1065" s="46" t="inlineStr">
        <is>
          <t>N</t>
        </is>
      </c>
      <c r="P1065" s="50" t="n">
        <v>1364.6775</v>
      </c>
      <c r="Q1065" s="49">
        <f>IF(OR(L1065="",M1065="",P1065=""),"",L1065*P1065)</f>
        <v/>
      </c>
    </row>
    <row r="1066" ht="15" customHeight="1" s="32">
      <c r="A1066" s="46" t="inlineStr">
        <is>
          <t>R-HB-1065</t>
        </is>
      </c>
      <c r="B1066" s="47" t="n">
        <v>45825</v>
      </c>
      <c r="C1066" s="46" t="inlineStr">
        <is>
          <t>2025-06</t>
        </is>
      </c>
      <c r="D1066" s="46" t="n">
        <v>2025</v>
      </c>
      <c r="E1066" s="46" t="inlineStr">
        <is>
          <t>P-HB-004</t>
        </is>
      </c>
      <c r="F1066" s="46" t="inlineStr">
        <is>
          <t>C-HB-08</t>
        </is>
      </c>
      <c r="G1066" s="48" t="inlineStr">
        <is>
          <t>중국</t>
        </is>
      </c>
      <c r="H1066" s="46" t="inlineStr">
        <is>
          <t>CN</t>
        </is>
      </c>
      <c r="I1066" s="49" t="n">
        <v>19483</v>
      </c>
      <c r="J1066" s="46" t="inlineStr">
        <is>
          <t>EA</t>
        </is>
      </c>
      <c r="K1066" s="50" t="n">
        <v>21.43</v>
      </c>
      <c r="L1066" s="50" t="n">
        <v>549959.25</v>
      </c>
      <c r="M1066" s="46" t="inlineStr">
        <is>
          <t>USD</t>
        </is>
      </c>
      <c r="N1066" s="46" t="inlineStr">
        <is>
          <t>FOB</t>
        </is>
      </c>
      <c r="O1066" s="46" t="inlineStr">
        <is>
          <t>N</t>
        </is>
      </c>
      <c r="P1066" s="50" t="n">
        <v>1364.6775</v>
      </c>
      <c r="Q1066" s="49">
        <f>IF(OR(L1066="",M1066="",P1066=""),"",L1066*P1066)</f>
        <v/>
      </c>
    </row>
    <row r="1067" ht="15" customHeight="1" s="32">
      <c r="A1067" s="46" t="inlineStr">
        <is>
          <t>R-HB-1066</t>
        </is>
      </c>
      <c r="B1067" s="47" t="n">
        <v>45826</v>
      </c>
      <c r="C1067" s="46" t="inlineStr">
        <is>
          <t>2025-06</t>
        </is>
      </c>
      <c r="D1067" s="46" t="n">
        <v>2025</v>
      </c>
      <c r="E1067" s="46" t="inlineStr">
        <is>
          <t>P-HB-004</t>
        </is>
      </c>
      <c r="F1067" s="46" t="inlineStr">
        <is>
          <t>C-HB-04</t>
        </is>
      </c>
      <c r="G1067" s="48" t="inlineStr">
        <is>
          <t>캐나다</t>
        </is>
      </c>
      <c r="H1067" s="46" t="inlineStr">
        <is>
          <t>CA</t>
        </is>
      </c>
      <c r="I1067" s="49" t="n">
        <v>1603</v>
      </c>
      <c r="J1067" s="46" t="inlineStr">
        <is>
          <t>EA</t>
        </is>
      </c>
      <c r="K1067" s="50" t="n">
        <v>1.76</v>
      </c>
      <c r="L1067" s="50" t="n">
        <v>46332.21</v>
      </c>
      <c r="M1067" s="46" t="inlineStr">
        <is>
          <t>USD</t>
        </is>
      </c>
      <c r="N1067" s="46" t="inlineStr">
        <is>
          <t>FOB</t>
        </is>
      </c>
      <c r="O1067" s="46" t="inlineStr">
        <is>
          <t>N</t>
        </is>
      </c>
      <c r="P1067" s="50" t="n">
        <v>1364.6775</v>
      </c>
      <c r="Q1067" s="49">
        <f>IF(OR(L1067="",M1067="",P1067=""),"",L1067*P1067)</f>
        <v/>
      </c>
    </row>
    <row r="1068" ht="15" customHeight="1" s="32">
      <c r="A1068" s="46" t="inlineStr">
        <is>
          <t>R-HB-1067</t>
        </is>
      </c>
      <c r="B1068" s="47" t="n">
        <v>45826</v>
      </c>
      <c r="C1068" s="46" t="inlineStr">
        <is>
          <t>2025-06</t>
        </is>
      </c>
      <c r="D1068" s="46" t="n">
        <v>2025</v>
      </c>
      <c r="E1068" s="46" t="inlineStr">
        <is>
          <t>P-HB-004</t>
        </is>
      </c>
      <c r="F1068" s="46" t="inlineStr">
        <is>
          <t>C-HB-05</t>
        </is>
      </c>
      <c r="G1068" s="48" t="inlineStr">
        <is>
          <t>독일</t>
        </is>
      </c>
      <c r="H1068" s="46" t="inlineStr">
        <is>
          <t>DE</t>
        </is>
      </c>
      <c r="I1068" s="49" t="n">
        <v>13738</v>
      </c>
      <c r="J1068" s="46" t="inlineStr">
        <is>
          <t>EA</t>
        </is>
      </c>
      <c r="K1068" s="50" t="n">
        <v>15.11</v>
      </c>
      <c r="L1068" s="50" t="n">
        <v>392950.44</v>
      </c>
      <c r="M1068" s="46" t="inlineStr">
        <is>
          <t>USD</t>
        </is>
      </c>
      <c r="N1068" s="46" t="inlineStr">
        <is>
          <t>FOB</t>
        </is>
      </c>
      <c r="O1068" s="46" t="inlineStr">
        <is>
          <t>N</t>
        </is>
      </c>
      <c r="P1068" s="50" t="n">
        <v>1364.6775</v>
      </c>
      <c r="Q1068" s="49">
        <f>IF(OR(L1068="",M1068="",P1068=""),"",L1068*P1068)</f>
        <v/>
      </c>
    </row>
    <row r="1069" ht="15" customHeight="1" s="32">
      <c r="A1069" s="46" t="inlineStr">
        <is>
          <t>R-HB-1068</t>
        </is>
      </c>
      <c r="B1069" s="47" t="n">
        <v>45826</v>
      </c>
      <c r="C1069" s="46" t="inlineStr">
        <is>
          <t>2025-06</t>
        </is>
      </c>
      <c r="D1069" s="46" t="n">
        <v>2025</v>
      </c>
      <c r="E1069" s="46" t="inlineStr">
        <is>
          <t>P-HB-002</t>
        </is>
      </c>
      <c r="F1069" s="46" t="inlineStr">
        <is>
          <t>C-HB-09</t>
        </is>
      </c>
      <c r="G1069" s="48" t="inlineStr">
        <is>
          <t>중국</t>
        </is>
      </c>
      <c r="H1069" s="46" t="inlineStr">
        <is>
          <t>CN</t>
        </is>
      </c>
      <c r="I1069" s="49" t="n">
        <v>898</v>
      </c>
      <c r="J1069" s="46" t="inlineStr">
        <is>
          <t>EA</t>
        </is>
      </c>
      <c r="K1069" s="50" t="n">
        <v>1.98</v>
      </c>
      <c r="L1069" s="50" t="n">
        <v>377696.92</v>
      </c>
      <c r="M1069" s="46" t="inlineStr">
        <is>
          <t>USD</t>
        </is>
      </c>
      <c r="N1069" s="46" t="inlineStr">
        <is>
          <t>FOB</t>
        </is>
      </c>
      <c r="O1069" s="46" t="inlineStr">
        <is>
          <t>N</t>
        </is>
      </c>
      <c r="P1069" s="50" t="n">
        <v>1364.6775</v>
      </c>
      <c r="Q1069" s="49">
        <f>IF(OR(L1069="",M1069="",P1069=""),"",L1069*P1069)</f>
        <v/>
      </c>
    </row>
    <row r="1070" ht="15" customHeight="1" s="32">
      <c r="A1070" s="46" t="inlineStr">
        <is>
          <t>R-HB-1069</t>
        </is>
      </c>
      <c r="B1070" s="47" t="n">
        <v>45827</v>
      </c>
      <c r="C1070" s="46" t="inlineStr">
        <is>
          <t>2025-06</t>
        </is>
      </c>
      <c r="D1070" s="46" t="n">
        <v>2025</v>
      </c>
      <c r="E1070" s="46" t="inlineStr">
        <is>
          <t>P-HB-004</t>
        </is>
      </c>
      <c r="F1070" s="46" t="inlineStr">
        <is>
          <t>C-HB-01</t>
        </is>
      </c>
      <c r="G1070" s="48" t="inlineStr">
        <is>
          <t>미국</t>
        </is>
      </c>
      <c r="H1070" s="46" t="inlineStr">
        <is>
          <t>US</t>
        </is>
      </c>
      <c r="I1070" s="49" t="n">
        <v>18996</v>
      </c>
      <c r="J1070" s="46" t="inlineStr">
        <is>
          <t>EA</t>
        </is>
      </c>
      <c r="K1070" s="50" t="n">
        <v>20.9</v>
      </c>
      <c r="L1070" s="50" t="n">
        <v>536077.42</v>
      </c>
      <c r="M1070" s="46" t="inlineStr">
        <is>
          <t>USD</t>
        </is>
      </c>
      <c r="N1070" s="46" t="inlineStr">
        <is>
          <t>FOB</t>
        </is>
      </c>
      <c r="O1070" s="46" t="inlineStr">
        <is>
          <t>N</t>
        </is>
      </c>
      <c r="P1070" s="50" t="n">
        <v>1364.6775</v>
      </c>
      <c r="Q1070" s="49">
        <f>IF(OR(L1070="",M1070="",P1070=""),"",L1070*P1070)</f>
        <v/>
      </c>
    </row>
    <row r="1071" ht="15" customHeight="1" s="32">
      <c r="A1071" s="46" t="inlineStr">
        <is>
          <t>R-HB-1070</t>
        </is>
      </c>
      <c r="B1071" s="47" t="n">
        <v>45827</v>
      </c>
      <c r="C1071" s="46" t="inlineStr">
        <is>
          <t>2025-06</t>
        </is>
      </c>
      <c r="D1071" s="46" t="n">
        <v>2025</v>
      </c>
      <c r="E1071" s="46" t="inlineStr">
        <is>
          <t>P-HB-004</t>
        </is>
      </c>
      <c r="F1071" s="46" t="inlineStr">
        <is>
          <t>C-HB-07</t>
        </is>
      </c>
      <c r="G1071" s="48" t="inlineStr">
        <is>
          <t>인도</t>
        </is>
      </c>
      <c r="H1071" s="46" t="inlineStr">
        <is>
          <t>IN</t>
        </is>
      </c>
      <c r="I1071" s="49" t="n">
        <v>8057</v>
      </c>
      <c r="J1071" s="46" t="inlineStr">
        <is>
          <t>EA</t>
        </is>
      </c>
      <c r="K1071" s="50" t="n">
        <v>8.859999999999999</v>
      </c>
      <c r="L1071" s="50" t="n">
        <v>228045.47</v>
      </c>
      <c r="M1071" s="46" t="inlineStr">
        <is>
          <t>USD</t>
        </is>
      </c>
      <c r="N1071" s="46" t="inlineStr">
        <is>
          <t>FOB</t>
        </is>
      </c>
      <c r="O1071" s="46" t="inlineStr">
        <is>
          <t>N</t>
        </is>
      </c>
      <c r="P1071" s="50" t="n">
        <v>1364.6775</v>
      </c>
      <c r="Q1071" s="49">
        <f>IF(OR(L1071="",M1071="",P1071=""),"",L1071*P1071)</f>
        <v/>
      </c>
    </row>
    <row r="1072" ht="15" customHeight="1" s="32">
      <c r="A1072" s="46" t="inlineStr">
        <is>
          <t>R-HB-1071</t>
        </is>
      </c>
      <c r="B1072" s="47" t="n">
        <v>45829</v>
      </c>
      <c r="C1072" s="46" t="inlineStr">
        <is>
          <t>2025-06</t>
        </is>
      </c>
      <c r="D1072" s="46" t="n">
        <v>2025</v>
      </c>
      <c r="E1072" s="46" t="inlineStr">
        <is>
          <t>P-HB-004</t>
        </is>
      </c>
      <c r="F1072" s="46" t="inlineStr">
        <is>
          <t>C-HB-02</t>
        </is>
      </c>
      <c r="G1072" s="48" t="inlineStr">
        <is>
          <t>미국</t>
        </is>
      </c>
      <c r="H1072" s="46" t="inlineStr">
        <is>
          <t>US</t>
        </is>
      </c>
      <c r="I1072" s="49" t="n">
        <v>8769</v>
      </c>
      <c r="J1072" s="46" t="inlineStr">
        <is>
          <t>EA</t>
        </is>
      </c>
      <c r="K1072" s="50" t="n">
        <v>9.65</v>
      </c>
      <c r="L1072" s="50" t="n">
        <v>249167.93</v>
      </c>
      <c r="M1072" s="46" t="inlineStr">
        <is>
          <t>USD</t>
        </is>
      </c>
      <c r="N1072" s="46" t="inlineStr">
        <is>
          <t>FOB</t>
        </is>
      </c>
      <c r="O1072" s="46" t="inlineStr">
        <is>
          <t>N</t>
        </is>
      </c>
      <c r="P1072" s="50" t="n">
        <v>1364.6775</v>
      </c>
      <c r="Q1072" s="49">
        <f>IF(OR(L1072="",M1072="",P1072=""),"",L1072*P1072)</f>
        <v/>
      </c>
    </row>
    <row r="1073" ht="15" customHeight="1" s="32">
      <c r="A1073" s="46" t="inlineStr">
        <is>
          <t>R-HB-1072</t>
        </is>
      </c>
      <c r="B1073" s="47" t="n">
        <v>45831</v>
      </c>
      <c r="C1073" s="46" t="inlineStr">
        <is>
          <t>2025-06</t>
        </is>
      </c>
      <c r="D1073" s="46" t="n">
        <v>2025</v>
      </c>
      <c r="E1073" s="46" t="inlineStr">
        <is>
          <t>P-HB-001</t>
        </is>
      </c>
      <c r="F1073" s="46" t="inlineStr">
        <is>
          <t>C-HB-01</t>
        </is>
      </c>
      <c r="G1073" s="48" t="inlineStr">
        <is>
          <t>미국</t>
        </is>
      </c>
      <c r="H1073" s="46" t="inlineStr">
        <is>
          <t>US</t>
        </is>
      </c>
      <c r="I1073" s="49" t="n">
        <v>187163</v>
      </c>
      <c r="J1073" s="46" t="inlineStr">
        <is>
          <t>EA</t>
        </is>
      </c>
      <c r="K1073" s="50" t="n">
        <v>84.22</v>
      </c>
      <c r="L1073" s="50" t="n">
        <v>1106209.45</v>
      </c>
      <c r="M1073" s="46" t="inlineStr">
        <is>
          <t>USD</t>
        </is>
      </c>
      <c r="N1073" s="46" t="inlineStr">
        <is>
          <t>FOB</t>
        </is>
      </c>
      <c r="O1073" s="46" t="inlineStr">
        <is>
          <t>N</t>
        </is>
      </c>
      <c r="P1073" s="50" t="n">
        <v>1364.6775</v>
      </c>
      <c r="Q1073" s="49">
        <f>IF(OR(L1073="",M1073="",P1073=""),"",L1073*P1073)</f>
        <v/>
      </c>
    </row>
    <row r="1074" ht="15" customHeight="1" s="32">
      <c r="A1074" s="46" t="inlineStr">
        <is>
          <t>R-HB-1073</t>
        </is>
      </c>
      <c r="B1074" s="47" t="n">
        <v>45831</v>
      </c>
      <c r="C1074" s="46" t="inlineStr">
        <is>
          <t>2025-06</t>
        </is>
      </c>
      <c r="D1074" s="46" t="n">
        <v>2025</v>
      </c>
      <c r="E1074" s="46" t="inlineStr">
        <is>
          <t>P-HB-004</t>
        </is>
      </c>
      <c r="F1074" s="46" t="inlineStr">
        <is>
          <t>C-HB-03</t>
        </is>
      </c>
      <c r="G1074" s="48" t="inlineStr">
        <is>
          <t>멕시코</t>
        </is>
      </c>
      <c r="H1074" s="46" t="inlineStr">
        <is>
          <t>MX</t>
        </is>
      </c>
      <c r="I1074" s="49" t="n">
        <v>3385</v>
      </c>
      <c r="J1074" s="46" t="inlineStr">
        <is>
          <t>EA</t>
        </is>
      </c>
      <c r="K1074" s="50" t="n">
        <v>3.72</v>
      </c>
      <c r="L1074" s="50" t="n">
        <v>94608.64</v>
      </c>
      <c r="M1074" s="46" t="inlineStr">
        <is>
          <t>USD</t>
        </is>
      </c>
      <c r="N1074" s="46" t="inlineStr">
        <is>
          <t>FOB</t>
        </is>
      </c>
      <c r="O1074" s="46" t="inlineStr">
        <is>
          <t>N</t>
        </is>
      </c>
      <c r="P1074" s="50" t="n">
        <v>1364.6775</v>
      </c>
      <c r="Q1074" s="49">
        <f>IF(OR(L1074="",M1074="",P1074=""),"",L1074*P1074)</f>
        <v/>
      </c>
    </row>
    <row r="1075" ht="15" customHeight="1" s="32">
      <c r="A1075" s="46" t="inlineStr">
        <is>
          <t>R-HB-1074</t>
        </is>
      </c>
      <c r="B1075" s="47" t="n">
        <v>45831</v>
      </c>
      <c r="C1075" s="46" t="inlineStr">
        <is>
          <t>2025-06</t>
        </is>
      </c>
      <c r="D1075" s="46" t="n">
        <v>2025</v>
      </c>
      <c r="E1075" s="46" t="inlineStr">
        <is>
          <t>P-HB-001</t>
        </is>
      </c>
      <c r="F1075" s="46" t="inlineStr">
        <is>
          <t>C-HB-06</t>
        </is>
      </c>
      <c r="G1075" s="48" t="inlineStr">
        <is>
          <t>베트남</t>
        </is>
      </c>
      <c r="H1075" s="46" t="inlineStr">
        <is>
          <t>VN</t>
        </is>
      </c>
      <c r="I1075" s="49" t="n">
        <v>125879</v>
      </c>
      <c r="J1075" s="46" t="inlineStr">
        <is>
          <t>EA</t>
        </is>
      </c>
      <c r="K1075" s="50" t="n">
        <v>56.65</v>
      </c>
      <c r="L1075" s="50" t="n">
        <v>767026.37</v>
      </c>
      <c r="M1075" s="46" t="inlineStr">
        <is>
          <t>USD</t>
        </is>
      </c>
      <c r="N1075" s="46" t="inlineStr">
        <is>
          <t>FOB</t>
        </is>
      </c>
      <c r="O1075" s="46" t="inlineStr">
        <is>
          <t>N</t>
        </is>
      </c>
      <c r="P1075" s="50" t="n">
        <v>1364.6775</v>
      </c>
      <c r="Q1075" s="49">
        <f>IF(OR(L1075="",M1075="",P1075=""),"",L1075*P1075)</f>
        <v/>
      </c>
    </row>
    <row r="1076" ht="15" customHeight="1" s="32">
      <c r="A1076" s="46" t="inlineStr">
        <is>
          <t>R-HB-1075</t>
        </is>
      </c>
      <c r="B1076" s="47" t="n">
        <v>45832</v>
      </c>
      <c r="C1076" s="46" t="inlineStr">
        <is>
          <t>2025-06</t>
        </is>
      </c>
      <c r="D1076" s="46" t="n">
        <v>2025</v>
      </c>
      <c r="E1076" s="46" t="inlineStr">
        <is>
          <t>P-HB-002</t>
        </is>
      </c>
      <c r="F1076" s="46" t="inlineStr">
        <is>
          <t>C-HB-01</t>
        </is>
      </c>
      <c r="G1076" s="48" t="inlineStr">
        <is>
          <t>미국</t>
        </is>
      </c>
      <c r="H1076" s="46" t="inlineStr">
        <is>
          <t>US</t>
        </is>
      </c>
      <c r="I1076" s="49" t="n">
        <v>1203</v>
      </c>
      <c r="J1076" s="46" t="inlineStr">
        <is>
          <t>EA</t>
        </is>
      </c>
      <c r="K1076" s="50" t="n">
        <v>2.65</v>
      </c>
      <c r="L1076" s="50" t="n">
        <v>508543.85</v>
      </c>
      <c r="M1076" s="46" t="inlineStr">
        <is>
          <t>USD</t>
        </is>
      </c>
      <c r="N1076" s="46" t="inlineStr">
        <is>
          <t>FOB</t>
        </is>
      </c>
      <c r="O1076" s="46" t="inlineStr">
        <is>
          <t>N</t>
        </is>
      </c>
      <c r="P1076" s="50" t="n">
        <v>1364.6775</v>
      </c>
      <c r="Q1076" s="49">
        <f>IF(OR(L1076="",M1076="",P1076=""),"",L1076*P1076)</f>
        <v/>
      </c>
    </row>
    <row r="1077" ht="15" customHeight="1" s="32">
      <c r="A1077" s="46" t="inlineStr">
        <is>
          <t>R-HB-1076</t>
        </is>
      </c>
      <c r="B1077" s="47" t="n">
        <v>45832</v>
      </c>
      <c r="C1077" s="46" t="inlineStr">
        <is>
          <t>2025-06</t>
        </is>
      </c>
      <c r="D1077" s="46" t="n">
        <v>2025</v>
      </c>
      <c r="E1077" s="46" t="inlineStr">
        <is>
          <t>P-HB-003</t>
        </is>
      </c>
      <c r="F1077" s="46" t="inlineStr">
        <is>
          <t>C-HB-03</t>
        </is>
      </c>
      <c r="G1077" s="48" t="inlineStr">
        <is>
          <t>멕시코</t>
        </is>
      </c>
      <c r="H1077" s="46" t="inlineStr">
        <is>
          <t>MX</t>
        </is>
      </c>
      <c r="I1077" s="49" t="n">
        <v>10169</v>
      </c>
      <c r="J1077" s="46" t="inlineStr">
        <is>
          <t>EA</t>
        </is>
      </c>
      <c r="K1077" s="50" t="n">
        <v>6.61</v>
      </c>
      <c r="L1077" s="50" t="n">
        <v>84381.44</v>
      </c>
      <c r="M1077" s="46" t="inlineStr">
        <is>
          <t>USD</t>
        </is>
      </c>
      <c r="N1077" s="46" t="inlineStr">
        <is>
          <t>FOB</t>
        </is>
      </c>
      <c r="O1077" s="46" t="inlineStr">
        <is>
          <t>N</t>
        </is>
      </c>
      <c r="P1077" s="50" t="n">
        <v>1364.6775</v>
      </c>
      <c r="Q1077" s="49">
        <f>IF(OR(L1077="",M1077="",P1077=""),"",L1077*P1077)</f>
        <v/>
      </c>
    </row>
    <row r="1078" ht="15" customHeight="1" s="32">
      <c r="A1078" s="46" t="inlineStr">
        <is>
          <t>R-HB-1077</t>
        </is>
      </c>
      <c r="B1078" s="47" t="n">
        <v>45834</v>
      </c>
      <c r="C1078" s="46" t="inlineStr">
        <is>
          <t>2025-06</t>
        </is>
      </c>
      <c r="D1078" s="46" t="n">
        <v>2025</v>
      </c>
      <c r="E1078" s="46" t="inlineStr">
        <is>
          <t>P-HB-002</t>
        </is>
      </c>
      <c r="F1078" s="46" t="inlineStr">
        <is>
          <t>C-HB-04</t>
        </is>
      </c>
      <c r="G1078" s="48" t="inlineStr">
        <is>
          <t>캐나다</t>
        </is>
      </c>
      <c r="H1078" s="46" t="inlineStr">
        <is>
          <t>CA</t>
        </is>
      </c>
      <c r="I1078" s="49" t="n">
        <v>93</v>
      </c>
      <c r="J1078" s="46" t="inlineStr">
        <is>
          <t>EA</t>
        </is>
      </c>
      <c r="K1078" s="50" t="n">
        <v>0.2</v>
      </c>
      <c r="L1078" s="50" t="n">
        <v>38458.5</v>
      </c>
      <c r="M1078" s="46" t="inlineStr">
        <is>
          <t>USD</t>
        </is>
      </c>
      <c r="N1078" s="46" t="inlineStr">
        <is>
          <t>FOB</t>
        </is>
      </c>
      <c r="O1078" s="46" t="inlineStr">
        <is>
          <t>N</t>
        </is>
      </c>
      <c r="P1078" s="50" t="n">
        <v>1364.6775</v>
      </c>
      <c r="Q1078" s="49">
        <f>IF(OR(L1078="",M1078="",P1078=""),"",L1078*P1078)</f>
        <v/>
      </c>
    </row>
    <row r="1079" ht="15" customHeight="1" s="32">
      <c r="A1079" s="46" t="inlineStr">
        <is>
          <t>R-HB-1078</t>
        </is>
      </c>
      <c r="B1079" s="47" t="n">
        <v>45835</v>
      </c>
      <c r="C1079" s="46" t="inlineStr">
        <is>
          <t>2025-06</t>
        </is>
      </c>
      <c r="D1079" s="46" t="n">
        <v>2025</v>
      </c>
      <c r="E1079" s="46" t="inlineStr">
        <is>
          <t>P-HB-002</t>
        </is>
      </c>
      <c r="F1079" s="46" t="inlineStr">
        <is>
          <t>C-HB-03</t>
        </is>
      </c>
      <c r="G1079" s="48" t="inlineStr">
        <is>
          <t>멕시코</t>
        </is>
      </c>
      <c r="H1079" s="46" t="inlineStr">
        <is>
          <t>MX</t>
        </is>
      </c>
      <c r="I1079" s="49" t="n">
        <v>229</v>
      </c>
      <c r="J1079" s="46" t="inlineStr">
        <is>
          <t>EA</t>
        </is>
      </c>
      <c r="K1079" s="50" t="n">
        <v>0.5</v>
      </c>
      <c r="L1079" s="50" t="n">
        <v>92489.31</v>
      </c>
      <c r="M1079" s="46" t="inlineStr">
        <is>
          <t>USD</t>
        </is>
      </c>
      <c r="N1079" s="46" t="inlineStr">
        <is>
          <t>FOB</t>
        </is>
      </c>
      <c r="O1079" s="46" t="inlineStr">
        <is>
          <t>N</t>
        </is>
      </c>
      <c r="P1079" s="50" t="n">
        <v>1364.6775</v>
      </c>
      <c r="Q1079" s="49">
        <f>IF(OR(L1079="",M1079="",P1079=""),"",L1079*P1079)</f>
        <v/>
      </c>
    </row>
    <row r="1080" ht="15" customHeight="1" s="32">
      <c r="A1080" s="46" t="inlineStr">
        <is>
          <t>R-HB-1079</t>
        </is>
      </c>
      <c r="B1080" s="47" t="n">
        <v>45835</v>
      </c>
      <c r="C1080" s="46" t="inlineStr">
        <is>
          <t>2025-06</t>
        </is>
      </c>
      <c r="D1080" s="46" t="n">
        <v>2025</v>
      </c>
      <c r="E1080" s="46" t="inlineStr">
        <is>
          <t>P-HB-002</t>
        </is>
      </c>
      <c r="F1080" s="46" t="inlineStr">
        <is>
          <t>C-HB-08</t>
        </is>
      </c>
      <c r="G1080" s="48" t="inlineStr">
        <is>
          <t>중국</t>
        </is>
      </c>
      <c r="H1080" s="46" t="inlineStr">
        <is>
          <t>CN</t>
        </is>
      </c>
      <c r="I1080" s="49" t="n">
        <v>1415</v>
      </c>
      <c r="J1080" s="46" t="inlineStr">
        <is>
          <t>EA</t>
        </is>
      </c>
      <c r="K1080" s="50" t="n">
        <v>3.11</v>
      </c>
      <c r="L1080" s="50" t="n">
        <v>579755.5</v>
      </c>
      <c r="M1080" s="46" t="inlineStr">
        <is>
          <t>USD</t>
        </is>
      </c>
      <c r="N1080" s="46" t="inlineStr">
        <is>
          <t>FOB</t>
        </is>
      </c>
      <c r="O1080" s="46" t="inlineStr">
        <is>
          <t>N</t>
        </is>
      </c>
      <c r="P1080" s="50" t="n">
        <v>1364.6775</v>
      </c>
      <c r="Q1080" s="49">
        <f>IF(OR(L1080="",M1080="",P1080=""),"",L1080*P1080)</f>
        <v/>
      </c>
    </row>
    <row r="1081" ht="15" customHeight="1" s="32">
      <c r="A1081" s="46" t="inlineStr">
        <is>
          <t>R-HB-1080</t>
        </is>
      </c>
      <c r="B1081" s="47" t="n">
        <v>45835</v>
      </c>
      <c r="C1081" s="46" t="inlineStr">
        <is>
          <t>2025-06</t>
        </is>
      </c>
      <c r="D1081" s="46" t="n">
        <v>2025</v>
      </c>
      <c r="E1081" s="46" t="inlineStr">
        <is>
          <t>P-HB-003</t>
        </is>
      </c>
      <c r="F1081" s="46" t="inlineStr">
        <is>
          <t>C-HB-08</t>
        </is>
      </c>
      <c r="G1081" s="48" t="inlineStr">
        <is>
          <t>중국</t>
        </is>
      </c>
      <c r="H1081" s="46" t="inlineStr">
        <is>
          <t>CN</t>
        </is>
      </c>
      <c r="I1081" s="49" t="n">
        <v>55898</v>
      </c>
      <c r="J1081" s="46" t="inlineStr">
        <is>
          <t>EA</t>
        </is>
      </c>
      <c r="K1081" s="50" t="n">
        <v>36.33</v>
      </c>
      <c r="L1081" s="50" t="n">
        <v>470128.29</v>
      </c>
      <c r="M1081" s="46" t="inlineStr">
        <is>
          <t>USD</t>
        </is>
      </c>
      <c r="N1081" s="46" t="inlineStr">
        <is>
          <t>FOB</t>
        </is>
      </c>
      <c r="O1081" s="46" t="inlineStr">
        <is>
          <t>N</t>
        </is>
      </c>
      <c r="P1081" s="50" t="n">
        <v>1364.6775</v>
      </c>
      <c r="Q1081" s="49">
        <f>IF(OR(L1081="",M1081="",P1081=""),"",L1081*P1081)</f>
        <v/>
      </c>
    </row>
    <row r="1082" ht="15" customHeight="1" s="32">
      <c r="A1082" s="46" t="inlineStr">
        <is>
          <t>R-HB-1081</t>
        </is>
      </c>
      <c r="B1082" s="47" t="n">
        <v>45842</v>
      </c>
      <c r="C1082" s="46" t="inlineStr">
        <is>
          <t>2025-07</t>
        </is>
      </c>
      <c r="D1082" s="46" t="n">
        <v>2025</v>
      </c>
      <c r="E1082" s="46" t="inlineStr">
        <is>
          <t>P-HB-001</t>
        </is>
      </c>
      <c r="F1082" s="46" t="inlineStr">
        <is>
          <t>C-HB-07</t>
        </is>
      </c>
      <c r="G1082" s="48" t="inlineStr">
        <is>
          <t>인도</t>
        </is>
      </c>
      <c r="H1082" s="46" t="inlineStr">
        <is>
          <t>IN</t>
        </is>
      </c>
      <c r="I1082" s="49" t="n">
        <v>82266</v>
      </c>
      <c r="J1082" s="46" t="inlineStr">
        <is>
          <t>EA</t>
        </is>
      </c>
      <c r="K1082" s="50" t="n">
        <v>37.02</v>
      </c>
      <c r="L1082" s="50" t="n">
        <v>496306.23</v>
      </c>
      <c r="M1082" s="46" t="inlineStr">
        <is>
          <t>USD</t>
        </is>
      </c>
      <c r="N1082" s="46" t="inlineStr">
        <is>
          <t>FOB</t>
        </is>
      </c>
      <c r="O1082" s="46" t="inlineStr">
        <is>
          <t>N</t>
        </is>
      </c>
      <c r="P1082" s="50" t="n">
        <v>1379.2959</v>
      </c>
      <c r="Q1082" s="49">
        <f>IF(OR(L1082="",M1082="",P1082=""),"",L1082*P1082)</f>
        <v/>
      </c>
    </row>
    <row r="1083" ht="15" customHeight="1" s="32">
      <c r="A1083" s="46" t="inlineStr">
        <is>
          <t>R-HB-1082</t>
        </is>
      </c>
      <c r="B1083" s="47" t="n">
        <v>45843</v>
      </c>
      <c r="C1083" s="46" t="inlineStr">
        <is>
          <t>2025-07</t>
        </is>
      </c>
      <c r="D1083" s="46" t="n">
        <v>2025</v>
      </c>
      <c r="E1083" s="46" t="inlineStr">
        <is>
          <t>P-HB-004</t>
        </is>
      </c>
      <c r="F1083" s="46" t="inlineStr">
        <is>
          <t>C-HB-01</t>
        </is>
      </c>
      <c r="G1083" s="48" t="inlineStr">
        <is>
          <t>미국</t>
        </is>
      </c>
      <c r="H1083" s="46" t="inlineStr">
        <is>
          <t>US</t>
        </is>
      </c>
      <c r="I1083" s="49" t="n">
        <v>16722</v>
      </c>
      <c r="J1083" s="46" t="inlineStr">
        <is>
          <t>EA</t>
        </is>
      </c>
      <c r="K1083" s="50" t="n">
        <v>18.39</v>
      </c>
      <c r="L1083" s="50" t="n">
        <v>464735.76</v>
      </c>
      <c r="M1083" s="46" t="inlineStr">
        <is>
          <t>USD</t>
        </is>
      </c>
      <c r="N1083" s="46" t="inlineStr">
        <is>
          <t>FOB</t>
        </is>
      </c>
      <c r="O1083" s="46" t="inlineStr">
        <is>
          <t>N</t>
        </is>
      </c>
      <c r="P1083" s="50" t="n">
        <v>1379.2959</v>
      </c>
      <c r="Q1083" s="49">
        <f>IF(OR(L1083="",M1083="",P1083=""),"",L1083*P1083)</f>
        <v/>
      </c>
    </row>
    <row r="1084" ht="15" customHeight="1" s="32">
      <c r="A1084" s="46" t="inlineStr">
        <is>
          <t>R-HB-1083</t>
        </is>
      </c>
      <c r="B1084" s="47" t="n">
        <v>45843</v>
      </c>
      <c r="C1084" s="46" t="inlineStr">
        <is>
          <t>2025-07</t>
        </is>
      </c>
      <c r="D1084" s="46" t="n">
        <v>2025</v>
      </c>
      <c r="E1084" s="46" t="inlineStr">
        <is>
          <t>P-HB-001</t>
        </is>
      </c>
      <c r="F1084" s="46" t="inlineStr">
        <is>
          <t>C-HB-05</t>
        </is>
      </c>
      <c r="G1084" s="48" t="inlineStr">
        <is>
          <t>독일</t>
        </is>
      </c>
      <c r="H1084" s="46" t="inlineStr">
        <is>
          <t>DE</t>
        </is>
      </c>
      <c r="I1084" s="49" t="n">
        <v>165098</v>
      </c>
      <c r="J1084" s="46" t="inlineStr">
        <is>
          <t>EA</t>
        </is>
      </c>
      <c r="K1084" s="50" t="n">
        <v>74.29000000000001</v>
      </c>
      <c r="L1084" s="50" t="n">
        <v>949505.58</v>
      </c>
      <c r="M1084" s="46" t="inlineStr">
        <is>
          <t>USD</t>
        </is>
      </c>
      <c r="N1084" s="46" t="inlineStr">
        <is>
          <t>FOB</t>
        </is>
      </c>
      <c r="O1084" s="46" t="inlineStr">
        <is>
          <t>N</t>
        </is>
      </c>
      <c r="P1084" s="50" t="n">
        <v>1379.2959</v>
      </c>
      <c r="Q1084" s="49">
        <f>IF(OR(L1084="",M1084="",P1084=""),"",L1084*P1084)</f>
        <v/>
      </c>
    </row>
    <row r="1085" ht="15" customHeight="1" s="32">
      <c r="A1085" s="46" t="inlineStr">
        <is>
          <t>R-HB-1084</t>
        </is>
      </c>
      <c r="B1085" s="47" t="n">
        <v>45843</v>
      </c>
      <c r="C1085" s="46" t="inlineStr">
        <is>
          <t>2025-07</t>
        </is>
      </c>
      <c r="D1085" s="46" t="n">
        <v>2025</v>
      </c>
      <c r="E1085" s="46" t="inlineStr">
        <is>
          <t>P-HB-004</t>
        </is>
      </c>
      <c r="F1085" s="46" t="inlineStr">
        <is>
          <t>C-HB-05</t>
        </is>
      </c>
      <c r="G1085" s="48" t="inlineStr">
        <is>
          <t>독일</t>
        </is>
      </c>
      <c r="H1085" s="46" t="inlineStr">
        <is>
          <t>DE</t>
        </is>
      </c>
      <c r="I1085" s="49" t="n">
        <v>15275</v>
      </c>
      <c r="J1085" s="46" t="inlineStr">
        <is>
          <t>EA</t>
        </is>
      </c>
      <c r="K1085" s="50" t="n">
        <v>16.8</v>
      </c>
      <c r="L1085" s="50" t="n">
        <v>429058.32</v>
      </c>
      <c r="M1085" s="46" t="inlineStr">
        <is>
          <t>USD</t>
        </is>
      </c>
      <c r="N1085" s="46" t="inlineStr">
        <is>
          <t>FOB</t>
        </is>
      </c>
      <c r="O1085" s="46" t="inlineStr">
        <is>
          <t>N</t>
        </is>
      </c>
      <c r="P1085" s="50" t="n">
        <v>1379.2959</v>
      </c>
      <c r="Q1085" s="49">
        <f>IF(OR(L1085="",M1085="",P1085=""),"",L1085*P1085)</f>
        <v/>
      </c>
    </row>
    <row r="1086" ht="15" customHeight="1" s="32">
      <c r="A1086" s="46" t="inlineStr">
        <is>
          <t>R-HB-1085</t>
        </is>
      </c>
      <c r="B1086" s="47" t="n">
        <v>45844</v>
      </c>
      <c r="C1086" s="46" t="inlineStr">
        <is>
          <t>2025-07</t>
        </is>
      </c>
      <c r="D1086" s="46" t="n">
        <v>2025</v>
      </c>
      <c r="E1086" s="46" t="inlineStr">
        <is>
          <t>P-HB-001</t>
        </is>
      </c>
      <c r="F1086" s="46" t="inlineStr">
        <is>
          <t>C-HB-04</t>
        </is>
      </c>
      <c r="G1086" s="48" t="inlineStr">
        <is>
          <t>캐나다</t>
        </is>
      </c>
      <c r="H1086" s="46" t="inlineStr">
        <is>
          <t>CA</t>
        </is>
      </c>
      <c r="I1086" s="49" t="n">
        <v>16508</v>
      </c>
      <c r="J1086" s="46" t="inlineStr">
        <is>
          <t>EA</t>
        </is>
      </c>
      <c r="K1086" s="50" t="n">
        <v>7.43</v>
      </c>
      <c r="L1086" s="50" t="n">
        <v>100313.23</v>
      </c>
      <c r="M1086" s="46" t="inlineStr">
        <is>
          <t>USD</t>
        </is>
      </c>
      <c r="N1086" s="46" t="inlineStr">
        <is>
          <t>FOB</t>
        </is>
      </c>
      <c r="O1086" s="46" t="inlineStr">
        <is>
          <t>N</t>
        </is>
      </c>
      <c r="P1086" s="50" t="n">
        <v>1379.2959</v>
      </c>
      <c r="Q1086" s="49">
        <f>IF(OR(L1086="",M1086="",P1086=""),"",L1086*P1086)</f>
        <v/>
      </c>
    </row>
    <row r="1087" ht="15" customHeight="1" s="32">
      <c r="A1087" s="46" t="inlineStr">
        <is>
          <t>R-HB-1086</t>
        </is>
      </c>
      <c r="B1087" s="47" t="n">
        <v>45844</v>
      </c>
      <c r="C1087" s="46" t="inlineStr">
        <is>
          <t>2025-07</t>
        </is>
      </c>
      <c r="D1087" s="46" t="n">
        <v>2025</v>
      </c>
      <c r="E1087" s="46" t="inlineStr">
        <is>
          <t>P-HB-002</t>
        </is>
      </c>
      <c r="F1087" s="46" t="inlineStr">
        <is>
          <t>C-HB-09</t>
        </is>
      </c>
      <c r="G1087" s="48" t="inlineStr">
        <is>
          <t>중국</t>
        </is>
      </c>
      <c r="H1087" s="46" t="inlineStr">
        <is>
          <t>CN</t>
        </is>
      </c>
      <c r="I1087" s="49" t="n">
        <v>825</v>
      </c>
      <c r="J1087" s="46" t="inlineStr">
        <is>
          <t>EA</t>
        </is>
      </c>
      <c r="K1087" s="50" t="n">
        <v>1.82</v>
      </c>
      <c r="L1087" s="50" t="n">
        <v>352097.87</v>
      </c>
      <c r="M1087" s="46" t="inlineStr">
        <is>
          <t>USD</t>
        </is>
      </c>
      <c r="N1087" s="46" t="inlineStr">
        <is>
          <t>FOB</t>
        </is>
      </c>
      <c r="O1087" s="46" t="inlineStr">
        <is>
          <t>N</t>
        </is>
      </c>
      <c r="P1087" s="50" t="n">
        <v>1379.2959</v>
      </c>
      <c r="Q1087" s="49">
        <f>IF(OR(L1087="",M1087="",P1087=""),"",L1087*P1087)</f>
        <v/>
      </c>
    </row>
    <row r="1088" ht="15" customHeight="1" s="32">
      <c r="A1088" s="46" t="inlineStr">
        <is>
          <t>R-HB-1087</t>
        </is>
      </c>
      <c r="B1088" s="47" t="n">
        <v>45845</v>
      </c>
      <c r="C1088" s="46" t="inlineStr">
        <is>
          <t>2025-07</t>
        </is>
      </c>
      <c r="D1088" s="46" t="n">
        <v>2025</v>
      </c>
      <c r="E1088" s="46" t="inlineStr">
        <is>
          <t>P-HB-004</t>
        </is>
      </c>
      <c r="F1088" s="46" t="inlineStr">
        <is>
          <t>C-HB-06</t>
        </is>
      </c>
      <c r="G1088" s="48" t="inlineStr">
        <is>
          <t>베트남</t>
        </is>
      </c>
      <c r="H1088" s="46" t="inlineStr">
        <is>
          <t>VN</t>
        </is>
      </c>
      <c r="I1088" s="49" t="n">
        <v>14357</v>
      </c>
      <c r="J1088" s="46" t="inlineStr">
        <is>
          <t>EA</t>
        </is>
      </c>
      <c r="K1088" s="50" t="n">
        <v>15.79</v>
      </c>
      <c r="L1088" s="50" t="n">
        <v>394569.09</v>
      </c>
      <c r="M1088" s="46" t="inlineStr">
        <is>
          <t>USD</t>
        </is>
      </c>
      <c r="N1088" s="46" t="inlineStr">
        <is>
          <t>FOB</t>
        </is>
      </c>
      <c r="O1088" s="46" t="inlineStr">
        <is>
          <t>N</t>
        </is>
      </c>
      <c r="P1088" s="50" t="n">
        <v>1379.2959</v>
      </c>
      <c r="Q1088" s="49">
        <f>IF(OR(L1088="",M1088="",P1088=""),"",L1088*P1088)</f>
        <v/>
      </c>
    </row>
    <row r="1089" ht="15" customHeight="1" s="32">
      <c r="A1089" s="46" t="inlineStr">
        <is>
          <t>R-HB-1088</t>
        </is>
      </c>
      <c r="B1089" s="47" t="n">
        <v>45845</v>
      </c>
      <c r="C1089" s="46" t="inlineStr">
        <is>
          <t>2025-07</t>
        </is>
      </c>
      <c r="D1089" s="46" t="n">
        <v>2025</v>
      </c>
      <c r="E1089" s="46" t="inlineStr">
        <is>
          <t>P-HB-001</t>
        </is>
      </c>
      <c r="F1089" s="46" t="inlineStr">
        <is>
          <t>C-HB-08</t>
        </is>
      </c>
      <c r="G1089" s="48" t="inlineStr">
        <is>
          <t>중국</t>
        </is>
      </c>
      <c r="H1089" s="46" t="inlineStr">
        <is>
          <t>CN</t>
        </is>
      </c>
      <c r="I1089" s="49" t="n">
        <v>210901</v>
      </c>
      <c r="J1089" s="46" t="inlineStr">
        <is>
          <t>EA</t>
        </is>
      </c>
      <c r="K1089" s="50" t="n">
        <v>94.91</v>
      </c>
      <c r="L1089" s="50" t="n">
        <v>1236915.8</v>
      </c>
      <c r="M1089" s="46" t="inlineStr">
        <is>
          <t>USD</t>
        </is>
      </c>
      <c r="N1089" s="46" t="inlineStr">
        <is>
          <t>FOB</t>
        </is>
      </c>
      <c r="O1089" s="46" t="inlineStr">
        <is>
          <t>N</t>
        </is>
      </c>
      <c r="P1089" s="50" t="n">
        <v>1379.2959</v>
      </c>
      <c r="Q1089" s="49">
        <f>IF(OR(L1089="",M1089="",P1089=""),"",L1089*P1089)</f>
        <v/>
      </c>
    </row>
    <row r="1090" ht="15" customHeight="1" s="32">
      <c r="A1090" s="46" t="inlineStr">
        <is>
          <t>R-HB-1089</t>
        </is>
      </c>
      <c r="B1090" s="47" t="n">
        <v>45846</v>
      </c>
      <c r="C1090" s="46" t="inlineStr">
        <is>
          <t>2025-07</t>
        </is>
      </c>
      <c r="D1090" s="46" t="n">
        <v>2025</v>
      </c>
      <c r="E1090" s="46" t="inlineStr">
        <is>
          <t>P-HB-002</t>
        </is>
      </c>
      <c r="F1090" s="46" t="inlineStr">
        <is>
          <t>C-HB-04</t>
        </is>
      </c>
      <c r="G1090" s="48" t="inlineStr">
        <is>
          <t>캐나다</t>
        </is>
      </c>
      <c r="H1090" s="46" t="inlineStr">
        <is>
          <t>CA</t>
        </is>
      </c>
      <c r="I1090" s="49" t="n">
        <v>97</v>
      </c>
      <c r="J1090" s="46" t="inlineStr">
        <is>
          <t>EA</t>
        </is>
      </c>
      <c r="K1090" s="50" t="n">
        <v>0.21</v>
      </c>
      <c r="L1090" s="50" t="n">
        <v>39364.06</v>
      </c>
      <c r="M1090" s="46" t="inlineStr">
        <is>
          <t>USD</t>
        </is>
      </c>
      <c r="N1090" s="46" t="inlineStr">
        <is>
          <t>FOB</t>
        </is>
      </c>
      <c r="O1090" s="46" t="inlineStr">
        <is>
          <t>N</t>
        </is>
      </c>
      <c r="P1090" s="50" t="n">
        <v>1379.2959</v>
      </c>
      <c r="Q1090" s="49">
        <f>IF(OR(L1090="",M1090="",P1090=""),"",L1090*P1090)</f>
        <v/>
      </c>
    </row>
    <row r="1091" ht="15" customHeight="1" s="32">
      <c r="A1091" s="46" t="inlineStr">
        <is>
          <t>R-HB-1090</t>
        </is>
      </c>
      <c r="B1091" s="47" t="n">
        <v>45846</v>
      </c>
      <c r="C1091" s="46" t="inlineStr">
        <is>
          <t>2025-07</t>
        </is>
      </c>
      <c r="D1091" s="46" t="n">
        <v>2025</v>
      </c>
      <c r="E1091" s="46" t="inlineStr">
        <is>
          <t>P-HB-001</t>
        </is>
      </c>
      <c r="F1091" s="46" t="inlineStr">
        <is>
          <t>C-HB-09</t>
        </is>
      </c>
      <c r="G1091" s="48" t="inlineStr">
        <is>
          <t>중국</t>
        </is>
      </c>
      <c r="H1091" s="46" t="inlineStr">
        <is>
          <t>CN</t>
        </is>
      </c>
      <c r="I1091" s="49" t="n">
        <v>123986</v>
      </c>
      <c r="J1091" s="46" t="inlineStr">
        <is>
          <t>EA</t>
        </is>
      </c>
      <c r="K1091" s="50" t="n">
        <v>55.79</v>
      </c>
      <c r="L1091" s="50" t="n">
        <v>751684.12</v>
      </c>
      <c r="M1091" s="46" t="inlineStr">
        <is>
          <t>USD</t>
        </is>
      </c>
      <c r="N1091" s="46" t="inlineStr">
        <is>
          <t>FOB</t>
        </is>
      </c>
      <c r="O1091" s="46" t="inlineStr">
        <is>
          <t>N</t>
        </is>
      </c>
      <c r="P1091" s="50" t="n">
        <v>1379.2959</v>
      </c>
      <c r="Q1091" s="49">
        <f>IF(OR(L1091="",M1091="",P1091=""),"",L1091*P1091)</f>
        <v/>
      </c>
    </row>
    <row r="1092" ht="15" customHeight="1" s="32">
      <c r="A1092" s="46" t="inlineStr">
        <is>
          <t>R-HB-1091</t>
        </is>
      </c>
      <c r="B1092" s="47" t="n">
        <v>45847</v>
      </c>
      <c r="C1092" s="46" t="inlineStr">
        <is>
          <t>2025-07</t>
        </is>
      </c>
      <c r="D1092" s="46" t="n">
        <v>2025</v>
      </c>
      <c r="E1092" s="46" t="inlineStr">
        <is>
          <t>P-HB-001</t>
        </is>
      </c>
      <c r="F1092" s="46" t="inlineStr">
        <is>
          <t>C-HB-02</t>
        </is>
      </c>
      <c r="G1092" s="48" t="inlineStr">
        <is>
          <t>미국</t>
        </is>
      </c>
      <c r="H1092" s="46" t="inlineStr">
        <is>
          <t>US</t>
        </is>
      </c>
      <c r="I1092" s="49" t="n">
        <v>103786</v>
      </c>
      <c r="J1092" s="46" t="inlineStr">
        <is>
          <t>EA</t>
        </is>
      </c>
      <c r="K1092" s="50" t="n">
        <v>46.7</v>
      </c>
      <c r="L1092" s="50" t="n">
        <v>599793.27</v>
      </c>
      <c r="M1092" s="46" t="inlineStr">
        <is>
          <t>USD</t>
        </is>
      </c>
      <c r="N1092" s="46" t="inlineStr">
        <is>
          <t>FOB</t>
        </is>
      </c>
      <c r="O1092" s="46" t="inlineStr">
        <is>
          <t>N</t>
        </is>
      </c>
      <c r="P1092" s="50" t="n">
        <v>1379.2959</v>
      </c>
      <c r="Q1092" s="49">
        <f>IF(OR(L1092="",M1092="",P1092=""),"",L1092*P1092)</f>
        <v/>
      </c>
    </row>
    <row r="1093" ht="15" customHeight="1" s="32">
      <c r="A1093" s="46" t="inlineStr">
        <is>
          <t>R-HB-1092</t>
        </is>
      </c>
      <c r="B1093" s="47" t="n">
        <v>45847</v>
      </c>
      <c r="C1093" s="46" t="inlineStr">
        <is>
          <t>2025-07</t>
        </is>
      </c>
      <c r="D1093" s="46" t="n">
        <v>2025</v>
      </c>
      <c r="E1093" s="46" t="inlineStr">
        <is>
          <t>P-HB-004</t>
        </is>
      </c>
      <c r="F1093" s="46" t="inlineStr">
        <is>
          <t>C-HB-07</t>
        </is>
      </c>
      <c r="G1093" s="48" t="inlineStr">
        <is>
          <t>인도</t>
        </is>
      </c>
      <c r="H1093" s="46" t="inlineStr">
        <is>
          <t>IN</t>
        </is>
      </c>
      <c r="I1093" s="49" t="n">
        <v>8842</v>
      </c>
      <c r="J1093" s="46" t="inlineStr">
        <is>
          <t>EA</t>
        </is>
      </c>
      <c r="K1093" s="50" t="n">
        <v>9.73</v>
      </c>
      <c r="L1093" s="50" t="n">
        <v>255544.07</v>
      </c>
      <c r="M1093" s="46" t="inlineStr">
        <is>
          <t>USD</t>
        </is>
      </c>
      <c r="N1093" s="46" t="inlineStr">
        <is>
          <t>FOB</t>
        </is>
      </c>
      <c r="O1093" s="46" t="inlineStr">
        <is>
          <t>N</t>
        </is>
      </c>
      <c r="P1093" s="50" t="n">
        <v>1379.2959</v>
      </c>
      <c r="Q1093" s="49">
        <f>IF(OR(L1093="",M1093="",P1093=""),"",L1093*P1093)</f>
        <v/>
      </c>
    </row>
    <row r="1094" ht="15" customHeight="1" s="32">
      <c r="A1094" s="46" t="inlineStr">
        <is>
          <t>R-HB-1093</t>
        </is>
      </c>
      <c r="B1094" s="47" t="n">
        <v>45847</v>
      </c>
      <c r="C1094" s="46" t="inlineStr">
        <is>
          <t>2025-07</t>
        </is>
      </c>
      <c r="D1094" s="46" t="n">
        <v>2025</v>
      </c>
      <c r="E1094" s="46" t="inlineStr">
        <is>
          <t>P-HB-004</t>
        </is>
      </c>
      <c r="F1094" s="46" t="inlineStr">
        <is>
          <t>C-HB-08</t>
        </is>
      </c>
      <c r="G1094" s="48" t="inlineStr">
        <is>
          <t>중국</t>
        </is>
      </c>
      <c r="H1094" s="46" t="inlineStr">
        <is>
          <t>CN</t>
        </is>
      </c>
      <c r="I1094" s="49" t="n">
        <v>21578</v>
      </c>
      <c r="J1094" s="46" t="inlineStr">
        <is>
          <t>EA</t>
        </is>
      </c>
      <c r="K1094" s="50" t="n">
        <v>23.74</v>
      </c>
      <c r="L1094" s="50" t="n">
        <v>619286.5600000001</v>
      </c>
      <c r="M1094" s="46" t="inlineStr">
        <is>
          <t>USD</t>
        </is>
      </c>
      <c r="N1094" s="46" t="inlineStr">
        <is>
          <t>FOB</t>
        </is>
      </c>
      <c r="O1094" s="46" t="inlineStr">
        <is>
          <t>N</t>
        </is>
      </c>
      <c r="P1094" s="50" t="n">
        <v>1379.2959</v>
      </c>
      <c r="Q1094" s="49">
        <f>IF(OR(L1094="",M1094="",P1094=""),"",L1094*P1094)</f>
        <v/>
      </c>
    </row>
    <row r="1095" ht="15" customHeight="1" s="32">
      <c r="A1095" s="46" t="inlineStr">
        <is>
          <t>R-HB-1094</t>
        </is>
      </c>
      <c r="B1095" s="47" t="n">
        <v>45850</v>
      </c>
      <c r="C1095" s="46" t="inlineStr">
        <is>
          <t>2025-07</t>
        </is>
      </c>
      <c r="D1095" s="46" t="n">
        <v>2025</v>
      </c>
      <c r="E1095" s="46" t="inlineStr">
        <is>
          <t>P-HB-002</t>
        </is>
      </c>
      <c r="F1095" s="46" t="inlineStr">
        <is>
          <t>C-HB-01</t>
        </is>
      </c>
      <c r="G1095" s="48" t="inlineStr">
        <is>
          <t>미국</t>
        </is>
      </c>
      <c r="H1095" s="46" t="inlineStr">
        <is>
          <t>US</t>
        </is>
      </c>
      <c r="I1095" s="49" t="n">
        <v>1054</v>
      </c>
      <c r="J1095" s="46" t="inlineStr">
        <is>
          <t>EA</t>
        </is>
      </c>
      <c r="K1095" s="50" t="n">
        <v>2.32</v>
      </c>
      <c r="L1095" s="50" t="n">
        <v>435954.13</v>
      </c>
      <c r="M1095" s="46" t="inlineStr">
        <is>
          <t>USD</t>
        </is>
      </c>
      <c r="N1095" s="46" t="inlineStr">
        <is>
          <t>FOB</t>
        </is>
      </c>
      <c r="O1095" s="46" t="inlineStr">
        <is>
          <t>N</t>
        </is>
      </c>
      <c r="P1095" s="50" t="n">
        <v>1379.2959</v>
      </c>
      <c r="Q1095" s="49">
        <f>IF(OR(L1095="",M1095="",P1095=""),"",L1095*P1095)</f>
        <v/>
      </c>
    </row>
    <row r="1096" ht="15" customHeight="1" s="32">
      <c r="A1096" s="46" t="inlineStr">
        <is>
          <t>R-HB-1095</t>
        </is>
      </c>
      <c r="B1096" s="47" t="n">
        <v>45850</v>
      </c>
      <c r="C1096" s="46" t="inlineStr">
        <is>
          <t>2025-07</t>
        </is>
      </c>
      <c r="D1096" s="46" t="n">
        <v>2025</v>
      </c>
      <c r="E1096" s="46" t="inlineStr">
        <is>
          <t>P-HB-003</t>
        </is>
      </c>
      <c r="F1096" s="46" t="inlineStr">
        <is>
          <t>C-HB-06</t>
        </is>
      </c>
      <c r="G1096" s="48" t="inlineStr">
        <is>
          <t>베트남</t>
        </is>
      </c>
      <c r="H1096" s="46" t="inlineStr">
        <is>
          <t>VN</t>
        </is>
      </c>
      <c r="I1096" s="49" t="n">
        <v>38109</v>
      </c>
      <c r="J1096" s="46" t="inlineStr">
        <is>
          <t>EA</t>
        </is>
      </c>
      <c r="K1096" s="50" t="n">
        <v>24.77</v>
      </c>
      <c r="L1096" s="50" t="n">
        <v>323797.03</v>
      </c>
      <c r="M1096" s="46" t="inlineStr">
        <is>
          <t>USD</t>
        </is>
      </c>
      <c r="N1096" s="46" t="inlineStr">
        <is>
          <t>FOB</t>
        </is>
      </c>
      <c r="O1096" s="46" t="inlineStr">
        <is>
          <t>N</t>
        </is>
      </c>
      <c r="P1096" s="50" t="n">
        <v>1379.2959</v>
      </c>
      <c r="Q1096" s="49">
        <f>IF(OR(L1096="",M1096="",P1096=""),"",L1096*P1096)</f>
        <v/>
      </c>
    </row>
    <row r="1097" ht="15" customHeight="1" s="32">
      <c r="A1097" s="46" t="inlineStr">
        <is>
          <t>R-HB-1096</t>
        </is>
      </c>
      <c r="B1097" s="47" t="n">
        <v>45850</v>
      </c>
      <c r="C1097" s="46" t="inlineStr">
        <is>
          <t>2025-07</t>
        </is>
      </c>
      <c r="D1097" s="46" t="n">
        <v>2025</v>
      </c>
      <c r="E1097" s="46" t="inlineStr">
        <is>
          <t>P-HB-003</t>
        </is>
      </c>
      <c r="F1097" s="46" t="inlineStr">
        <is>
          <t>C-HB-07</t>
        </is>
      </c>
      <c r="G1097" s="48" t="inlineStr">
        <is>
          <t>인도</t>
        </is>
      </c>
      <c r="H1097" s="46" t="inlineStr">
        <is>
          <t>IN</t>
        </is>
      </c>
      <c r="I1097" s="49" t="n">
        <v>25344</v>
      </c>
      <c r="J1097" s="46" t="inlineStr">
        <is>
          <t>EA</t>
        </is>
      </c>
      <c r="K1097" s="50" t="n">
        <v>16.47</v>
      </c>
      <c r="L1097" s="50" t="n">
        <v>216755.47</v>
      </c>
      <c r="M1097" s="46" t="inlineStr">
        <is>
          <t>USD</t>
        </is>
      </c>
      <c r="N1097" s="46" t="inlineStr">
        <is>
          <t>FOB</t>
        </is>
      </c>
      <c r="O1097" s="46" t="inlineStr">
        <is>
          <t>N</t>
        </is>
      </c>
      <c r="P1097" s="50" t="n">
        <v>1379.2959</v>
      </c>
      <c r="Q1097" s="49">
        <f>IF(OR(L1097="",M1097="",P1097=""),"",L1097*P1097)</f>
        <v/>
      </c>
    </row>
    <row r="1098" ht="15" customHeight="1" s="32">
      <c r="A1098" s="46" t="inlineStr">
        <is>
          <t>R-HB-1097</t>
        </is>
      </c>
      <c r="B1098" s="47" t="n">
        <v>45851</v>
      </c>
      <c r="C1098" s="46" t="inlineStr">
        <is>
          <t>2025-07</t>
        </is>
      </c>
      <c r="D1098" s="46" t="n">
        <v>2025</v>
      </c>
      <c r="E1098" s="46" t="inlineStr">
        <is>
          <t>P-HB-001</t>
        </is>
      </c>
      <c r="F1098" s="46" t="inlineStr">
        <is>
          <t>C-HB-03</t>
        </is>
      </c>
      <c r="G1098" s="48" t="inlineStr">
        <is>
          <t>멕시코</t>
        </is>
      </c>
      <c r="H1098" s="46" t="inlineStr">
        <is>
          <t>MX</t>
        </is>
      </c>
      <c r="I1098" s="49" t="n">
        <v>31613</v>
      </c>
      <c r="J1098" s="46" t="inlineStr">
        <is>
          <t>EA</t>
        </is>
      </c>
      <c r="K1098" s="50" t="n">
        <v>14.23</v>
      </c>
      <c r="L1098" s="50" t="n">
        <v>188243.41</v>
      </c>
      <c r="M1098" s="46" t="inlineStr">
        <is>
          <t>USD</t>
        </is>
      </c>
      <c r="N1098" s="46" t="inlineStr">
        <is>
          <t>FOB</t>
        </is>
      </c>
      <c r="O1098" s="46" t="inlineStr">
        <is>
          <t>N</t>
        </is>
      </c>
      <c r="P1098" s="50" t="n">
        <v>1379.2959</v>
      </c>
      <c r="Q1098" s="49">
        <f>IF(OR(L1098="",M1098="",P1098=""),"",L1098*P1098)</f>
        <v/>
      </c>
    </row>
    <row r="1099" ht="15" customHeight="1" s="32">
      <c r="A1099" s="46" t="inlineStr">
        <is>
          <t>R-HB-1098</t>
        </is>
      </c>
      <c r="B1099" s="47" t="n">
        <v>45851</v>
      </c>
      <c r="C1099" s="46" t="inlineStr">
        <is>
          <t>2025-07</t>
        </is>
      </c>
      <c r="D1099" s="46" t="n">
        <v>2025</v>
      </c>
      <c r="E1099" s="46" t="inlineStr">
        <is>
          <t>P-HB-002</t>
        </is>
      </c>
      <c r="F1099" s="46" t="inlineStr">
        <is>
          <t>C-HB-03</t>
        </is>
      </c>
      <c r="G1099" s="48" t="inlineStr">
        <is>
          <t>멕시코</t>
        </is>
      </c>
      <c r="H1099" s="46" t="inlineStr">
        <is>
          <t>MX</t>
        </is>
      </c>
      <c r="I1099" s="49" t="n">
        <v>208</v>
      </c>
      <c r="J1099" s="46" t="inlineStr">
        <is>
          <t>EA</t>
        </is>
      </c>
      <c r="K1099" s="50" t="n">
        <v>0.46</v>
      </c>
      <c r="L1099" s="50" t="n">
        <v>87591.00999999999</v>
      </c>
      <c r="M1099" s="46" t="inlineStr">
        <is>
          <t>USD</t>
        </is>
      </c>
      <c r="N1099" s="46" t="inlineStr">
        <is>
          <t>FOB</t>
        </is>
      </c>
      <c r="O1099" s="46" t="inlineStr">
        <is>
          <t>N</t>
        </is>
      </c>
      <c r="P1099" s="50" t="n">
        <v>1379.2959</v>
      </c>
      <c r="Q1099" s="49">
        <f>IF(OR(L1099="",M1099="",P1099=""),"",L1099*P1099)</f>
        <v/>
      </c>
    </row>
    <row r="1100" ht="15" customHeight="1" s="32">
      <c r="A1100" s="46" t="inlineStr">
        <is>
          <t>R-HB-1099</t>
        </is>
      </c>
      <c r="B1100" s="47" t="n">
        <v>45851</v>
      </c>
      <c r="C1100" s="46" t="inlineStr">
        <is>
          <t>2025-07</t>
        </is>
      </c>
      <c r="D1100" s="46" t="n">
        <v>2025</v>
      </c>
      <c r="E1100" s="46" t="inlineStr">
        <is>
          <t>P-HB-003</t>
        </is>
      </c>
      <c r="F1100" s="46" t="inlineStr">
        <is>
          <t>C-HB-08</t>
        </is>
      </c>
      <c r="G1100" s="48" t="inlineStr">
        <is>
          <t>중국</t>
        </is>
      </c>
      <c r="H1100" s="46" t="inlineStr">
        <is>
          <t>CN</t>
        </is>
      </c>
      <c r="I1100" s="49" t="n">
        <v>62201</v>
      </c>
      <c r="J1100" s="46" t="inlineStr">
        <is>
          <t>EA</t>
        </is>
      </c>
      <c r="K1100" s="50" t="n">
        <v>40.43</v>
      </c>
      <c r="L1100" s="50" t="n">
        <v>502331.12</v>
      </c>
      <c r="M1100" s="46" t="inlineStr">
        <is>
          <t>USD</t>
        </is>
      </c>
      <c r="N1100" s="46" t="inlineStr">
        <is>
          <t>FOB</t>
        </is>
      </c>
      <c r="O1100" s="46" t="inlineStr">
        <is>
          <t>N</t>
        </is>
      </c>
      <c r="P1100" s="50" t="n">
        <v>1379.2959</v>
      </c>
      <c r="Q1100" s="49">
        <f>IF(OR(L1100="",M1100="",P1100=""),"",L1100*P1100)</f>
        <v/>
      </c>
    </row>
    <row r="1101" ht="15" customHeight="1" s="32">
      <c r="A1101" s="46" t="inlineStr">
        <is>
          <t>R-HB-1100</t>
        </is>
      </c>
      <c r="B1101" s="47" t="n">
        <v>45854</v>
      </c>
      <c r="C1101" s="46" t="inlineStr">
        <is>
          <t>2025-07</t>
        </is>
      </c>
      <c r="D1101" s="46" t="n">
        <v>2025</v>
      </c>
      <c r="E1101" s="46" t="inlineStr">
        <is>
          <t>P-HB-002</t>
        </is>
      </c>
      <c r="F1101" s="46" t="inlineStr">
        <is>
          <t>C-HB-02</t>
        </is>
      </c>
      <c r="G1101" s="48" t="inlineStr">
        <is>
          <t>미국</t>
        </is>
      </c>
      <c r="H1101" s="46" t="inlineStr">
        <is>
          <t>US</t>
        </is>
      </c>
      <c r="I1101" s="49" t="n">
        <v>605</v>
      </c>
      <c r="J1101" s="46" t="inlineStr">
        <is>
          <t>EA</t>
        </is>
      </c>
      <c r="K1101" s="50" t="n">
        <v>1.33</v>
      </c>
      <c r="L1101" s="50" t="n">
        <v>247633.01</v>
      </c>
      <c r="M1101" s="46" t="inlineStr">
        <is>
          <t>USD</t>
        </is>
      </c>
      <c r="N1101" s="46" t="inlineStr">
        <is>
          <t>FOB</t>
        </is>
      </c>
      <c r="O1101" s="46" t="inlineStr">
        <is>
          <t>N</t>
        </is>
      </c>
      <c r="P1101" s="50" t="n">
        <v>1379.2959</v>
      </c>
      <c r="Q1101" s="49">
        <f>IF(OR(L1101="",M1101="",P1101=""),"",L1101*P1101)</f>
        <v/>
      </c>
    </row>
    <row r="1102" ht="15" customHeight="1" s="32">
      <c r="A1102" s="46" t="inlineStr">
        <is>
          <t>R-HB-1101</t>
        </is>
      </c>
      <c r="B1102" s="47" t="n">
        <v>45854</v>
      </c>
      <c r="C1102" s="46" t="inlineStr">
        <is>
          <t>2025-07</t>
        </is>
      </c>
      <c r="D1102" s="46" t="n">
        <v>2025</v>
      </c>
      <c r="E1102" s="46" t="inlineStr">
        <is>
          <t>P-HB-003</t>
        </is>
      </c>
      <c r="F1102" s="46" t="inlineStr">
        <is>
          <t>C-HB-04</t>
        </is>
      </c>
      <c r="G1102" s="48" t="inlineStr">
        <is>
          <t>캐나다</t>
        </is>
      </c>
      <c r="H1102" s="46" t="inlineStr">
        <is>
          <t>CA</t>
        </is>
      </c>
      <c r="I1102" s="49" t="n">
        <v>4750</v>
      </c>
      <c r="J1102" s="46" t="inlineStr">
        <is>
          <t>EA</t>
        </is>
      </c>
      <c r="K1102" s="50" t="n">
        <v>3.09</v>
      </c>
      <c r="L1102" s="50" t="n">
        <v>40588.87</v>
      </c>
      <c r="M1102" s="46" t="inlineStr">
        <is>
          <t>USD</t>
        </is>
      </c>
      <c r="N1102" s="46" t="inlineStr">
        <is>
          <t>FOB</t>
        </is>
      </c>
      <c r="O1102" s="46" t="inlineStr">
        <is>
          <t>N</t>
        </is>
      </c>
      <c r="P1102" s="50" t="n">
        <v>1379.2959</v>
      </c>
      <c r="Q1102" s="49">
        <f>IF(OR(L1102="",M1102="",P1102=""),"",L1102*P1102)</f>
        <v/>
      </c>
    </row>
    <row r="1103" ht="15" customHeight="1" s="32">
      <c r="A1103" s="46" t="inlineStr">
        <is>
          <t>R-HB-1102</t>
        </is>
      </c>
      <c r="B1103" s="47" t="n">
        <v>45854</v>
      </c>
      <c r="C1103" s="46" t="inlineStr">
        <is>
          <t>2025-07</t>
        </is>
      </c>
      <c r="D1103" s="46" t="n">
        <v>2025</v>
      </c>
      <c r="E1103" s="46" t="inlineStr">
        <is>
          <t>P-HB-002</t>
        </is>
      </c>
      <c r="F1103" s="46" t="inlineStr">
        <is>
          <t>C-HB-07</t>
        </is>
      </c>
      <c r="G1103" s="48" t="inlineStr">
        <is>
          <t>인도</t>
        </is>
      </c>
      <c r="H1103" s="46" t="inlineStr">
        <is>
          <t>IN</t>
        </is>
      </c>
      <c r="I1103" s="49" t="n">
        <v>534</v>
      </c>
      <c r="J1103" s="46" t="inlineStr">
        <is>
          <t>EA</t>
        </is>
      </c>
      <c r="K1103" s="50" t="n">
        <v>1.17</v>
      </c>
      <c r="L1103" s="50" t="n">
        <v>225896.37</v>
      </c>
      <c r="M1103" s="46" t="inlineStr">
        <is>
          <t>USD</t>
        </is>
      </c>
      <c r="N1103" s="46" t="inlineStr">
        <is>
          <t>FOB</t>
        </is>
      </c>
      <c r="O1103" s="46" t="inlineStr">
        <is>
          <t>N</t>
        </is>
      </c>
      <c r="P1103" s="50" t="n">
        <v>1379.2959</v>
      </c>
      <c r="Q1103" s="49">
        <f>IF(OR(L1103="",M1103="",P1103=""),"",L1103*P1103)</f>
        <v/>
      </c>
    </row>
    <row r="1104" ht="15" customHeight="1" s="32">
      <c r="A1104" s="46" t="inlineStr">
        <is>
          <t>R-HB-1103</t>
        </is>
      </c>
      <c r="B1104" s="47" t="n">
        <v>45855</v>
      </c>
      <c r="C1104" s="46" t="inlineStr">
        <is>
          <t>2025-07</t>
        </is>
      </c>
      <c r="D1104" s="46" t="n">
        <v>2025</v>
      </c>
      <c r="E1104" s="46" t="inlineStr">
        <is>
          <t>P-HB-004</t>
        </is>
      </c>
      <c r="F1104" s="46" t="inlineStr">
        <is>
          <t>C-HB-03</t>
        </is>
      </c>
      <c r="G1104" s="48" t="inlineStr">
        <is>
          <t>멕시코</t>
        </is>
      </c>
      <c r="H1104" s="46" t="inlineStr">
        <is>
          <t>MX</t>
        </is>
      </c>
      <c r="I1104" s="49" t="n">
        <v>3172</v>
      </c>
      <c r="J1104" s="46" t="inlineStr">
        <is>
          <t>EA</t>
        </is>
      </c>
      <c r="K1104" s="50" t="n">
        <v>3.49</v>
      </c>
      <c r="L1104" s="50" t="n">
        <v>86774.25999999999</v>
      </c>
      <c r="M1104" s="46" t="inlineStr">
        <is>
          <t>USD</t>
        </is>
      </c>
      <c r="N1104" s="46" t="inlineStr">
        <is>
          <t>FOB</t>
        </is>
      </c>
      <c r="O1104" s="46" t="inlineStr">
        <is>
          <t>N</t>
        </is>
      </c>
      <c r="P1104" s="50" t="n">
        <v>1379.2959</v>
      </c>
      <c r="Q1104" s="49">
        <f>IF(OR(L1104="",M1104="",P1104=""),"",L1104*P1104)</f>
        <v/>
      </c>
    </row>
    <row r="1105" ht="15" customHeight="1" s="32">
      <c r="A1105" s="46" t="inlineStr">
        <is>
          <t>R-HB-1104</t>
        </is>
      </c>
      <c r="B1105" s="47" t="n">
        <v>45855</v>
      </c>
      <c r="C1105" s="46" t="inlineStr">
        <is>
          <t>2025-07</t>
        </is>
      </c>
      <c r="D1105" s="46" t="n">
        <v>2025</v>
      </c>
      <c r="E1105" s="46" t="inlineStr">
        <is>
          <t>P-HB-004</t>
        </is>
      </c>
      <c r="F1105" s="46" t="inlineStr">
        <is>
          <t>C-HB-09</t>
        </is>
      </c>
      <c r="G1105" s="48" t="inlineStr">
        <is>
          <t>중국</t>
        </is>
      </c>
      <c r="H1105" s="46" t="inlineStr">
        <is>
          <t>CN</t>
        </is>
      </c>
      <c r="I1105" s="49" t="n">
        <v>14092</v>
      </c>
      <c r="J1105" s="46" t="inlineStr">
        <is>
          <t>EA</t>
        </is>
      </c>
      <c r="K1105" s="50" t="n">
        <v>15.5</v>
      </c>
      <c r="L1105" s="50" t="n">
        <v>405462.16</v>
      </c>
      <c r="M1105" s="46" t="inlineStr">
        <is>
          <t>USD</t>
        </is>
      </c>
      <c r="N1105" s="46" t="inlineStr">
        <is>
          <t>FOB</t>
        </is>
      </c>
      <c r="O1105" s="46" t="inlineStr">
        <is>
          <t>N</t>
        </is>
      </c>
      <c r="P1105" s="50" t="n">
        <v>1379.2959</v>
      </c>
      <c r="Q1105" s="49">
        <f>IF(OR(L1105="",M1105="",P1105=""),"",L1105*P1105)</f>
        <v/>
      </c>
    </row>
    <row r="1106" ht="15" customHeight="1" s="32">
      <c r="A1106" s="46" t="inlineStr">
        <is>
          <t>R-HB-1105</t>
        </is>
      </c>
      <c r="B1106" s="47" t="n">
        <v>45856</v>
      </c>
      <c r="C1106" s="46" t="inlineStr">
        <is>
          <t>2025-07</t>
        </is>
      </c>
      <c r="D1106" s="46" t="n">
        <v>2025</v>
      </c>
      <c r="E1106" s="46" t="inlineStr">
        <is>
          <t>P-HB-002</t>
        </is>
      </c>
      <c r="F1106" s="46" t="inlineStr">
        <is>
          <t>C-HB-05</t>
        </is>
      </c>
      <c r="G1106" s="48" t="inlineStr">
        <is>
          <t>독일</t>
        </is>
      </c>
      <c r="H1106" s="46" t="inlineStr">
        <is>
          <t>DE</t>
        </is>
      </c>
      <c r="I1106" s="49" t="n">
        <v>991</v>
      </c>
      <c r="J1106" s="46" t="inlineStr">
        <is>
          <t>EA</t>
        </is>
      </c>
      <c r="K1106" s="50" t="n">
        <v>2.18</v>
      </c>
      <c r="L1106" s="50" t="n">
        <v>397485.02</v>
      </c>
      <c r="M1106" s="46" t="inlineStr">
        <is>
          <t>USD</t>
        </is>
      </c>
      <c r="N1106" s="46" t="inlineStr">
        <is>
          <t>FOB</t>
        </is>
      </c>
      <c r="O1106" s="46" t="inlineStr">
        <is>
          <t>N</t>
        </is>
      </c>
      <c r="P1106" s="50" t="n">
        <v>1379.2959</v>
      </c>
      <c r="Q1106" s="49">
        <f>IF(OR(L1106="",M1106="",P1106=""),"",L1106*P1106)</f>
        <v/>
      </c>
    </row>
    <row r="1107" ht="15" customHeight="1" s="32">
      <c r="A1107" s="46" t="inlineStr">
        <is>
          <t>R-HB-1106</t>
        </is>
      </c>
      <c r="B1107" s="47" t="n">
        <v>45856</v>
      </c>
      <c r="C1107" s="46" t="inlineStr">
        <is>
          <t>2025-07</t>
        </is>
      </c>
      <c r="D1107" s="46" t="n">
        <v>2025</v>
      </c>
      <c r="E1107" s="46" t="inlineStr">
        <is>
          <t>P-HB-001</t>
        </is>
      </c>
      <c r="F1107" s="46" t="inlineStr">
        <is>
          <t>C-HB-06</t>
        </is>
      </c>
      <c r="G1107" s="48" t="inlineStr">
        <is>
          <t>베트남</t>
        </is>
      </c>
      <c r="H1107" s="46" t="inlineStr">
        <is>
          <t>VN</t>
        </is>
      </c>
      <c r="I1107" s="49" t="n">
        <v>136530</v>
      </c>
      <c r="J1107" s="46" t="inlineStr">
        <is>
          <t>EA</t>
        </is>
      </c>
      <c r="K1107" s="50" t="n">
        <v>61.44</v>
      </c>
      <c r="L1107" s="50" t="n">
        <v>810407.62</v>
      </c>
      <c r="M1107" s="46" t="inlineStr">
        <is>
          <t>USD</t>
        </is>
      </c>
      <c r="N1107" s="46" t="inlineStr">
        <is>
          <t>FOB</t>
        </is>
      </c>
      <c r="O1107" s="46" t="inlineStr">
        <is>
          <t>N</t>
        </is>
      </c>
      <c r="P1107" s="50" t="n">
        <v>1379.2959</v>
      </c>
      <c r="Q1107" s="49">
        <f>IF(OR(L1107="",M1107="",P1107=""),"",L1107*P1107)</f>
        <v/>
      </c>
    </row>
    <row r="1108" ht="15" customHeight="1" s="32">
      <c r="A1108" s="46" t="inlineStr">
        <is>
          <t>R-HB-1107</t>
        </is>
      </c>
      <c r="B1108" s="47" t="n">
        <v>45857</v>
      </c>
      <c r="C1108" s="46" t="inlineStr">
        <is>
          <t>2025-07</t>
        </is>
      </c>
      <c r="D1108" s="46" t="n">
        <v>2025</v>
      </c>
      <c r="E1108" s="46" t="inlineStr">
        <is>
          <t>P-HB-002</t>
        </is>
      </c>
      <c r="F1108" s="46" t="inlineStr">
        <is>
          <t>C-HB-08</t>
        </is>
      </c>
      <c r="G1108" s="48" t="inlineStr">
        <is>
          <t>중국</t>
        </is>
      </c>
      <c r="H1108" s="46" t="inlineStr">
        <is>
          <t>CN</t>
        </is>
      </c>
      <c r="I1108" s="49" t="n">
        <v>1273</v>
      </c>
      <c r="J1108" s="46" t="inlineStr">
        <is>
          <t>EA</t>
        </is>
      </c>
      <c r="K1108" s="50" t="n">
        <v>2.8</v>
      </c>
      <c r="L1108" s="50" t="n">
        <v>511102.66</v>
      </c>
      <c r="M1108" s="46" t="inlineStr">
        <is>
          <t>USD</t>
        </is>
      </c>
      <c r="N1108" s="46" t="inlineStr">
        <is>
          <t>FOB</t>
        </is>
      </c>
      <c r="O1108" s="46" t="inlineStr">
        <is>
          <t>N</t>
        </is>
      </c>
      <c r="P1108" s="50" t="n">
        <v>1379.2959</v>
      </c>
      <c r="Q1108" s="49">
        <f>IF(OR(L1108="",M1108="",P1108=""),"",L1108*P1108)</f>
        <v/>
      </c>
    </row>
    <row r="1109" ht="15" customHeight="1" s="32">
      <c r="A1109" s="46" t="inlineStr">
        <is>
          <t>R-HB-1108</t>
        </is>
      </c>
      <c r="B1109" s="47" t="n">
        <v>45858</v>
      </c>
      <c r="C1109" s="46" t="inlineStr">
        <is>
          <t>2025-07</t>
        </is>
      </c>
      <c r="D1109" s="46" t="n">
        <v>2025</v>
      </c>
      <c r="E1109" s="46" t="inlineStr">
        <is>
          <t>P-HB-003</t>
        </is>
      </c>
      <c r="F1109" s="46" t="inlineStr">
        <is>
          <t>C-HB-01</t>
        </is>
      </c>
      <c r="G1109" s="48" t="inlineStr">
        <is>
          <t>미국</t>
        </is>
      </c>
      <c r="H1109" s="46" t="inlineStr">
        <is>
          <t>US</t>
        </is>
      </c>
      <c r="I1109" s="49" t="n">
        <v>48343</v>
      </c>
      <c r="J1109" s="46" t="inlineStr">
        <is>
          <t>EA</t>
        </is>
      </c>
      <c r="K1109" s="50" t="n">
        <v>31.42</v>
      </c>
      <c r="L1109" s="50" t="n">
        <v>417787.84</v>
      </c>
      <c r="M1109" s="46" t="inlineStr">
        <is>
          <t>USD</t>
        </is>
      </c>
      <c r="N1109" s="46" t="inlineStr">
        <is>
          <t>FOB</t>
        </is>
      </c>
      <c r="O1109" s="46" t="inlineStr">
        <is>
          <t>N</t>
        </is>
      </c>
      <c r="P1109" s="50" t="n">
        <v>1379.2959</v>
      </c>
      <c r="Q1109" s="49">
        <f>IF(OR(L1109="",M1109="",P1109=""),"",L1109*P1109)</f>
        <v/>
      </c>
    </row>
    <row r="1110" ht="15" customHeight="1" s="32">
      <c r="A1110" s="46" t="inlineStr">
        <is>
          <t>R-HB-1109</t>
        </is>
      </c>
      <c r="B1110" s="47" t="n">
        <v>45858</v>
      </c>
      <c r="C1110" s="46" t="inlineStr">
        <is>
          <t>2025-07</t>
        </is>
      </c>
      <c r="D1110" s="46" t="n">
        <v>2025</v>
      </c>
      <c r="E1110" s="46" t="inlineStr">
        <is>
          <t>P-HB-003</t>
        </is>
      </c>
      <c r="F1110" s="46" t="inlineStr">
        <is>
          <t>C-HB-05</t>
        </is>
      </c>
      <c r="G1110" s="48" t="inlineStr">
        <is>
          <t>독일</t>
        </is>
      </c>
      <c r="H1110" s="46" t="inlineStr">
        <is>
          <t>DE</t>
        </is>
      </c>
      <c r="I1110" s="49" t="n">
        <v>39776</v>
      </c>
      <c r="J1110" s="46" t="inlineStr">
        <is>
          <t>EA</t>
        </is>
      </c>
      <c r="K1110" s="50" t="n">
        <v>25.85</v>
      </c>
      <c r="L1110" s="50" t="n">
        <v>327586.37</v>
      </c>
      <c r="M1110" s="46" t="inlineStr">
        <is>
          <t>USD</t>
        </is>
      </c>
      <c r="N1110" s="46" t="inlineStr">
        <is>
          <t>FOB</t>
        </is>
      </c>
      <c r="O1110" s="46" t="inlineStr">
        <is>
          <t>N</t>
        </is>
      </c>
      <c r="P1110" s="50" t="n">
        <v>1379.2959</v>
      </c>
      <c r="Q1110" s="49">
        <f>IF(OR(L1110="",M1110="",P1110=""),"",L1110*P1110)</f>
        <v/>
      </c>
    </row>
    <row r="1111" ht="15" customHeight="1" s="32">
      <c r="A1111" s="46" t="inlineStr">
        <is>
          <t>R-HB-1110</t>
        </is>
      </c>
      <c r="B1111" s="47" t="n">
        <v>45859</v>
      </c>
      <c r="C1111" s="46" t="inlineStr">
        <is>
          <t>2025-07</t>
        </is>
      </c>
      <c r="D1111" s="46" t="n">
        <v>2025</v>
      </c>
      <c r="E1111" s="46" t="inlineStr">
        <is>
          <t>P-HB-001</t>
        </is>
      </c>
      <c r="F1111" s="46" t="inlineStr">
        <is>
          <t>C-HB-01</t>
        </is>
      </c>
      <c r="G1111" s="48" t="inlineStr">
        <is>
          <t>미국</t>
        </is>
      </c>
      <c r="H1111" s="46" t="inlineStr">
        <is>
          <t>US</t>
        </is>
      </c>
      <c r="I1111" s="49" t="n">
        <v>207027</v>
      </c>
      <c r="J1111" s="46" t="inlineStr">
        <is>
          <t>EA</t>
        </is>
      </c>
      <c r="K1111" s="50" t="n">
        <v>93.16</v>
      </c>
      <c r="L1111" s="50" t="n">
        <v>1199467.93</v>
      </c>
      <c r="M1111" s="46" t="inlineStr">
        <is>
          <t>USD</t>
        </is>
      </c>
      <c r="N1111" s="46" t="inlineStr">
        <is>
          <t>FOB</t>
        </is>
      </c>
      <c r="O1111" s="46" t="inlineStr">
        <is>
          <t>N</t>
        </is>
      </c>
      <c r="P1111" s="50" t="n">
        <v>1379.2959</v>
      </c>
      <c r="Q1111" s="49">
        <f>IF(OR(L1111="",M1111="",P1111=""),"",L1111*P1111)</f>
        <v/>
      </c>
    </row>
    <row r="1112" ht="15" customHeight="1" s="32">
      <c r="A1112" s="46" t="inlineStr">
        <is>
          <t>R-HB-1111</t>
        </is>
      </c>
      <c r="B1112" s="47" t="n">
        <v>45861</v>
      </c>
      <c r="C1112" s="46" t="inlineStr">
        <is>
          <t>2025-07</t>
        </is>
      </c>
      <c r="D1112" s="46" t="n">
        <v>2025</v>
      </c>
      <c r="E1112" s="46" t="inlineStr">
        <is>
          <t>P-HB-003</t>
        </is>
      </c>
      <c r="F1112" s="46" t="inlineStr">
        <is>
          <t>C-HB-03</t>
        </is>
      </c>
      <c r="G1112" s="48" t="inlineStr">
        <is>
          <t>멕시코</t>
        </is>
      </c>
      <c r="H1112" s="46" t="inlineStr">
        <is>
          <t>MX</t>
        </is>
      </c>
      <c r="I1112" s="49" t="n">
        <v>8987</v>
      </c>
      <c r="J1112" s="46" t="inlineStr">
        <is>
          <t>EA</t>
        </is>
      </c>
      <c r="K1112" s="50" t="n">
        <v>5.84</v>
      </c>
      <c r="L1112" s="50" t="n">
        <v>76256.22</v>
      </c>
      <c r="M1112" s="46" t="inlineStr">
        <is>
          <t>USD</t>
        </is>
      </c>
      <c r="N1112" s="46" t="inlineStr">
        <is>
          <t>FOB</t>
        </is>
      </c>
      <c r="O1112" s="46" t="inlineStr">
        <is>
          <t>N</t>
        </is>
      </c>
      <c r="P1112" s="50" t="n">
        <v>1379.2959</v>
      </c>
      <c r="Q1112" s="49">
        <f>IF(OR(L1112="",M1112="",P1112=""),"",L1112*P1112)</f>
        <v/>
      </c>
    </row>
    <row r="1113" ht="15" customHeight="1" s="32">
      <c r="A1113" s="46" t="inlineStr">
        <is>
          <t>R-HB-1112</t>
        </is>
      </c>
      <c r="B1113" s="47" t="n">
        <v>45861</v>
      </c>
      <c r="C1113" s="46" t="inlineStr">
        <is>
          <t>2025-07</t>
        </is>
      </c>
      <c r="D1113" s="46" t="n">
        <v>2025</v>
      </c>
      <c r="E1113" s="46" t="inlineStr">
        <is>
          <t>P-HB-004</t>
        </is>
      </c>
      <c r="F1113" s="46" t="inlineStr">
        <is>
          <t>C-HB-04</t>
        </is>
      </c>
      <c r="G1113" s="48" t="inlineStr">
        <is>
          <t>캐나다</t>
        </is>
      </c>
      <c r="H1113" s="46" t="inlineStr">
        <is>
          <t>CA</t>
        </is>
      </c>
      <c r="I1113" s="49" t="n">
        <v>1713</v>
      </c>
      <c r="J1113" s="46" t="inlineStr">
        <is>
          <t>EA</t>
        </is>
      </c>
      <c r="K1113" s="50" t="n">
        <v>1.88</v>
      </c>
      <c r="L1113" s="50" t="n">
        <v>48796.56</v>
      </c>
      <c r="M1113" s="46" t="inlineStr">
        <is>
          <t>USD</t>
        </is>
      </c>
      <c r="N1113" s="46" t="inlineStr">
        <is>
          <t>FOB</t>
        </is>
      </c>
      <c r="O1113" s="46" t="inlineStr">
        <is>
          <t>N</t>
        </is>
      </c>
      <c r="P1113" s="50" t="n">
        <v>1379.2959</v>
      </c>
      <c r="Q1113" s="49">
        <f>IF(OR(L1113="",M1113="",P1113=""),"",L1113*P1113)</f>
        <v/>
      </c>
    </row>
    <row r="1114" ht="15" customHeight="1" s="32">
      <c r="A1114" s="46" t="inlineStr">
        <is>
          <t>R-HB-1113</t>
        </is>
      </c>
      <c r="B1114" s="47" t="n">
        <v>45864</v>
      </c>
      <c r="C1114" s="46" t="inlineStr">
        <is>
          <t>2025-07</t>
        </is>
      </c>
      <c r="D1114" s="46" t="n">
        <v>2025</v>
      </c>
      <c r="E1114" s="46" t="inlineStr">
        <is>
          <t>P-HB-003</t>
        </is>
      </c>
      <c r="F1114" s="46" t="inlineStr">
        <is>
          <t>C-HB-02</t>
        </is>
      </c>
      <c r="G1114" s="48" t="inlineStr">
        <is>
          <t>미국</t>
        </is>
      </c>
      <c r="H1114" s="46" t="inlineStr">
        <is>
          <t>US</t>
        </is>
      </c>
      <c r="I1114" s="49" t="n">
        <v>26509</v>
      </c>
      <c r="J1114" s="46" t="inlineStr">
        <is>
          <t>EA</t>
        </is>
      </c>
      <c r="K1114" s="50" t="n">
        <v>17.23</v>
      </c>
      <c r="L1114" s="50" t="n">
        <v>222049.2</v>
      </c>
      <c r="M1114" s="46" t="inlineStr">
        <is>
          <t>USD</t>
        </is>
      </c>
      <c r="N1114" s="46" t="inlineStr">
        <is>
          <t>FOB</t>
        </is>
      </c>
      <c r="O1114" s="46" t="inlineStr">
        <is>
          <t>N</t>
        </is>
      </c>
      <c r="P1114" s="50" t="n">
        <v>1379.2959</v>
      </c>
      <c r="Q1114" s="49">
        <f>IF(OR(L1114="",M1114="",P1114=""),"",L1114*P1114)</f>
        <v/>
      </c>
    </row>
    <row r="1115" ht="15" customHeight="1" s="32">
      <c r="A1115" s="46" t="inlineStr">
        <is>
          <t>R-HB-1114</t>
        </is>
      </c>
      <c r="B1115" s="47" t="n">
        <v>45864</v>
      </c>
      <c r="C1115" s="46" t="inlineStr">
        <is>
          <t>2025-07</t>
        </is>
      </c>
      <c r="D1115" s="46" t="n">
        <v>2025</v>
      </c>
      <c r="E1115" s="46" t="inlineStr">
        <is>
          <t>P-HB-004</t>
        </is>
      </c>
      <c r="F1115" s="46" t="inlineStr">
        <is>
          <t>C-HB-02</t>
        </is>
      </c>
      <c r="G1115" s="48" t="inlineStr">
        <is>
          <t>미국</t>
        </is>
      </c>
      <c r="H1115" s="46" t="inlineStr">
        <is>
          <t>US</t>
        </is>
      </c>
      <c r="I1115" s="49" t="n">
        <v>9862</v>
      </c>
      <c r="J1115" s="46" t="inlineStr">
        <is>
          <t>EA</t>
        </is>
      </c>
      <c r="K1115" s="50" t="n">
        <v>10.85</v>
      </c>
      <c r="L1115" s="50" t="n">
        <v>278485.91</v>
      </c>
      <c r="M1115" s="46" t="inlineStr">
        <is>
          <t>USD</t>
        </is>
      </c>
      <c r="N1115" s="46" t="inlineStr">
        <is>
          <t>FOB</t>
        </is>
      </c>
      <c r="O1115" s="46" t="inlineStr">
        <is>
          <t>N</t>
        </is>
      </c>
      <c r="P1115" s="50" t="n">
        <v>1379.2959</v>
      </c>
      <c r="Q1115" s="49">
        <f>IF(OR(L1115="",M1115="",P1115=""),"",L1115*P1115)</f>
        <v/>
      </c>
    </row>
    <row r="1116" ht="15" customHeight="1" s="32">
      <c r="A1116" s="46" t="inlineStr">
        <is>
          <t>R-HB-1115</t>
        </is>
      </c>
      <c r="B1116" s="47" t="n">
        <v>45864</v>
      </c>
      <c r="C1116" s="46" t="inlineStr">
        <is>
          <t>2025-07</t>
        </is>
      </c>
      <c r="D1116" s="46" t="n">
        <v>2025</v>
      </c>
      <c r="E1116" s="46" t="inlineStr">
        <is>
          <t>P-HB-003</t>
        </is>
      </c>
      <c r="F1116" s="46" t="inlineStr">
        <is>
          <t>C-HB-09</t>
        </is>
      </c>
      <c r="G1116" s="48" t="inlineStr">
        <is>
          <t>중국</t>
        </is>
      </c>
      <c r="H1116" s="46" t="inlineStr">
        <is>
          <t>CN</t>
        </is>
      </c>
      <c r="I1116" s="49" t="n">
        <v>40112</v>
      </c>
      <c r="J1116" s="46" t="inlineStr">
        <is>
          <t>EA</t>
        </is>
      </c>
      <c r="K1116" s="50" t="n">
        <v>26.07</v>
      </c>
      <c r="L1116" s="50" t="n">
        <v>325044.81</v>
      </c>
      <c r="M1116" s="46" t="inlineStr">
        <is>
          <t>USD</t>
        </is>
      </c>
      <c r="N1116" s="46" t="inlineStr">
        <is>
          <t>FOB</t>
        </is>
      </c>
      <c r="O1116" s="46" t="inlineStr">
        <is>
          <t>N</t>
        </is>
      </c>
      <c r="P1116" s="50" t="n">
        <v>1379.2959</v>
      </c>
      <c r="Q1116" s="49">
        <f>IF(OR(L1116="",M1116="",P1116=""),"",L1116*P1116)</f>
        <v/>
      </c>
    </row>
    <row r="1117" ht="15" customHeight="1" s="32">
      <c r="A1117" s="46" t="inlineStr">
        <is>
          <t>R-HB-1116</t>
        </is>
      </c>
      <c r="B1117" s="47" t="n">
        <v>45865</v>
      </c>
      <c r="C1117" s="46" t="inlineStr">
        <is>
          <t>2025-07</t>
        </is>
      </c>
      <c r="D1117" s="46" t="n">
        <v>2025</v>
      </c>
      <c r="E1117" s="46" t="inlineStr">
        <is>
          <t>P-HB-002</t>
        </is>
      </c>
      <c r="F1117" s="46" t="inlineStr">
        <is>
          <t>C-HB-06</t>
        </is>
      </c>
      <c r="G1117" s="48" t="inlineStr">
        <is>
          <t>베트남</t>
        </is>
      </c>
      <c r="H1117" s="46" t="inlineStr">
        <is>
          <t>VN</t>
        </is>
      </c>
      <c r="I1117" s="49" t="n">
        <v>873</v>
      </c>
      <c r="J1117" s="46" t="inlineStr">
        <is>
          <t>EA</t>
        </is>
      </c>
      <c r="K1117" s="50" t="n">
        <v>1.92</v>
      </c>
      <c r="L1117" s="50" t="n">
        <v>366045.42</v>
      </c>
      <c r="M1117" s="46" t="inlineStr">
        <is>
          <t>USD</t>
        </is>
      </c>
      <c r="N1117" s="46" t="inlineStr">
        <is>
          <t>FOB</t>
        </is>
      </c>
      <c r="O1117" s="46" t="inlineStr">
        <is>
          <t>N</t>
        </is>
      </c>
      <c r="P1117" s="50" t="n">
        <v>1379.2959</v>
      </c>
      <c r="Q1117" s="49">
        <f>IF(OR(L1117="",M1117="",P1117=""),"",L1117*P1117)</f>
        <v/>
      </c>
    </row>
    <row r="1118" ht="15" customHeight="1" s="32">
      <c r="A1118" s="46" t="inlineStr">
        <is>
          <t>R-HB-1117</t>
        </is>
      </c>
      <c r="B1118" s="47" t="n">
        <v>45872</v>
      </c>
      <c r="C1118" s="46" t="inlineStr">
        <is>
          <t>2025-08</t>
        </is>
      </c>
      <c r="D1118" s="46" t="n">
        <v>2025</v>
      </c>
      <c r="E1118" s="46" t="inlineStr">
        <is>
          <t>P-HB-004</t>
        </is>
      </c>
      <c r="F1118" s="46" t="inlineStr">
        <is>
          <t>C-HB-01</t>
        </is>
      </c>
      <c r="G1118" s="48" t="inlineStr">
        <is>
          <t>미국</t>
        </is>
      </c>
      <c r="H1118" s="46" t="inlineStr">
        <is>
          <t>US</t>
        </is>
      </c>
      <c r="I1118" s="49" t="n">
        <v>17771</v>
      </c>
      <c r="J1118" s="46" t="inlineStr">
        <is>
          <t>EA</t>
        </is>
      </c>
      <c r="K1118" s="50" t="n">
        <v>19.55</v>
      </c>
      <c r="L1118" s="50" t="n">
        <v>500695.89</v>
      </c>
      <c r="M1118" s="46" t="inlineStr">
        <is>
          <t>USD</t>
        </is>
      </c>
      <c r="N1118" s="46" t="inlineStr">
        <is>
          <t>FOB</t>
        </is>
      </c>
      <c r="O1118" s="46" t="inlineStr">
        <is>
          <t>N</t>
        </is>
      </c>
      <c r="P1118" s="50" t="n">
        <v>1388.999</v>
      </c>
      <c r="Q1118" s="49">
        <f>IF(OR(L1118="",M1118="",P1118=""),"",L1118*P1118)</f>
        <v/>
      </c>
    </row>
    <row r="1119" ht="15" customHeight="1" s="32">
      <c r="A1119" s="46" t="inlineStr">
        <is>
          <t>R-HB-1118</t>
        </is>
      </c>
      <c r="B1119" s="47" t="n">
        <v>45873</v>
      </c>
      <c r="C1119" s="46" t="inlineStr">
        <is>
          <t>2025-08</t>
        </is>
      </c>
      <c r="D1119" s="46" t="n">
        <v>2025</v>
      </c>
      <c r="E1119" s="46" t="inlineStr">
        <is>
          <t>P-HB-002</t>
        </is>
      </c>
      <c r="F1119" s="46" t="inlineStr">
        <is>
          <t>C-HB-01</t>
        </is>
      </c>
      <c r="G1119" s="48" t="inlineStr">
        <is>
          <t>미국</t>
        </is>
      </c>
      <c r="H1119" s="46" t="inlineStr">
        <is>
          <t>US</t>
        </is>
      </c>
      <c r="I1119" s="49" t="n">
        <v>1149</v>
      </c>
      <c r="J1119" s="46" t="inlineStr">
        <is>
          <t>EA</t>
        </is>
      </c>
      <c r="K1119" s="50" t="n">
        <v>2.53</v>
      </c>
      <c r="L1119" s="50" t="n">
        <v>490143.74</v>
      </c>
      <c r="M1119" s="46" t="inlineStr">
        <is>
          <t>USD</t>
        </is>
      </c>
      <c r="N1119" s="46" t="inlineStr">
        <is>
          <t>FOB</t>
        </is>
      </c>
      <c r="O1119" s="46" t="inlineStr">
        <is>
          <t>N</t>
        </is>
      </c>
      <c r="P1119" s="50" t="n">
        <v>1388.999</v>
      </c>
      <c r="Q1119" s="49">
        <f>IF(OR(L1119="",M1119="",P1119=""),"",L1119*P1119)</f>
        <v/>
      </c>
    </row>
    <row r="1120" ht="15" customHeight="1" s="32">
      <c r="A1120" s="46" t="inlineStr">
        <is>
          <t>R-HB-1119</t>
        </is>
      </c>
      <c r="B1120" s="47" t="n">
        <v>45873</v>
      </c>
      <c r="C1120" s="46" t="inlineStr">
        <is>
          <t>2025-08</t>
        </is>
      </c>
      <c r="D1120" s="46" t="n">
        <v>2025</v>
      </c>
      <c r="E1120" s="46" t="inlineStr">
        <is>
          <t>P-HB-002</t>
        </is>
      </c>
      <c r="F1120" s="46" t="inlineStr">
        <is>
          <t>C-HB-09</t>
        </is>
      </c>
      <c r="G1120" s="48" t="inlineStr">
        <is>
          <t>중국</t>
        </is>
      </c>
      <c r="H1120" s="46" t="inlineStr">
        <is>
          <t>CN</t>
        </is>
      </c>
      <c r="I1120" s="49" t="n">
        <v>842</v>
      </c>
      <c r="J1120" s="46" t="inlineStr">
        <is>
          <t>EA</t>
        </is>
      </c>
      <c r="K1120" s="50" t="n">
        <v>1.85</v>
      </c>
      <c r="L1120" s="50" t="n">
        <v>360960.18</v>
      </c>
      <c r="M1120" s="46" t="inlineStr">
        <is>
          <t>USD</t>
        </is>
      </c>
      <c r="N1120" s="46" t="inlineStr">
        <is>
          <t>FOB</t>
        </is>
      </c>
      <c r="O1120" s="46" t="inlineStr">
        <is>
          <t>N</t>
        </is>
      </c>
      <c r="P1120" s="50" t="n">
        <v>1388.999</v>
      </c>
      <c r="Q1120" s="49">
        <f>IF(OR(L1120="",M1120="",P1120=""),"",L1120*P1120)</f>
        <v/>
      </c>
    </row>
    <row r="1121" ht="15" customHeight="1" s="32">
      <c r="A1121" s="46" t="inlineStr">
        <is>
          <t>R-HB-1120</t>
        </is>
      </c>
      <c r="B1121" s="47" t="n">
        <v>45874</v>
      </c>
      <c r="C1121" s="46" t="inlineStr">
        <is>
          <t>2025-08</t>
        </is>
      </c>
      <c r="D1121" s="46" t="n">
        <v>2025</v>
      </c>
      <c r="E1121" s="46" t="inlineStr">
        <is>
          <t>P-HB-002</t>
        </is>
      </c>
      <c r="F1121" s="46" t="inlineStr">
        <is>
          <t>C-HB-05</t>
        </is>
      </c>
      <c r="G1121" s="48" t="inlineStr">
        <is>
          <t>독일</t>
        </is>
      </c>
      <c r="H1121" s="46" t="inlineStr">
        <is>
          <t>DE</t>
        </is>
      </c>
      <c r="I1121" s="49" t="n">
        <v>972</v>
      </c>
      <c r="J1121" s="46" t="inlineStr">
        <is>
          <t>EA</t>
        </is>
      </c>
      <c r="K1121" s="50" t="n">
        <v>2.14</v>
      </c>
      <c r="L1121" s="50" t="n">
        <v>388174.62</v>
      </c>
      <c r="M1121" s="46" t="inlineStr">
        <is>
          <t>USD</t>
        </is>
      </c>
      <c r="N1121" s="46" t="inlineStr">
        <is>
          <t>FOB</t>
        </is>
      </c>
      <c r="O1121" s="46" t="inlineStr">
        <is>
          <t>N</t>
        </is>
      </c>
      <c r="P1121" s="50" t="n">
        <v>1388.999</v>
      </c>
      <c r="Q1121" s="49">
        <f>IF(OR(L1121="",M1121="",P1121=""),"",L1121*P1121)</f>
        <v/>
      </c>
    </row>
    <row r="1122" ht="15" customHeight="1" s="32">
      <c r="A1122" s="46" t="inlineStr">
        <is>
          <t>R-HB-1121</t>
        </is>
      </c>
      <c r="B1122" s="47" t="n">
        <v>45876</v>
      </c>
      <c r="C1122" s="46" t="inlineStr">
        <is>
          <t>2025-08</t>
        </is>
      </c>
      <c r="D1122" s="46" t="n">
        <v>2025</v>
      </c>
      <c r="E1122" s="46" t="inlineStr">
        <is>
          <t>P-HB-004</t>
        </is>
      </c>
      <c r="F1122" s="46" t="inlineStr">
        <is>
          <t>C-HB-07</t>
        </is>
      </c>
      <c r="G1122" s="48" t="inlineStr">
        <is>
          <t>인도</t>
        </is>
      </c>
      <c r="H1122" s="46" t="inlineStr">
        <is>
          <t>IN</t>
        </is>
      </c>
      <c r="I1122" s="49" t="n">
        <v>9385</v>
      </c>
      <c r="J1122" s="46" t="inlineStr">
        <is>
          <t>EA</t>
        </is>
      </c>
      <c r="K1122" s="50" t="n">
        <v>10.32</v>
      </c>
      <c r="L1122" s="50" t="n">
        <v>254496.39</v>
      </c>
      <c r="M1122" s="46" t="inlineStr">
        <is>
          <t>USD</t>
        </is>
      </c>
      <c r="N1122" s="46" t="inlineStr">
        <is>
          <t>FOB</t>
        </is>
      </c>
      <c r="O1122" s="46" t="inlineStr">
        <is>
          <t>N</t>
        </is>
      </c>
      <c r="P1122" s="50" t="n">
        <v>1388.999</v>
      </c>
      <c r="Q1122" s="49">
        <f>IF(OR(L1122="",M1122="",P1122=""),"",L1122*P1122)</f>
        <v/>
      </c>
    </row>
    <row r="1123" ht="15" customHeight="1" s="32">
      <c r="A1123" s="46" t="inlineStr">
        <is>
          <t>R-HB-1122</t>
        </is>
      </c>
      <c r="B1123" s="47" t="n">
        <v>45876</v>
      </c>
      <c r="C1123" s="46" t="inlineStr">
        <is>
          <t>2025-08</t>
        </is>
      </c>
      <c r="D1123" s="46" t="n">
        <v>2025</v>
      </c>
      <c r="E1123" s="46" t="inlineStr">
        <is>
          <t>P-HB-003</t>
        </is>
      </c>
      <c r="F1123" s="46" t="inlineStr">
        <is>
          <t>C-HB-08</t>
        </is>
      </c>
      <c r="G1123" s="48" t="inlineStr">
        <is>
          <t>중국</t>
        </is>
      </c>
      <c r="H1123" s="46" t="inlineStr">
        <is>
          <t>CN</t>
        </is>
      </c>
      <c r="I1123" s="49" t="n">
        <v>53040</v>
      </c>
      <c r="J1123" s="46" t="inlineStr">
        <is>
          <t>EA</t>
        </is>
      </c>
      <c r="K1123" s="50" t="n">
        <v>34.48</v>
      </c>
      <c r="L1123" s="50" t="n">
        <v>455562</v>
      </c>
      <c r="M1123" s="46" t="inlineStr">
        <is>
          <t>USD</t>
        </is>
      </c>
      <c r="N1123" s="46" t="inlineStr">
        <is>
          <t>FOB</t>
        </is>
      </c>
      <c r="O1123" s="46" t="inlineStr">
        <is>
          <t>N</t>
        </is>
      </c>
      <c r="P1123" s="50" t="n">
        <v>1388.999</v>
      </c>
      <c r="Q1123" s="49">
        <f>IF(OR(L1123="",M1123="",P1123=""),"",L1123*P1123)</f>
        <v/>
      </c>
    </row>
    <row r="1124" ht="15" customHeight="1" s="32">
      <c r="A1124" s="46" t="inlineStr">
        <is>
          <t>R-HB-1123</t>
        </is>
      </c>
      <c r="B1124" s="47" t="n">
        <v>45877</v>
      </c>
      <c r="C1124" s="46" t="inlineStr">
        <is>
          <t>2025-08</t>
        </is>
      </c>
      <c r="D1124" s="46" t="n">
        <v>2025</v>
      </c>
      <c r="E1124" s="46" t="inlineStr">
        <is>
          <t>P-HB-002</t>
        </is>
      </c>
      <c r="F1124" s="46" t="inlineStr">
        <is>
          <t>C-HB-04</t>
        </is>
      </c>
      <c r="G1124" s="48" t="inlineStr">
        <is>
          <t>캐나다</t>
        </is>
      </c>
      <c r="H1124" s="46" t="inlineStr">
        <is>
          <t>CA</t>
        </is>
      </c>
      <c r="I1124" s="49" t="n">
        <v>99</v>
      </c>
      <c r="J1124" s="46" t="inlineStr">
        <is>
          <t>EA</t>
        </is>
      </c>
      <c r="K1124" s="50" t="n">
        <v>0.22</v>
      </c>
      <c r="L1124" s="50" t="n">
        <v>40414.17</v>
      </c>
      <c r="M1124" s="46" t="inlineStr">
        <is>
          <t>USD</t>
        </is>
      </c>
      <c r="N1124" s="46" t="inlineStr">
        <is>
          <t>FOB</t>
        </is>
      </c>
      <c r="O1124" s="46" t="inlineStr">
        <is>
          <t>N</t>
        </is>
      </c>
      <c r="P1124" s="50" t="n">
        <v>1388.999</v>
      </c>
      <c r="Q1124" s="49">
        <f>IF(OR(L1124="",M1124="",P1124=""),"",L1124*P1124)</f>
        <v/>
      </c>
    </row>
    <row r="1125" ht="15" customHeight="1" s="32">
      <c r="A1125" s="46" t="inlineStr">
        <is>
          <t>R-HB-1124</t>
        </is>
      </c>
      <c r="B1125" s="47" t="n">
        <v>45877</v>
      </c>
      <c r="C1125" s="46" t="inlineStr">
        <is>
          <t>2025-08</t>
        </is>
      </c>
      <c r="D1125" s="46" t="n">
        <v>2025</v>
      </c>
      <c r="E1125" s="46" t="inlineStr">
        <is>
          <t>P-HB-004</t>
        </is>
      </c>
      <c r="F1125" s="46" t="inlineStr">
        <is>
          <t>C-HB-06</t>
        </is>
      </c>
      <c r="G1125" s="48" t="inlineStr">
        <is>
          <t>베트남</t>
        </is>
      </c>
      <c r="H1125" s="46" t="inlineStr">
        <is>
          <t>VN</t>
        </is>
      </c>
      <c r="I1125" s="49" t="n">
        <v>12725</v>
      </c>
      <c r="J1125" s="46" t="inlineStr">
        <is>
          <t>EA</t>
        </is>
      </c>
      <c r="K1125" s="50" t="n">
        <v>14</v>
      </c>
      <c r="L1125" s="50" t="n">
        <v>348164.06</v>
      </c>
      <c r="M1125" s="46" t="inlineStr">
        <is>
          <t>USD</t>
        </is>
      </c>
      <c r="N1125" s="46" t="inlineStr">
        <is>
          <t>FOB</t>
        </is>
      </c>
      <c r="O1125" s="46" t="inlineStr">
        <is>
          <t>N</t>
        </is>
      </c>
      <c r="P1125" s="50" t="n">
        <v>1388.999</v>
      </c>
      <c r="Q1125" s="49">
        <f>IF(OR(L1125="",M1125="",P1125=""),"",L1125*P1125)</f>
        <v/>
      </c>
    </row>
    <row r="1126" ht="15" customHeight="1" s="32">
      <c r="A1126" s="46" t="inlineStr">
        <is>
          <t>R-HB-1125</t>
        </is>
      </c>
      <c r="B1126" s="47" t="n">
        <v>45877</v>
      </c>
      <c r="C1126" s="46" t="inlineStr">
        <is>
          <t>2025-08</t>
        </is>
      </c>
      <c r="D1126" s="46" t="n">
        <v>2025</v>
      </c>
      <c r="E1126" s="46" t="inlineStr">
        <is>
          <t>P-HB-001</t>
        </is>
      </c>
      <c r="F1126" s="46" t="inlineStr">
        <is>
          <t>C-HB-07</t>
        </is>
      </c>
      <c r="G1126" s="48" t="inlineStr">
        <is>
          <t>인도</t>
        </is>
      </c>
      <c r="H1126" s="46" t="inlineStr">
        <is>
          <t>IN</t>
        </is>
      </c>
      <c r="I1126" s="49" t="n">
        <v>89007</v>
      </c>
      <c r="J1126" s="46" t="inlineStr">
        <is>
          <t>EA</t>
        </is>
      </c>
      <c r="K1126" s="50" t="n">
        <v>40.05</v>
      </c>
      <c r="L1126" s="50" t="n">
        <v>523432.84</v>
      </c>
      <c r="M1126" s="46" t="inlineStr">
        <is>
          <t>USD</t>
        </is>
      </c>
      <c r="N1126" s="46" t="inlineStr">
        <is>
          <t>FOB</t>
        </is>
      </c>
      <c r="O1126" s="46" t="inlineStr">
        <is>
          <t>N</t>
        </is>
      </c>
      <c r="P1126" s="50" t="n">
        <v>1388.999</v>
      </c>
      <c r="Q1126" s="49">
        <f>IF(OR(L1126="",M1126="",P1126=""),"",L1126*P1126)</f>
        <v/>
      </c>
    </row>
    <row r="1127" ht="15" customHeight="1" s="32">
      <c r="A1127" s="46" t="inlineStr">
        <is>
          <t>R-HB-1126</t>
        </is>
      </c>
      <c r="B1127" s="47" t="n">
        <v>45878</v>
      </c>
      <c r="C1127" s="46" t="inlineStr">
        <is>
          <t>2025-08</t>
        </is>
      </c>
      <c r="D1127" s="46" t="n">
        <v>2025</v>
      </c>
      <c r="E1127" s="46" t="inlineStr">
        <is>
          <t>P-HB-001</t>
        </is>
      </c>
      <c r="F1127" s="46" t="inlineStr">
        <is>
          <t>C-HB-03</t>
        </is>
      </c>
      <c r="G1127" s="48" t="inlineStr">
        <is>
          <t>멕시코</t>
        </is>
      </c>
      <c r="H1127" s="46" t="inlineStr">
        <is>
          <t>MX</t>
        </is>
      </c>
      <c r="I1127" s="49" t="n">
        <v>34625</v>
      </c>
      <c r="J1127" s="46" t="inlineStr">
        <is>
          <t>EA</t>
        </is>
      </c>
      <c r="K1127" s="50" t="n">
        <v>15.58</v>
      </c>
      <c r="L1127" s="50" t="n">
        <v>207344.82</v>
      </c>
      <c r="M1127" s="46" t="inlineStr">
        <is>
          <t>USD</t>
        </is>
      </c>
      <c r="N1127" s="46" t="inlineStr">
        <is>
          <t>FOB</t>
        </is>
      </c>
      <c r="O1127" s="46" t="inlineStr">
        <is>
          <t>N</t>
        </is>
      </c>
      <c r="P1127" s="50" t="n">
        <v>1388.999</v>
      </c>
      <c r="Q1127" s="49">
        <f>IF(OR(L1127="",M1127="",P1127=""),"",L1127*P1127)</f>
        <v/>
      </c>
    </row>
    <row r="1128" ht="15" customHeight="1" s="32">
      <c r="A1128" s="46" t="inlineStr">
        <is>
          <t>R-HB-1127</t>
        </is>
      </c>
      <c r="B1128" s="47" t="n">
        <v>45878</v>
      </c>
      <c r="C1128" s="46" t="inlineStr">
        <is>
          <t>2025-08</t>
        </is>
      </c>
      <c r="D1128" s="46" t="n">
        <v>2025</v>
      </c>
      <c r="E1128" s="46" t="inlineStr">
        <is>
          <t>P-HB-003</t>
        </is>
      </c>
      <c r="F1128" s="46" t="inlineStr">
        <is>
          <t>C-HB-03</t>
        </is>
      </c>
      <c r="G1128" s="48" t="inlineStr">
        <is>
          <t>멕시코</t>
        </is>
      </c>
      <c r="H1128" s="46" t="inlineStr">
        <is>
          <t>MX</t>
        </is>
      </c>
      <c r="I1128" s="49" t="n">
        <v>9372</v>
      </c>
      <c r="J1128" s="46" t="inlineStr">
        <is>
          <t>EA</t>
        </is>
      </c>
      <c r="K1128" s="50" t="n">
        <v>6.09</v>
      </c>
      <c r="L1128" s="50" t="n">
        <v>77632.97</v>
      </c>
      <c r="M1128" s="46" t="inlineStr">
        <is>
          <t>USD</t>
        </is>
      </c>
      <c r="N1128" s="46" t="inlineStr">
        <is>
          <t>FOB</t>
        </is>
      </c>
      <c r="O1128" s="46" t="inlineStr">
        <is>
          <t>N</t>
        </is>
      </c>
      <c r="P1128" s="50" t="n">
        <v>1388.999</v>
      </c>
      <c r="Q1128" s="49">
        <f>IF(OR(L1128="",M1128="",P1128=""),"",L1128*P1128)</f>
        <v/>
      </c>
    </row>
    <row r="1129" ht="15" customHeight="1" s="32">
      <c r="A1129" s="46" t="inlineStr">
        <is>
          <t>R-HB-1128</t>
        </is>
      </c>
      <c r="B1129" s="47" t="n">
        <v>45879</v>
      </c>
      <c r="C1129" s="46" t="inlineStr">
        <is>
          <t>2025-08</t>
        </is>
      </c>
      <c r="D1129" s="46" t="n">
        <v>2025</v>
      </c>
      <c r="E1129" s="46" t="inlineStr">
        <is>
          <t>P-HB-004</t>
        </is>
      </c>
      <c r="F1129" s="46" t="inlineStr">
        <is>
          <t>C-HB-03</t>
        </is>
      </c>
      <c r="G1129" s="48" t="inlineStr">
        <is>
          <t>멕시코</t>
        </is>
      </c>
      <c r="H1129" s="46" t="inlineStr">
        <is>
          <t>MX</t>
        </is>
      </c>
      <c r="I1129" s="49" t="n">
        <v>3002</v>
      </c>
      <c r="J1129" s="46" t="inlineStr">
        <is>
          <t>EA</t>
        </is>
      </c>
      <c r="K1129" s="50" t="n">
        <v>3.3</v>
      </c>
      <c r="L1129" s="50" t="n">
        <v>87236.05</v>
      </c>
      <c r="M1129" s="46" t="inlineStr">
        <is>
          <t>USD</t>
        </is>
      </c>
      <c r="N1129" s="46" t="inlineStr">
        <is>
          <t>FOB</t>
        </is>
      </c>
      <c r="O1129" s="46" t="inlineStr">
        <is>
          <t>N</t>
        </is>
      </c>
      <c r="P1129" s="50" t="n">
        <v>1388.999</v>
      </c>
      <c r="Q1129" s="49">
        <f>IF(OR(L1129="",M1129="",P1129=""),"",L1129*P1129)</f>
        <v/>
      </c>
    </row>
    <row r="1130" ht="15" customHeight="1" s="32">
      <c r="A1130" s="46" t="inlineStr">
        <is>
          <t>R-HB-1129</t>
        </is>
      </c>
      <c r="B1130" s="47" t="n">
        <v>45879</v>
      </c>
      <c r="C1130" s="46" t="inlineStr">
        <is>
          <t>2025-08</t>
        </is>
      </c>
      <c r="D1130" s="46" t="n">
        <v>2025</v>
      </c>
      <c r="E1130" s="46" t="inlineStr">
        <is>
          <t>P-HB-004</t>
        </is>
      </c>
      <c r="F1130" s="46" t="inlineStr">
        <is>
          <t>C-HB-04</t>
        </is>
      </c>
      <c r="G1130" s="48" t="inlineStr">
        <is>
          <t>캐나다</t>
        </is>
      </c>
      <c r="H1130" s="46" t="inlineStr">
        <is>
          <t>CA</t>
        </is>
      </c>
      <c r="I1130" s="49" t="n">
        <v>1492</v>
      </c>
      <c r="J1130" s="46" t="inlineStr">
        <is>
          <t>EA</t>
        </is>
      </c>
      <c r="K1130" s="50" t="n">
        <v>1.64</v>
      </c>
      <c r="L1130" s="50" t="n">
        <v>42242.95</v>
      </c>
      <c r="M1130" s="46" t="inlineStr">
        <is>
          <t>USD</t>
        </is>
      </c>
      <c r="N1130" s="46" t="inlineStr">
        <is>
          <t>FOB</t>
        </is>
      </c>
      <c r="O1130" s="46" t="inlineStr">
        <is>
          <t>N</t>
        </is>
      </c>
      <c r="P1130" s="50" t="n">
        <v>1388.999</v>
      </c>
      <c r="Q1130" s="49">
        <f>IF(OR(L1130="",M1130="",P1130=""),"",L1130*P1130)</f>
        <v/>
      </c>
    </row>
    <row r="1131" ht="15" customHeight="1" s="32">
      <c r="A1131" s="46" t="inlineStr">
        <is>
          <t>R-HB-1130</t>
        </is>
      </c>
      <c r="B1131" s="47" t="n">
        <v>45879</v>
      </c>
      <c r="C1131" s="46" t="inlineStr">
        <is>
          <t>2025-08</t>
        </is>
      </c>
      <c r="D1131" s="46" t="n">
        <v>2025</v>
      </c>
      <c r="E1131" s="46" t="inlineStr">
        <is>
          <t>P-HB-004</t>
        </is>
      </c>
      <c r="F1131" s="46" t="inlineStr">
        <is>
          <t>C-HB-05</t>
        </is>
      </c>
      <c r="G1131" s="48" t="inlineStr">
        <is>
          <t>독일</t>
        </is>
      </c>
      <c r="H1131" s="46" t="inlineStr">
        <is>
          <t>DE</t>
        </is>
      </c>
      <c r="I1131" s="49" t="n">
        <v>14726</v>
      </c>
      <c r="J1131" s="46" t="inlineStr">
        <is>
          <t>EA</t>
        </is>
      </c>
      <c r="K1131" s="50" t="n">
        <v>16.2</v>
      </c>
      <c r="L1131" s="50" t="n">
        <v>401263.69</v>
      </c>
      <c r="M1131" s="46" t="inlineStr">
        <is>
          <t>USD</t>
        </is>
      </c>
      <c r="N1131" s="46" t="inlineStr">
        <is>
          <t>FOB</t>
        </is>
      </c>
      <c r="O1131" s="46" t="inlineStr">
        <is>
          <t>N</t>
        </is>
      </c>
      <c r="P1131" s="50" t="n">
        <v>1388.999</v>
      </c>
      <c r="Q1131" s="49">
        <f>IF(OR(L1131="",M1131="",P1131=""),"",L1131*P1131)</f>
        <v/>
      </c>
    </row>
    <row r="1132" ht="15" customHeight="1" s="32">
      <c r="A1132" s="46" t="inlineStr">
        <is>
          <t>R-HB-1131</t>
        </is>
      </c>
      <c r="B1132" s="47" t="n">
        <v>45880</v>
      </c>
      <c r="C1132" s="46" t="inlineStr">
        <is>
          <t>2025-08</t>
        </is>
      </c>
      <c r="D1132" s="46" t="n">
        <v>2025</v>
      </c>
      <c r="E1132" s="46" t="inlineStr">
        <is>
          <t>P-HB-001</t>
        </is>
      </c>
      <c r="F1132" s="46" t="inlineStr">
        <is>
          <t>C-HB-01</t>
        </is>
      </c>
      <c r="G1132" s="48" t="inlineStr">
        <is>
          <t>미국</t>
        </is>
      </c>
      <c r="H1132" s="46" t="inlineStr">
        <is>
          <t>US</t>
        </is>
      </c>
      <c r="I1132" s="49" t="n">
        <v>173254</v>
      </c>
      <c r="J1132" s="46" t="inlineStr">
        <is>
          <t>EA</t>
        </is>
      </c>
      <c r="K1132" s="50" t="n">
        <v>77.95999999999999</v>
      </c>
      <c r="L1132" s="50" t="n">
        <v>1034210.9</v>
      </c>
      <c r="M1132" s="46" t="inlineStr">
        <is>
          <t>USD</t>
        </is>
      </c>
      <c r="N1132" s="46" t="inlineStr">
        <is>
          <t>FOB</t>
        </is>
      </c>
      <c r="O1132" s="46" t="inlineStr">
        <is>
          <t>N</t>
        </is>
      </c>
      <c r="P1132" s="50" t="n">
        <v>1388.999</v>
      </c>
      <c r="Q1132" s="49">
        <f>IF(OR(L1132="",M1132="",P1132=""),"",L1132*P1132)</f>
        <v/>
      </c>
    </row>
    <row r="1133" ht="15" customHeight="1" s="32">
      <c r="A1133" s="46" t="inlineStr">
        <is>
          <t>R-HB-1132</t>
        </is>
      </c>
      <c r="B1133" s="47" t="n">
        <v>45880</v>
      </c>
      <c r="C1133" s="46" t="inlineStr">
        <is>
          <t>2025-08</t>
        </is>
      </c>
      <c r="D1133" s="46" t="n">
        <v>2025</v>
      </c>
      <c r="E1133" s="46" t="inlineStr">
        <is>
          <t>P-HB-001</t>
        </is>
      </c>
      <c r="F1133" s="46" t="inlineStr">
        <is>
          <t>C-HB-06</t>
        </is>
      </c>
      <c r="G1133" s="48" t="inlineStr">
        <is>
          <t>베트남</t>
        </is>
      </c>
      <c r="H1133" s="46" t="inlineStr">
        <is>
          <t>VN</t>
        </is>
      </c>
      <c r="I1133" s="49" t="n">
        <v>141655</v>
      </c>
      <c r="J1133" s="46" t="inlineStr">
        <is>
          <t>EA</t>
        </is>
      </c>
      <c r="K1133" s="50" t="n">
        <v>63.74</v>
      </c>
      <c r="L1133" s="50" t="n">
        <v>865380.88</v>
      </c>
      <c r="M1133" s="46" t="inlineStr">
        <is>
          <t>USD</t>
        </is>
      </c>
      <c r="N1133" s="46" t="inlineStr">
        <is>
          <t>FOB</t>
        </is>
      </c>
      <c r="O1133" s="46" t="inlineStr">
        <is>
          <t>N</t>
        </is>
      </c>
      <c r="P1133" s="50" t="n">
        <v>1388.999</v>
      </c>
      <c r="Q1133" s="49">
        <f>IF(OR(L1133="",M1133="",P1133=""),"",L1133*P1133)</f>
        <v/>
      </c>
    </row>
    <row r="1134" ht="15" customHeight="1" s="32">
      <c r="A1134" s="46" t="inlineStr">
        <is>
          <t>R-HB-1133</t>
        </is>
      </c>
      <c r="B1134" s="47" t="n">
        <v>45880</v>
      </c>
      <c r="C1134" s="46" t="inlineStr">
        <is>
          <t>2025-08</t>
        </is>
      </c>
      <c r="D1134" s="46" t="n">
        <v>2025</v>
      </c>
      <c r="E1134" s="46" t="inlineStr">
        <is>
          <t>P-HB-002</t>
        </is>
      </c>
      <c r="F1134" s="46" t="inlineStr">
        <is>
          <t>C-HB-07</t>
        </is>
      </c>
      <c r="G1134" s="48" t="inlineStr">
        <is>
          <t>인도</t>
        </is>
      </c>
      <c r="H1134" s="46" t="inlineStr">
        <is>
          <t>IN</t>
        </is>
      </c>
      <c r="I1134" s="49" t="n">
        <v>569</v>
      </c>
      <c r="J1134" s="46" t="inlineStr">
        <is>
          <t>EA</t>
        </is>
      </c>
      <c r="K1134" s="50" t="n">
        <v>1.25</v>
      </c>
      <c r="L1134" s="50" t="n">
        <v>231124.67</v>
      </c>
      <c r="M1134" s="46" t="inlineStr">
        <is>
          <t>USD</t>
        </is>
      </c>
      <c r="N1134" s="46" t="inlineStr">
        <is>
          <t>FOB</t>
        </is>
      </c>
      <c r="O1134" s="46" t="inlineStr">
        <is>
          <t>N</t>
        </is>
      </c>
      <c r="P1134" s="50" t="n">
        <v>1388.999</v>
      </c>
      <c r="Q1134" s="49">
        <f>IF(OR(L1134="",M1134="",P1134=""),"",L1134*P1134)</f>
        <v/>
      </c>
    </row>
    <row r="1135" ht="15" customHeight="1" s="32">
      <c r="A1135" s="46" t="inlineStr">
        <is>
          <t>R-HB-1134</t>
        </is>
      </c>
      <c r="B1135" s="47" t="n">
        <v>45881</v>
      </c>
      <c r="C1135" s="46" t="inlineStr">
        <is>
          <t>2025-08</t>
        </is>
      </c>
      <c r="D1135" s="46" t="n">
        <v>2025</v>
      </c>
      <c r="E1135" s="46" t="inlineStr">
        <is>
          <t>P-HB-001</t>
        </is>
      </c>
      <c r="F1135" s="46" t="inlineStr">
        <is>
          <t>C-HB-04</t>
        </is>
      </c>
      <c r="G1135" s="48" t="inlineStr">
        <is>
          <t>캐나다</t>
        </is>
      </c>
      <c r="H1135" s="46" t="inlineStr">
        <is>
          <t>CA</t>
        </is>
      </c>
      <c r="I1135" s="49" t="n">
        <v>17122</v>
      </c>
      <c r="J1135" s="46" t="inlineStr">
        <is>
          <t>EA</t>
        </is>
      </c>
      <c r="K1135" s="50" t="n">
        <v>7.7</v>
      </c>
      <c r="L1135" s="50" t="n">
        <v>106007.56</v>
      </c>
      <c r="M1135" s="46" t="inlineStr">
        <is>
          <t>USD</t>
        </is>
      </c>
      <c r="N1135" s="46" t="inlineStr">
        <is>
          <t>FOB</t>
        </is>
      </c>
      <c r="O1135" s="46" t="inlineStr">
        <is>
          <t>N</t>
        </is>
      </c>
      <c r="P1135" s="50" t="n">
        <v>1388.999</v>
      </c>
      <c r="Q1135" s="49">
        <f>IF(OR(L1135="",M1135="",P1135=""),"",L1135*P1135)</f>
        <v/>
      </c>
    </row>
    <row r="1136" ht="15" customHeight="1" s="32">
      <c r="A1136" s="46" t="inlineStr">
        <is>
          <t>R-HB-1135</t>
        </is>
      </c>
      <c r="B1136" s="47" t="n">
        <v>45882</v>
      </c>
      <c r="C1136" s="46" t="inlineStr">
        <is>
          <t>2025-08</t>
        </is>
      </c>
      <c r="D1136" s="46" t="n">
        <v>2025</v>
      </c>
      <c r="E1136" s="46" t="inlineStr">
        <is>
          <t>P-HB-004</t>
        </is>
      </c>
      <c r="F1136" s="46" t="inlineStr">
        <is>
          <t>C-HB-02</t>
        </is>
      </c>
      <c r="G1136" s="48" t="inlineStr">
        <is>
          <t>미국</t>
        </is>
      </c>
      <c r="H1136" s="46" t="inlineStr">
        <is>
          <t>US</t>
        </is>
      </c>
      <c r="I1136" s="49" t="n">
        <v>9431</v>
      </c>
      <c r="J1136" s="46" t="inlineStr">
        <is>
          <t>EA</t>
        </is>
      </c>
      <c r="K1136" s="50" t="n">
        <v>10.37</v>
      </c>
      <c r="L1136" s="50" t="n">
        <v>260942.73</v>
      </c>
      <c r="M1136" s="46" t="inlineStr">
        <is>
          <t>USD</t>
        </is>
      </c>
      <c r="N1136" s="46" t="inlineStr">
        <is>
          <t>FOB</t>
        </is>
      </c>
      <c r="O1136" s="46" t="inlineStr">
        <is>
          <t>N</t>
        </is>
      </c>
      <c r="P1136" s="50" t="n">
        <v>1388.999</v>
      </c>
      <c r="Q1136" s="49">
        <f>IF(OR(L1136="",M1136="",P1136=""),"",L1136*P1136)</f>
        <v/>
      </c>
    </row>
    <row r="1137" ht="15" customHeight="1" s="32">
      <c r="A1137" s="46" t="inlineStr">
        <is>
          <t>R-HB-1136</t>
        </is>
      </c>
      <c r="B1137" s="47" t="n">
        <v>45882</v>
      </c>
      <c r="C1137" s="46" t="inlineStr">
        <is>
          <t>2025-08</t>
        </is>
      </c>
      <c r="D1137" s="46" t="n">
        <v>2025</v>
      </c>
      <c r="E1137" s="46" t="inlineStr">
        <is>
          <t>P-HB-003</t>
        </is>
      </c>
      <c r="F1137" s="46" t="inlineStr">
        <is>
          <t>C-HB-04</t>
        </is>
      </c>
      <c r="G1137" s="48" t="inlineStr">
        <is>
          <t>캐나다</t>
        </is>
      </c>
      <c r="H1137" s="46" t="inlineStr">
        <is>
          <t>CA</t>
        </is>
      </c>
      <c r="I1137" s="49" t="n">
        <v>4488</v>
      </c>
      <c r="J1137" s="46" t="inlineStr">
        <is>
          <t>EA</t>
        </is>
      </c>
      <c r="K1137" s="50" t="n">
        <v>2.92</v>
      </c>
      <c r="L1137" s="50" t="n">
        <v>38693.43</v>
      </c>
      <c r="M1137" s="46" t="inlineStr">
        <is>
          <t>USD</t>
        </is>
      </c>
      <c r="N1137" s="46" t="inlineStr">
        <is>
          <t>FOB</t>
        </is>
      </c>
      <c r="O1137" s="46" t="inlineStr">
        <is>
          <t>N</t>
        </is>
      </c>
      <c r="P1137" s="50" t="n">
        <v>1388.999</v>
      </c>
      <c r="Q1137" s="49">
        <f>IF(OR(L1137="",M1137="",P1137=""),"",L1137*P1137)</f>
        <v/>
      </c>
    </row>
    <row r="1138" ht="15" customHeight="1" s="32">
      <c r="A1138" s="46" t="inlineStr">
        <is>
          <t>R-HB-1137</t>
        </is>
      </c>
      <c r="B1138" s="47" t="n">
        <v>45882</v>
      </c>
      <c r="C1138" s="46" t="inlineStr">
        <is>
          <t>2025-08</t>
        </is>
      </c>
      <c r="D1138" s="46" t="n">
        <v>2025</v>
      </c>
      <c r="E1138" s="46" t="inlineStr">
        <is>
          <t>P-HB-003</t>
        </is>
      </c>
      <c r="F1138" s="46" t="inlineStr">
        <is>
          <t>C-HB-09</t>
        </is>
      </c>
      <c r="G1138" s="48" t="inlineStr">
        <is>
          <t>중국</t>
        </is>
      </c>
      <c r="H1138" s="46" t="inlineStr">
        <is>
          <t>CN</t>
        </is>
      </c>
      <c r="I1138" s="49" t="n">
        <v>36904</v>
      </c>
      <c r="J1138" s="46" t="inlineStr">
        <is>
          <t>EA</t>
        </is>
      </c>
      <c r="K1138" s="50" t="n">
        <v>23.99</v>
      </c>
      <c r="L1138" s="50" t="n">
        <v>317609.15</v>
      </c>
      <c r="M1138" s="46" t="inlineStr">
        <is>
          <t>USD</t>
        </is>
      </c>
      <c r="N1138" s="46" t="inlineStr">
        <is>
          <t>FOB</t>
        </is>
      </c>
      <c r="O1138" s="46" t="inlineStr">
        <is>
          <t>N</t>
        </is>
      </c>
      <c r="P1138" s="50" t="n">
        <v>1388.999</v>
      </c>
      <c r="Q1138" s="49">
        <f>IF(OR(L1138="",M1138="",P1138=""),"",L1138*P1138)</f>
        <v/>
      </c>
    </row>
    <row r="1139" ht="15" customHeight="1" s="32">
      <c r="A1139" s="46" t="inlineStr">
        <is>
          <t>R-HB-1138</t>
        </is>
      </c>
      <c r="B1139" s="47" t="n">
        <v>45886</v>
      </c>
      <c r="C1139" s="46" t="inlineStr">
        <is>
          <t>2025-08</t>
        </is>
      </c>
      <c r="D1139" s="46" t="n">
        <v>2025</v>
      </c>
      <c r="E1139" s="46" t="inlineStr">
        <is>
          <t>P-HB-002</t>
        </is>
      </c>
      <c r="F1139" s="46" t="inlineStr">
        <is>
          <t>C-HB-02</t>
        </is>
      </c>
      <c r="G1139" s="48" t="inlineStr">
        <is>
          <t>미국</t>
        </is>
      </c>
      <c r="H1139" s="46" t="inlineStr">
        <is>
          <t>US</t>
        </is>
      </c>
      <c r="I1139" s="49" t="n">
        <v>593</v>
      </c>
      <c r="J1139" s="46" t="inlineStr">
        <is>
          <t>EA</t>
        </is>
      </c>
      <c r="K1139" s="50" t="n">
        <v>1.3</v>
      </c>
      <c r="L1139" s="50" t="n">
        <v>250530.92</v>
      </c>
      <c r="M1139" s="46" t="inlineStr">
        <is>
          <t>USD</t>
        </is>
      </c>
      <c r="N1139" s="46" t="inlineStr">
        <is>
          <t>FOB</t>
        </is>
      </c>
      <c r="O1139" s="46" t="inlineStr">
        <is>
          <t>N</t>
        </is>
      </c>
      <c r="P1139" s="50" t="n">
        <v>1388.999</v>
      </c>
      <c r="Q1139" s="49">
        <f>IF(OR(L1139="",M1139="",P1139=""),"",L1139*P1139)</f>
        <v/>
      </c>
    </row>
    <row r="1140" ht="15" customHeight="1" s="32">
      <c r="A1140" s="46" t="inlineStr">
        <is>
          <t>R-HB-1139</t>
        </is>
      </c>
      <c r="B1140" s="47" t="n">
        <v>45886</v>
      </c>
      <c r="C1140" s="46" t="inlineStr">
        <is>
          <t>2025-08</t>
        </is>
      </c>
      <c r="D1140" s="46" t="n">
        <v>2025</v>
      </c>
      <c r="E1140" s="46" t="inlineStr">
        <is>
          <t>P-HB-003</t>
        </is>
      </c>
      <c r="F1140" s="46" t="inlineStr">
        <is>
          <t>C-HB-05</t>
        </is>
      </c>
      <c r="G1140" s="48" t="inlineStr">
        <is>
          <t>독일</t>
        </is>
      </c>
      <c r="H1140" s="46" t="inlineStr">
        <is>
          <t>DE</t>
        </is>
      </c>
      <c r="I1140" s="49" t="n">
        <v>43181</v>
      </c>
      <c r="J1140" s="46" t="inlineStr">
        <is>
          <t>EA</t>
        </is>
      </c>
      <c r="K1140" s="50" t="n">
        <v>28.07</v>
      </c>
      <c r="L1140" s="50" t="n">
        <v>373274.23</v>
      </c>
      <c r="M1140" s="46" t="inlineStr">
        <is>
          <t>USD</t>
        </is>
      </c>
      <c r="N1140" s="46" t="inlineStr">
        <is>
          <t>FOB</t>
        </is>
      </c>
      <c r="O1140" s="46" t="inlineStr">
        <is>
          <t>N</t>
        </is>
      </c>
      <c r="P1140" s="50" t="n">
        <v>1388.999</v>
      </c>
      <c r="Q1140" s="49">
        <f>IF(OR(L1140="",M1140="",P1140=""),"",L1140*P1140)</f>
        <v/>
      </c>
    </row>
    <row r="1141" ht="15" customHeight="1" s="32">
      <c r="A1141" s="46" t="inlineStr">
        <is>
          <t>R-HB-1140</t>
        </is>
      </c>
      <c r="B1141" s="47" t="n">
        <v>45886</v>
      </c>
      <c r="C1141" s="46" t="inlineStr">
        <is>
          <t>2025-08</t>
        </is>
      </c>
      <c r="D1141" s="46" t="n">
        <v>2025</v>
      </c>
      <c r="E1141" s="46" t="inlineStr">
        <is>
          <t>P-HB-002</t>
        </is>
      </c>
      <c r="F1141" s="46" t="inlineStr">
        <is>
          <t>C-HB-08</t>
        </is>
      </c>
      <c r="G1141" s="48" t="inlineStr">
        <is>
          <t>중국</t>
        </is>
      </c>
      <c r="H1141" s="46" t="inlineStr">
        <is>
          <t>CN</t>
        </is>
      </c>
      <c r="I1141" s="49" t="n">
        <v>1254</v>
      </c>
      <c r="J1141" s="46" t="inlineStr">
        <is>
          <t>EA</t>
        </is>
      </c>
      <c r="K1141" s="50" t="n">
        <v>2.76</v>
      </c>
      <c r="L1141" s="50" t="n">
        <v>507787.01</v>
      </c>
      <c r="M1141" s="46" t="inlineStr">
        <is>
          <t>USD</t>
        </is>
      </c>
      <c r="N1141" s="46" t="inlineStr">
        <is>
          <t>FOB</t>
        </is>
      </c>
      <c r="O1141" s="46" t="inlineStr">
        <is>
          <t>N</t>
        </is>
      </c>
      <c r="P1141" s="50" t="n">
        <v>1388.999</v>
      </c>
      <c r="Q1141" s="49">
        <f>IF(OR(L1141="",M1141="",P1141=""),"",L1141*P1141)</f>
        <v/>
      </c>
    </row>
    <row r="1142" ht="15" customHeight="1" s="32">
      <c r="A1142" s="46" t="inlineStr">
        <is>
          <t>R-HB-1141</t>
        </is>
      </c>
      <c r="B1142" s="47" t="n">
        <v>45886</v>
      </c>
      <c r="C1142" s="46" t="inlineStr">
        <is>
          <t>2025-08</t>
        </is>
      </c>
      <c r="D1142" s="46" t="n">
        <v>2025</v>
      </c>
      <c r="E1142" s="46" t="inlineStr">
        <is>
          <t>P-HB-004</t>
        </is>
      </c>
      <c r="F1142" s="46" t="inlineStr">
        <is>
          <t>C-HB-09</t>
        </is>
      </c>
      <c r="G1142" s="48" t="inlineStr">
        <is>
          <t>중국</t>
        </is>
      </c>
      <c r="H1142" s="46" t="inlineStr">
        <is>
          <t>CN</t>
        </is>
      </c>
      <c r="I1142" s="49" t="n">
        <v>13489</v>
      </c>
      <c r="J1142" s="46" t="inlineStr">
        <is>
          <t>EA</t>
        </is>
      </c>
      <c r="K1142" s="50" t="n">
        <v>14.84</v>
      </c>
      <c r="L1142" s="50" t="n">
        <v>366389.26</v>
      </c>
      <c r="M1142" s="46" t="inlineStr">
        <is>
          <t>USD</t>
        </is>
      </c>
      <c r="N1142" s="46" t="inlineStr">
        <is>
          <t>FOB</t>
        </is>
      </c>
      <c r="O1142" s="46" t="inlineStr">
        <is>
          <t>N</t>
        </is>
      </c>
      <c r="P1142" s="50" t="n">
        <v>1388.999</v>
      </c>
      <c r="Q1142" s="49">
        <f>IF(OR(L1142="",M1142="",P1142=""),"",L1142*P1142)</f>
        <v/>
      </c>
    </row>
    <row r="1143" ht="15" customHeight="1" s="32">
      <c r="A1143" s="46" t="inlineStr">
        <is>
          <t>R-HB-1142</t>
        </is>
      </c>
      <c r="B1143" s="47" t="n">
        <v>45887</v>
      </c>
      <c r="C1143" s="46" t="inlineStr">
        <is>
          <t>2025-08</t>
        </is>
      </c>
      <c r="D1143" s="46" t="n">
        <v>2025</v>
      </c>
      <c r="E1143" s="46" t="inlineStr">
        <is>
          <t>P-HB-003</t>
        </is>
      </c>
      <c r="F1143" s="46" t="inlineStr">
        <is>
          <t>C-HB-06</t>
        </is>
      </c>
      <c r="G1143" s="48" t="inlineStr">
        <is>
          <t>베트남</t>
        </is>
      </c>
      <c r="H1143" s="46" t="inlineStr">
        <is>
          <t>VN</t>
        </is>
      </c>
      <c r="I1143" s="49" t="n">
        <v>38093</v>
      </c>
      <c r="J1143" s="46" t="inlineStr">
        <is>
          <t>EA</t>
        </is>
      </c>
      <c r="K1143" s="50" t="n">
        <v>24.76</v>
      </c>
      <c r="L1143" s="50" t="n">
        <v>317439.02</v>
      </c>
      <c r="M1143" s="46" t="inlineStr">
        <is>
          <t>USD</t>
        </is>
      </c>
      <c r="N1143" s="46" t="inlineStr">
        <is>
          <t>FOB</t>
        </is>
      </c>
      <c r="O1143" s="46" t="inlineStr">
        <is>
          <t>N</t>
        </is>
      </c>
      <c r="P1143" s="50" t="n">
        <v>1388.999</v>
      </c>
      <c r="Q1143" s="49">
        <f>IF(OR(L1143="",M1143="",P1143=""),"",L1143*P1143)</f>
        <v/>
      </c>
    </row>
    <row r="1144" ht="15" customHeight="1" s="32">
      <c r="A1144" s="46" t="inlineStr">
        <is>
          <t>R-HB-1143</t>
        </is>
      </c>
      <c r="B1144" s="47" t="n">
        <v>45888</v>
      </c>
      <c r="C1144" s="46" t="inlineStr">
        <is>
          <t>2025-08</t>
        </is>
      </c>
      <c r="D1144" s="46" t="n">
        <v>2025</v>
      </c>
      <c r="E1144" s="46" t="inlineStr">
        <is>
          <t>P-HB-001</t>
        </is>
      </c>
      <c r="F1144" s="46" t="inlineStr">
        <is>
          <t>C-HB-05</t>
        </is>
      </c>
      <c r="G1144" s="48" t="inlineStr">
        <is>
          <t>독일</t>
        </is>
      </c>
      <c r="H1144" s="46" t="inlineStr">
        <is>
          <t>DE</t>
        </is>
      </c>
      <c r="I1144" s="49" t="n">
        <v>142628</v>
      </c>
      <c r="J1144" s="46" t="inlineStr">
        <is>
          <t>EA</t>
        </is>
      </c>
      <c r="K1144" s="50" t="n">
        <v>64.18000000000001</v>
      </c>
      <c r="L1144" s="50" t="n">
        <v>859420.09</v>
      </c>
      <c r="M1144" s="46" t="inlineStr">
        <is>
          <t>USD</t>
        </is>
      </c>
      <c r="N1144" s="46" t="inlineStr">
        <is>
          <t>FOB</t>
        </is>
      </c>
      <c r="O1144" s="46" t="inlineStr">
        <is>
          <t>N</t>
        </is>
      </c>
      <c r="P1144" s="50" t="n">
        <v>1388.999</v>
      </c>
      <c r="Q1144" s="49">
        <f>IF(OR(L1144="",M1144="",P1144=""),"",L1144*P1144)</f>
        <v/>
      </c>
    </row>
    <row r="1145" ht="15" customHeight="1" s="32">
      <c r="A1145" s="46" t="inlineStr">
        <is>
          <t>R-HB-1144</t>
        </is>
      </c>
      <c r="B1145" s="47" t="n">
        <v>45888</v>
      </c>
      <c r="C1145" s="46" t="inlineStr">
        <is>
          <t>2025-08</t>
        </is>
      </c>
      <c r="D1145" s="46" t="n">
        <v>2025</v>
      </c>
      <c r="E1145" s="46" t="inlineStr">
        <is>
          <t>P-HB-003</t>
        </is>
      </c>
      <c r="F1145" s="46" t="inlineStr">
        <is>
          <t>C-HB-07</t>
        </is>
      </c>
      <c r="G1145" s="48" t="inlineStr">
        <is>
          <t>인도</t>
        </is>
      </c>
      <c r="H1145" s="46" t="inlineStr">
        <is>
          <t>IN</t>
        </is>
      </c>
      <c r="I1145" s="49" t="n">
        <v>25152</v>
      </c>
      <c r="J1145" s="46" t="inlineStr">
        <is>
          <t>EA</t>
        </is>
      </c>
      <c r="K1145" s="50" t="n">
        <v>16.35</v>
      </c>
      <c r="L1145" s="50" t="n">
        <v>206914.89</v>
      </c>
      <c r="M1145" s="46" t="inlineStr">
        <is>
          <t>USD</t>
        </is>
      </c>
      <c r="N1145" s="46" t="inlineStr">
        <is>
          <t>FOB</t>
        </is>
      </c>
      <c r="O1145" s="46" t="inlineStr">
        <is>
          <t>N</t>
        </is>
      </c>
      <c r="P1145" s="50" t="n">
        <v>1388.999</v>
      </c>
      <c r="Q1145" s="49">
        <f>IF(OR(L1145="",M1145="",P1145=""),"",L1145*P1145)</f>
        <v/>
      </c>
    </row>
    <row r="1146" ht="15" customHeight="1" s="32">
      <c r="A1146" s="46" t="inlineStr">
        <is>
          <t>R-HB-1145</t>
        </is>
      </c>
      <c r="B1146" s="47" t="n">
        <v>45890</v>
      </c>
      <c r="C1146" s="46" t="inlineStr">
        <is>
          <t>2025-08</t>
        </is>
      </c>
      <c r="D1146" s="46" t="n">
        <v>2025</v>
      </c>
      <c r="E1146" s="46" t="inlineStr">
        <is>
          <t>P-HB-001</t>
        </is>
      </c>
      <c r="F1146" s="46" t="inlineStr">
        <is>
          <t>C-HB-09</t>
        </is>
      </c>
      <c r="G1146" s="48" t="inlineStr">
        <is>
          <t>중국</t>
        </is>
      </c>
      <c r="H1146" s="46" t="inlineStr">
        <is>
          <t>CN</t>
        </is>
      </c>
      <c r="I1146" s="49" t="n">
        <v>143577</v>
      </c>
      <c r="J1146" s="46" t="inlineStr">
        <is>
          <t>EA</t>
        </is>
      </c>
      <c r="K1146" s="50" t="n">
        <v>64.61</v>
      </c>
      <c r="L1146" s="50" t="n">
        <v>841343.72</v>
      </c>
      <c r="M1146" s="46" t="inlineStr">
        <is>
          <t>USD</t>
        </is>
      </c>
      <c r="N1146" s="46" t="inlineStr">
        <is>
          <t>FOB</t>
        </is>
      </c>
      <c r="O1146" s="46" t="inlineStr">
        <is>
          <t>N</t>
        </is>
      </c>
      <c r="P1146" s="50" t="n">
        <v>1388.999</v>
      </c>
      <c r="Q1146" s="49">
        <f>IF(OR(L1146="",M1146="",P1146=""),"",L1146*P1146)</f>
        <v/>
      </c>
    </row>
    <row r="1147" ht="15" customHeight="1" s="32">
      <c r="A1147" s="46" t="inlineStr">
        <is>
          <t>R-HB-1146</t>
        </is>
      </c>
      <c r="B1147" s="47" t="n">
        <v>45891</v>
      </c>
      <c r="C1147" s="46" t="inlineStr">
        <is>
          <t>2025-08</t>
        </is>
      </c>
      <c r="D1147" s="46" t="n">
        <v>2025</v>
      </c>
      <c r="E1147" s="46" t="inlineStr">
        <is>
          <t>P-HB-002</t>
        </is>
      </c>
      <c r="F1147" s="46" t="inlineStr">
        <is>
          <t>C-HB-06</t>
        </is>
      </c>
      <c r="G1147" s="48" t="inlineStr">
        <is>
          <t>베트남</t>
        </is>
      </c>
      <c r="H1147" s="46" t="inlineStr">
        <is>
          <t>VN</t>
        </is>
      </c>
      <c r="I1147" s="49" t="n">
        <v>915</v>
      </c>
      <c r="J1147" s="46" t="inlineStr">
        <is>
          <t>EA</t>
        </is>
      </c>
      <c r="K1147" s="50" t="n">
        <v>2.01</v>
      </c>
      <c r="L1147" s="50" t="n">
        <v>377920.07</v>
      </c>
      <c r="M1147" s="46" t="inlineStr">
        <is>
          <t>USD</t>
        </is>
      </c>
      <c r="N1147" s="46" t="inlineStr">
        <is>
          <t>FOB</t>
        </is>
      </c>
      <c r="O1147" s="46" t="inlineStr">
        <is>
          <t>N</t>
        </is>
      </c>
      <c r="P1147" s="50" t="n">
        <v>1388.999</v>
      </c>
      <c r="Q1147" s="49">
        <f>IF(OR(L1147="",M1147="",P1147=""),"",L1147*P1147)</f>
        <v/>
      </c>
    </row>
    <row r="1148" ht="15" customHeight="1" s="32">
      <c r="A1148" s="46" t="inlineStr">
        <is>
          <t>R-HB-1147</t>
        </is>
      </c>
      <c r="B1148" s="47" t="n">
        <v>45892</v>
      </c>
      <c r="C1148" s="46" t="inlineStr">
        <is>
          <t>2025-08</t>
        </is>
      </c>
      <c r="D1148" s="46" t="n">
        <v>2025</v>
      </c>
      <c r="E1148" s="46" t="inlineStr">
        <is>
          <t>P-HB-001</t>
        </is>
      </c>
      <c r="F1148" s="46" t="inlineStr">
        <is>
          <t>C-HB-02</t>
        </is>
      </c>
      <c r="G1148" s="48" t="inlineStr">
        <is>
          <t>미국</t>
        </is>
      </c>
      <c r="H1148" s="46" t="inlineStr">
        <is>
          <t>US</t>
        </is>
      </c>
      <c r="I1148" s="49" t="n">
        <v>96872</v>
      </c>
      <c r="J1148" s="46" t="inlineStr">
        <is>
          <t>EA</t>
        </is>
      </c>
      <c r="K1148" s="50" t="n">
        <v>43.59</v>
      </c>
      <c r="L1148" s="50" t="n">
        <v>605393.8100000001</v>
      </c>
      <c r="M1148" s="46" t="inlineStr">
        <is>
          <t>USD</t>
        </is>
      </c>
      <c r="N1148" s="46" t="inlineStr">
        <is>
          <t>FOB</t>
        </is>
      </c>
      <c r="O1148" s="46" t="inlineStr">
        <is>
          <t>N</t>
        </is>
      </c>
      <c r="P1148" s="50" t="n">
        <v>1388.999</v>
      </c>
      <c r="Q1148" s="49">
        <f>IF(OR(L1148="",M1148="",P1148=""),"",L1148*P1148)</f>
        <v/>
      </c>
    </row>
    <row r="1149" ht="15" customHeight="1" s="32">
      <c r="A1149" s="46" t="inlineStr">
        <is>
          <t>R-HB-1148</t>
        </is>
      </c>
      <c r="B1149" s="47" t="n">
        <v>45892</v>
      </c>
      <c r="C1149" s="46" t="inlineStr">
        <is>
          <t>2025-08</t>
        </is>
      </c>
      <c r="D1149" s="46" t="n">
        <v>2025</v>
      </c>
      <c r="E1149" s="46" t="inlineStr">
        <is>
          <t>P-HB-003</t>
        </is>
      </c>
      <c r="F1149" s="46" t="inlineStr">
        <is>
          <t>C-HB-02</t>
        </is>
      </c>
      <c r="G1149" s="48" t="inlineStr">
        <is>
          <t>미국</t>
        </is>
      </c>
      <c r="H1149" s="46" t="inlineStr">
        <is>
          <t>US</t>
        </is>
      </c>
      <c r="I1149" s="49" t="n">
        <v>28101</v>
      </c>
      <c r="J1149" s="46" t="inlineStr">
        <is>
          <t>EA</t>
        </is>
      </c>
      <c r="K1149" s="50" t="n">
        <v>18.27</v>
      </c>
      <c r="L1149" s="50" t="n">
        <v>243005.68</v>
      </c>
      <c r="M1149" s="46" t="inlineStr">
        <is>
          <t>USD</t>
        </is>
      </c>
      <c r="N1149" s="46" t="inlineStr">
        <is>
          <t>FOB</t>
        </is>
      </c>
      <c r="O1149" s="46" t="inlineStr">
        <is>
          <t>N</t>
        </is>
      </c>
      <c r="P1149" s="50" t="n">
        <v>1388.999</v>
      </c>
      <c r="Q1149" s="49">
        <f>IF(OR(L1149="",M1149="",P1149=""),"",L1149*P1149)</f>
        <v/>
      </c>
    </row>
    <row r="1150" ht="15" customHeight="1" s="32">
      <c r="A1150" s="46" t="inlineStr">
        <is>
          <t>R-HB-1149</t>
        </is>
      </c>
      <c r="B1150" s="47" t="n">
        <v>45892</v>
      </c>
      <c r="C1150" s="46" t="inlineStr">
        <is>
          <t>2025-08</t>
        </is>
      </c>
      <c r="D1150" s="46" t="n">
        <v>2025</v>
      </c>
      <c r="E1150" s="46" t="inlineStr">
        <is>
          <t>P-HB-004</t>
        </is>
      </c>
      <c r="F1150" s="46" t="inlineStr">
        <is>
          <t>C-HB-08</t>
        </is>
      </c>
      <c r="G1150" s="48" t="inlineStr">
        <is>
          <t>중국</t>
        </is>
      </c>
      <c r="H1150" s="46" t="inlineStr">
        <is>
          <t>CN</t>
        </is>
      </c>
      <c r="I1150" s="49" t="n">
        <v>20469</v>
      </c>
      <c r="J1150" s="46" t="inlineStr">
        <is>
          <t>EA</t>
        </is>
      </c>
      <c r="K1150" s="50" t="n">
        <v>22.52</v>
      </c>
      <c r="L1150" s="50" t="n">
        <v>589139.3199999999</v>
      </c>
      <c r="M1150" s="46" t="inlineStr">
        <is>
          <t>USD</t>
        </is>
      </c>
      <c r="N1150" s="46" t="inlineStr">
        <is>
          <t>FOB</t>
        </is>
      </c>
      <c r="O1150" s="46" t="inlineStr">
        <is>
          <t>N</t>
        </is>
      </c>
      <c r="P1150" s="50" t="n">
        <v>1388.999</v>
      </c>
      <c r="Q1150" s="49">
        <f>IF(OR(L1150="",M1150="",P1150=""),"",L1150*P1150)</f>
        <v/>
      </c>
    </row>
    <row r="1151" ht="15" customHeight="1" s="32">
      <c r="A1151" s="46" t="inlineStr">
        <is>
          <t>R-HB-1150</t>
        </is>
      </c>
      <c r="B1151" s="47" t="n">
        <v>45893</v>
      </c>
      <c r="C1151" s="46" t="inlineStr">
        <is>
          <t>2025-08</t>
        </is>
      </c>
      <c r="D1151" s="46" t="n">
        <v>2025</v>
      </c>
      <c r="E1151" s="46" t="inlineStr">
        <is>
          <t>P-HB-003</t>
        </is>
      </c>
      <c r="F1151" s="46" t="inlineStr">
        <is>
          <t>C-HB-01</t>
        </is>
      </c>
      <c r="G1151" s="48" t="inlineStr">
        <is>
          <t>미국</t>
        </is>
      </c>
      <c r="H1151" s="46" t="inlineStr">
        <is>
          <t>US</t>
        </is>
      </c>
      <c r="I1151" s="49" t="n">
        <v>49734</v>
      </c>
      <c r="J1151" s="46" t="inlineStr">
        <is>
          <t>EA</t>
        </is>
      </c>
      <c r="K1151" s="50" t="n">
        <v>32.33</v>
      </c>
      <c r="L1151" s="50" t="n">
        <v>407133.8</v>
      </c>
      <c r="M1151" s="46" t="inlineStr">
        <is>
          <t>USD</t>
        </is>
      </c>
      <c r="N1151" s="46" t="inlineStr">
        <is>
          <t>FOB</t>
        </is>
      </c>
      <c r="O1151" s="46" t="inlineStr">
        <is>
          <t>N</t>
        </is>
      </c>
      <c r="P1151" s="50" t="n">
        <v>1388.999</v>
      </c>
      <c r="Q1151" s="49">
        <f>IF(OR(L1151="",M1151="",P1151=""),"",L1151*P1151)</f>
        <v/>
      </c>
    </row>
    <row r="1152" ht="15" customHeight="1" s="32">
      <c r="A1152" s="46" t="inlineStr">
        <is>
          <t>R-HB-1151</t>
        </is>
      </c>
      <c r="B1152" s="47" t="n">
        <v>45893</v>
      </c>
      <c r="C1152" s="46" t="inlineStr">
        <is>
          <t>2025-08</t>
        </is>
      </c>
      <c r="D1152" s="46" t="n">
        <v>2025</v>
      </c>
      <c r="E1152" s="46" t="inlineStr">
        <is>
          <t>P-HB-001</t>
        </is>
      </c>
      <c r="F1152" s="46" t="inlineStr">
        <is>
          <t>C-HB-08</t>
        </is>
      </c>
      <c r="G1152" s="48" t="inlineStr">
        <is>
          <t>중국</t>
        </is>
      </c>
      <c r="H1152" s="46" t="inlineStr">
        <is>
          <t>CN</t>
        </is>
      </c>
      <c r="I1152" s="49" t="n">
        <v>209544</v>
      </c>
      <c r="J1152" s="46" t="inlineStr">
        <is>
          <t>EA</t>
        </is>
      </c>
      <c r="K1152" s="50" t="n">
        <v>94.29000000000001</v>
      </c>
      <c r="L1152" s="50" t="n">
        <v>1282047.1</v>
      </c>
      <c r="M1152" s="46" t="inlineStr">
        <is>
          <t>USD</t>
        </is>
      </c>
      <c r="N1152" s="46" t="inlineStr">
        <is>
          <t>FOB</t>
        </is>
      </c>
      <c r="O1152" s="46" t="inlineStr">
        <is>
          <t>N</t>
        </is>
      </c>
      <c r="P1152" s="50" t="n">
        <v>1388.999</v>
      </c>
      <c r="Q1152" s="49">
        <f>IF(OR(L1152="",M1152="",P1152=""),"",L1152*P1152)</f>
        <v/>
      </c>
    </row>
    <row r="1153" ht="15" customHeight="1" s="32">
      <c r="A1153" s="46" t="inlineStr">
        <is>
          <t>R-HB-1152</t>
        </is>
      </c>
      <c r="B1153" s="47" t="n">
        <v>45894</v>
      </c>
      <c r="C1153" s="46" t="inlineStr">
        <is>
          <t>2025-08</t>
        </is>
      </c>
      <c r="D1153" s="46" t="n">
        <v>2025</v>
      </c>
      <c r="E1153" s="46" t="inlineStr">
        <is>
          <t>P-HB-002</t>
        </is>
      </c>
      <c r="F1153" s="46" t="inlineStr">
        <is>
          <t>C-HB-03</t>
        </is>
      </c>
      <c r="G1153" s="48" t="inlineStr">
        <is>
          <t>멕시코</t>
        </is>
      </c>
      <c r="H1153" s="46" t="inlineStr">
        <is>
          <t>MX</t>
        </is>
      </c>
      <c r="I1153" s="49" t="n">
        <v>208</v>
      </c>
      <c r="J1153" s="46" t="inlineStr">
        <is>
          <t>EA</t>
        </is>
      </c>
      <c r="K1153" s="50" t="n">
        <v>0.46</v>
      </c>
      <c r="L1153" s="50" t="n">
        <v>89144.48</v>
      </c>
      <c r="M1153" s="46" t="inlineStr">
        <is>
          <t>USD</t>
        </is>
      </c>
      <c r="N1153" s="46" t="inlineStr">
        <is>
          <t>FOB</t>
        </is>
      </c>
      <c r="O1153" s="46" t="inlineStr">
        <is>
          <t>N</t>
        </is>
      </c>
      <c r="P1153" s="50" t="n">
        <v>1388.999</v>
      </c>
      <c r="Q1153" s="49">
        <f>IF(OR(L1153="",M1153="",P1153=""),"",L1153*P1153)</f>
        <v/>
      </c>
    </row>
    <row r="1154" ht="15" customHeight="1" s="32">
      <c r="A1154" s="46" t="inlineStr">
        <is>
          <t>R-HB-1153</t>
        </is>
      </c>
      <c r="B1154" s="47" t="n">
        <v>45904</v>
      </c>
      <c r="C1154" s="46" t="inlineStr">
        <is>
          <t>2025-09</t>
        </is>
      </c>
      <c r="D1154" s="46" t="n">
        <v>2025</v>
      </c>
      <c r="E1154" s="46" t="inlineStr">
        <is>
          <t>P-HB-001</t>
        </is>
      </c>
      <c r="F1154" s="46" t="inlineStr">
        <is>
          <t>C-HB-02</t>
        </is>
      </c>
      <c r="G1154" s="48" t="inlineStr">
        <is>
          <t>미국</t>
        </is>
      </c>
      <c r="H1154" s="46" t="inlineStr">
        <is>
          <t>US</t>
        </is>
      </c>
      <c r="I1154" s="49" t="n">
        <v>89470</v>
      </c>
      <c r="J1154" s="46" t="inlineStr">
        <is>
          <t>EA</t>
        </is>
      </c>
      <c r="K1154" s="50" t="n">
        <v>40.26</v>
      </c>
      <c r="L1154" s="50" t="n">
        <v>556989.1800000001</v>
      </c>
      <c r="M1154" s="46" t="inlineStr">
        <is>
          <t>USD</t>
        </is>
      </c>
      <c r="N1154" s="46" t="inlineStr">
        <is>
          <t>FOB</t>
        </is>
      </c>
      <c r="O1154" s="46" t="inlineStr">
        <is>
          <t>N</t>
        </is>
      </c>
      <c r="P1154" s="50" t="n">
        <v>1392.9052</v>
      </c>
      <c r="Q1154" s="49">
        <f>IF(OR(L1154="",M1154="",P1154=""),"",L1154*P1154)</f>
        <v/>
      </c>
    </row>
    <row r="1155" ht="15" customHeight="1" s="32">
      <c r="A1155" s="46" t="inlineStr">
        <is>
          <t>R-HB-1154</t>
        </is>
      </c>
      <c r="B1155" s="47" t="n">
        <v>45904</v>
      </c>
      <c r="C1155" s="46" t="inlineStr">
        <is>
          <t>2025-09</t>
        </is>
      </c>
      <c r="D1155" s="46" t="n">
        <v>2025</v>
      </c>
      <c r="E1155" s="46" t="inlineStr">
        <is>
          <t>P-HB-003</t>
        </is>
      </c>
      <c r="F1155" s="46" t="inlineStr">
        <is>
          <t>C-HB-03</t>
        </is>
      </c>
      <c r="G1155" s="48" t="inlineStr">
        <is>
          <t>멕시코</t>
        </is>
      </c>
      <c r="H1155" s="46" t="inlineStr">
        <is>
          <t>MX</t>
        </is>
      </c>
      <c r="I1155" s="49" t="n">
        <v>9363</v>
      </c>
      <c r="J1155" s="46" t="inlineStr">
        <is>
          <t>EA</t>
        </is>
      </c>
      <c r="K1155" s="50" t="n">
        <v>6.09</v>
      </c>
      <c r="L1155" s="50" t="n">
        <v>83059.03999999999</v>
      </c>
      <c r="M1155" s="46" t="inlineStr">
        <is>
          <t>USD</t>
        </is>
      </c>
      <c r="N1155" s="46" t="inlineStr">
        <is>
          <t>FOB</t>
        </is>
      </c>
      <c r="O1155" s="46" t="inlineStr">
        <is>
          <t>N</t>
        </is>
      </c>
      <c r="P1155" s="50" t="n">
        <v>1392.9052</v>
      </c>
      <c r="Q1155" s="49">
        <f>IF(OR(L1155="",M1155="",P1155=""),"",L1155*P1155)</f>
        <v/>
      </c>
    </row>
    <row r="1156" ht="15" customHeight="1" s="32">
      <c r="A1156" s="46" t="inlineStr">
        <is>
          <t>R-HB-1155</t>
        </is>
      </c>
      <c r="B1156" s="47" t="n">
        <v>45904</v>
      </c>
      <c r="C1156" s="46" t="inlineStr">
        <is>
          <t>2025-09</t>
        </is>
      </c>
      <c r="D1156" s="46" t="n">
        <v>2025</v>
      </c>
      <c r="E1156" s="46" t="inlineStr">
        <is>
          <t>P-HB-003</t>
        </is>
      </c>
      <c r="F1156" s="46" t="inlineStr">
        <is>
          <t>C-HB-07</t>
        </is>
      </c>
      <c r="G1156" s="48" t="inlineStr">
        <is>
          <t>인도</t>
        </is>
      </c>
      <c r="H1156" s="46" t="inlineStr">
        <is>
          <t>IN</t>
        </is>
      </c>
      <c r="I1156" s="49" t="n">
        <v>25004</v>
      </c>
      <c r="J1156" s="46" t="inlineStr">
        <is>
          <t>EA</t>
        </is>
      </c>
      <c r="K1156" s="50" t="n">
        <v>16.25</v>
      </c>
      <c r="L1156" s="50" t="n">
        <v>222550.34</v>
      </c>
      <c r="M1156" s="46" t="inlineStr">
        <is>
          <t>USD</t>
        </is>
      </c>
      <c r="N1156" s="46" t="inlineStr">
        <is>
          <t>FOB</t>
        </is>
      </c>
      <c r="O1156" s="46" t="inlineStr">
        <is>
          <t>N</t>
        </is>
      </c>
      <c r="P1156" s="50" t="n">
        <v>1392.9052</v>
      </c>
      <c r="Q1156" s="49">
        <f>IF(OR(L1156="",M1156="",P1156=""),"",L1156*P1156)</f>
        <v/>
      </c>
    </row>
    <row r="1157" ht="15" customHeight="1" s="32">
      <c r="A1157" s="46" t="inlineStr">
        <is>
          <t>R-HB-1156</t>
        </is>
      </c>
      <c r="B1157" s="47" t="n">
        <v>45904</v>
      </c>
      <c r="C1157" s="46" t="inlineStr">
        <is>
          <t>2025-09</t>
        </is>
      </c>
      <c r="D1157" s="46" t="n">
        <v>2025</v>
      </c>
      <c r="E1157" s="46" t="inlineStr">
        <is>
          <t>P-HB-004</t>
        </is>
      </c>
      <c r="F1157" s="46" t="inlineStr">
        <is>
          <t>C-HB-08</t>
        </is>
      </c>
      <c r="G1157" s="48" t="inlineStr">
        <is>
          <t>중국</t>
        </is>
      </c>
      <c r="H1157" s="46" t="inlineStr">
        <is>
          <t>CN</t>
        </is>
      </c>
      <c r="I1157" s="49" t="n">
        <v>18753</v>
      </c>
      <c r="J1157" s="46" t="inlineStr">
        <is>
          <t>EA</t>
        </is>
      </c>
      <c r="K1157" s="50" t="n">
        <v>20.63</v>
      </c>
      <c r="L1157" s="50" t="n">
        <v>541597.16</v>
      </c>
      <c r="M1157" s="46" t="inlineStr">
        <is>
          <t>USD</t>
        </is>
      </c>
      <c r="N1157" s="46" t="inlineStr">
        <is>
          <t>FOB</t>
        </is>
      </c>
      <c r="O1157" s="46" t="inlineStr">
        <is>
          <t>N</t>
        </is>
      </c>
      <c r="P1157" s="50" t="n">
        <v>1392.9052</v>
      </c>
      <c r="Q1157" s="49">
        <f>IF(OR(L1157="",M1157="",P1157=""),"",L1157*P1157)</f>
        <v/>
      </c>
    </row>
    <row r="1158" ht="15" customHeight="1" s="32">
      <c r="A1158" s="46" t="inlineStr">
        <is>
          <t>R-HB-1157</t>
        </is>
      </c>
      <c r="B1158" s="47" t="n">
        <v>45905</v>
      </c>
      <c r="C1158" s="46" t="inlineStr">
        <is>
          <t>2025-09</t>
        </is>
      </c>
      <c r="D1158" s="46" t="n">
        <v>2025</v>
      </c>
      <c r="E1158" s="46" t="inlineStr">
        <is>
          <t>P-HB-002</t>
        </is>
      </c>
      <c r="F1158" s="46" t="inlineStr">
        <is>
          <t>C-HB-02</t>
        </is>
      </c>
      <c r="G1158" s="48" t="inlineStr">
        <is>
          <t>미국</t>
        </is>
      </c>
      <c r="H1158" s="46" t="inlineStr">
        <is>
          <t>US</t>
        </is>
      </c>
      <c r="I1158" s="49" t="n">
        <v>562</v>
      </c>
      <c r="J1158" s="46" t="inlineStr">
        <is>
          <t>EA</t>
        </is>
      </c>
      <c r="K1158" s="50" t="n">
        <v>1.24</v>
      </c>
      <c r="L1158" s="50" t="n">
        <v>238623.99</v>
      </c>
      <c r="M1158" s="46" t="inlineStr">
        <is>
          <t>USD</t>
        </is>
      </c>
      <c r="N1158" s="46" t="inlineStr">
        <is>
          <t>FOB</t>
        </is>
      </c>
      <c r="O1158" s="46" t="inlineStr">
        <is>
          <t>N</t>
        </is>
      </c>
      <c r="P1158" s="50" t="n">
        <v>1392.9052</v>
      </c>
      <c r="Q1158" s="49">
        <f>IF(OR(L1158="",M1158="",P1158=""),"",L1158*P1158)</f>
        <v/>
      </c>
    </row>
    <row r="1159" ht="15" customHeight="1" s="32">
      <c r="A1159" s="46" t="inlineStr">
        <is>
          <t>R-HB-1158</t>
        </is>
      </c>
      <c r="B1159" s="47" t="n">
        <v>45905</v>
      </c>
      <c r="C1159" s="46" t="inlineStr">
        <is>
          <t>2025-09</t>
        </is>
      </c>
      <c r="D1159" s="46" t="n">
        <v>2025</v>
      </c>
      <c r="E1159" s="46" t="inlineStr">
        <is>
          <t>P-HB-003</t>
        </is>
      </c>
      <c r="F1159" s="46" t="inlineStr">
        <is>
          <t>C-HB-05</t>
        </is>
      </c>
      <c r="G1159" s="48" t="inlineStr">
        <is>
          <t>독일</t>
        </is>
      </c>
      <c r="H1159" s="46" t="inlineStr">
        <is>
          <t>DE</t>
        </is>
      </c>
      <c r="I1159" s="49" t="n">
        <v>39932</v>
      </c>
      <c r="J1159" s="46" t="inlineStr">
        <is>
          <t>EA</t>
        </is>
      </c>
      <c r="K1159" s="50" t="n">
        <v>25.96</v>
      </c>
      <c r="L1159" s="50" t="n">
        <v>344194.06</v>
      </c>
      <c r="M1159" s="46" t="inlineStr">
        <is>
          <t>USD</t>
        </is>
      </c>
      <c r="N1159" s="46" t="inlineStr">
        <is>
          <t>FOB</t>
        </is>
      </c>
      <c r="O1159" s="46" t="inlineStr">
        <is>
          <t>N</t>
        </is>
      </c>
      <c r="P1159" s="50" t="n">
        <v>1392.9052</v>
      </c>
      <c r="Q1159" s="49">
        <f>IF(OR(L1159="",M1159="",P1159=""),"",L1159*P1159)</f>
        <v/>
      </c>
    </row>
    <row r="1160" ht="15" customHeight="1" s="32">
      <c r="A1160" s="46" t="inlineStr">
        <is>
          <t>R-HB-1159</t>
        </is>
      </c>
      <c r="B1160" s="47" t="n">
        <v>45906</v>
      </c>
      <c r="C1160" s="46" t="inlineStr">
        <is>
          <t>2025-09</t>
        </is>
      </c>
      <c r="D1160" s="46" t="n">
        <v>2025</v>
      </c>
      <c r="E1160" s="46" t="inlineStr">
        <is>
          <t>P-HB-001</t>
        </is>
      </c>
      <c r="F1160" s="46" t="inlineStr">
        <is>
          <t>C-HB-07</t>
        </is>
      </c>
      <c r="G1160" s="48" t="inlineStr">
        <is>
          <t>인도</t>
        </is>
      </c>
      <c r="H1160" s="46" t="inlineStr">
        <is>
          <t>IN</t>
        </is>
      </c>
      <c r="I1160" s="49" t="n">
        <v>92506</v>
      </c>
      <c r="J1160" s="46" t="inlineStr">
        <is>
          <t>EA</t>
        </is>
      </c>
      <c r="K1160" s="50" t="n">
        <v>41.63</v>
      </c>
      <c r="L1160" s="50" t="n">
        <v>568864.87</v>
      </c>
      <c r="M1160" s="46" t="inlineStr">
        <is>
          <t>USD</t>
        </is>
      </c>
      <c r="N1160" s="46" t="inlineStr">
        <is>
          <t>FOB</t>
        </is>
      </c>
      <c r="O1160" s="46" t="inlineStr">
        <is>
          <t>N</t>
        </is>
      </c>
      <c r="P1160" s="50" t="n">
        <v>1392.9052</v>
      </c>
      <c r="Q1160" s="49">
        <f>IF(OR(L1160="",M1160="",P1160=""),"",L1160*P1160)</f>
        <v/>
      </c>
    </row>
    <row r="1161" ht="15" customHeight="1" s="32">
      <c r="A1161" s="46" t="inlineStr">
        <is>
          <t>R-HB-1160</t>
        </is>
      </c>
      <c r="B1161" s="47" t="n">
        <v>45906</v>
      </c>
      <c r="C1161" s="46" t="inlineStr">
        <is>
          <t>2025-09</t>
        </is>
      </c>
      <c r="D1161" s="46" t="n">
        <v>2025</v>
      </c>
      <c r="E1161" s="46" t="inlineStr">
        <is>
          <t>P-HB-002</t>
        </is>
      </c>
      <c r="F1161" s="46" t="inlineStr">
        <is>
          <t>C-HB-07</t>
        </is>
      </c>
      <c r="G1161" s="48" t="inlineStr">
        <is>
          <t>인도</t>
        </is>
      </c>
      <c r="H1161" s="46" t="inlineStr">
        <is>
          <t>IN</t>
        </is>
      </c>
      <c r="I1161" s="49" t="n">
        <v>563</v>
      </c>
      <c r="J1161" s="46" t="inlineStr">
        <is>
          <t>EA</t>
        </is>
      </c>
      <c r="K1161" s="50" t="n">
        <v>1.24</v>
      </c>
      <c r="L1161" s="50" t="n">
        <v>237573.95</v>
      </c>
      <c r="M1161" s="46" t="inlineStr">
        <is>
          <t>USD</t>
        </is>
      </c>
      <c r="N1161" s="46" t="inlineStr">
        <is>
          <t>FOB</t>
        </is>
      </c>
      <c r="O1161" s="46" t="inlineStr">
        <is>
          <t>N</t>
        </is>
      </c>
      <c r="P1161" s="50" t="n">
        <v>1392.9052</v>
      </c>
      <c r="Q1161" s="49">
        <f>IF(OR(L1161="",M1161="",P1161=""),"",L1161*P1161)</f>
        <v/>
      </c>
    </row>
    <row r="1162" ht="15" customHeight="1" s="32">
      <c r="A1162" s="46" t="inlineStr">
        <is>
          <t>R-HB-1161</t>
        </is>
      </c>
      <c r="B1162" s="47" t="n">
        <v>45909</v>
      </c>
      <c r="C1162" s="46" t="inlineStr">
        <is>
          <t>2025-09</t>
        </is>
      </c>
      <c r="D1162" s="46" t="n">
        <v>2025</v>
      </c>
      <c r="E1162" s="46" t="inlineStr">
        <is>
          <t>P-HB-001</t>
        </is>
      </c>
      <c r="F1162" s="46" t="inlineStr">
        <is>
          <t>C-HB-05</t>
        </is>
      </c>
      <c r="G1162" s="48" t="inlineStr">
        <is>
          <t>독일</t>
        </is>
      </c>
      <c r="H1162" s="46" t="inlineStr">
        <is>
          <t>DE</t>
        </is>
      </c>
      <c r="I1162" s="49" t="n">
        <v>147311</v>
      </c>
      <c r="J1162" s="46" t="inlineStr">
        <is>
          <t>EA</t>
        </is>
      </c>
      <c r="K1162" s="50" t="n">
        <v>66.29000000000001</v>
      </c>
      <c r="L1162" s="50" t="n">
        <v>921352.22</v>
      </c>
      <c r="M1162" s="46" t="inlineStr">
        <is>
          <t>USD</t>
        </is>
      </c>
      <c r="N1162" s="46" t="inlineStr">
        <is>
          <t>FOB</t>
        </is>
      </c>
      <c r="O1162" s="46" t="inlineStr">
        <is>
          <t>N</t>
        </is>
      </c>
      <c r="P1162" s="50" t="n">
        <v>1392.9052</v>
      </c>
      <c r="Q1162" s="49">
        <f>IF(OR(L1162="",M1162="",P1162=""),"",L1162*P1162)</f>
        <v/>
      </c>
    </row>
    <row r="1163" ht="15" customHeight="1" s="32">
      <c r="A1163" s="46" t="inlineStr">
        <is>
          <t>R-HB-1162</t>
        </is>
      </c>
      <c r="B1163" s="47" t="n">
        <v>45910</v>
      </c>
      <c r="C1163" s="46" t="inlineStr">
        <is>
          <t>2025-09</t>
        </is>
      </c>
      <c r="D1163" s="46" t="n">
        <v>2025</v>
      </c>
      <c r="E1163" s="46" t="inlineStr">
        <is>
          <t>P-HB-002</t>
        </is>
      </c>
      <c r="F1163" s="46" t="inlineStr">
        <is>
          <t>C-HB-03</t>
        </is>
      </c>
      <c r="G1163" s="48" t="inlineStr">
        <is>
          <t>멕시코</t>
        </is>
      </c>
      <c r="H1163" s="46" t="inlineStr">
        <is>
          <t>MX</t>
        </is>
      </c>
      <c r="I1163" s="49" t="n">
        <v>193</v>
      </c>
      <c r="J1163" s="46" t="inlineStr">
        <is>
          <t>EA</t>
        </is>
      </c>
      <c r="K1163" s="50" t="n">
        <v>0.42</v>
      </c>
      <c r="L1163" s="50" t="n">
        <v>80026.84</v>
      </c>
      <c r="M1163" s="46" t="inlineStr">
        <is>
          <t>USD</t>
        </is>
      </c>
      <c r="N1163" s="46" t="inlineStr">
        <is>
          <t>FOB</t>
        </is>
      </c>
      <c r="O1163" s="46" t="inlineStr">
        <is>
          <t>N</t>
        </is>
      </c>
      <c r="P1163" s="50" t="n">
        <v>1392.9052</v>
      </c>
      <c r="Q1163" s="49">
        <f>IF(OR(L1163="",M1163="",P1163=""),"",L1163*P1163)</f>
        <v/>
      </c>
    </row>
    <row r="1164" ht="15" customHeight="1" s="32">
      <c r="A1164" s="46" t="inlineStr">
        <is>
          <t>R-HB-1163</t>
        </is>
      </c>
      <c r="B1164" s="47" t="n">
        <v>45910</v>
      </c>
      <c r="C1164" s="46" t="inlineStr">
        <is>
          <t>2025-09</t>
        </is>
      </c>
      <c r="D1164" s="46" t="n">
        <v>2025</v>
      </c>
      <c r="E1164" s="46" t="inlineStr">
        <is>
          <t>P-HB-002</t>
        </is>
      </c>
      <c r="F1164" s="46" t="inlineStr">
        <is>
          <t>C-HB-08</t>
        </is>
      </c>
      <c r="G1164" s="48" t="inlineStr">
        <is>
          <t>중국</t>
        </is>
      </c>
      <c r="H1164" s="46" t="inlineStr">
        <is>
          <t>CN</t>
        </is>
      </c>
      <c r="I1164" s="49" t="n">
        <v>1264</v>
      </c>
      <c r="J1164" s="46" t="inlineStr">
        <is>
          <t>EA</t>
        </is>
      </c>
      <c r="K1164" s="50" t="n">
        <v>2.78</v>
      </c>
      <c r="L1164" s="50" t="n">
        <v>516454.57</v>
      </c>
      <c r="M1164" s="46" t="inlineStr">
        <is>
          <t>USD</t>
        </is>
      </c>
      <c r="N1164" s="46" t="inlineStr">
        <is>
          <t>FOB</t>
        </is>
      </c>
      <c r="O1164" s="46" t="inlineStr">
        <is>
          <t>N</t>
        </is>
      </c>
      <c r="P1164" s="50" t="n">
        <v>1392.9052</v>
      </c>
      <c r="Q1164" s="49">
        <f>IF(OR(L1164="",M1164="",P1164=""),"",L1164*P1164)</f>
        <v/>
      </c>
    </row>
    <row r="1165" ht="15" customHeight="1" s="32">
      <c r="A1165" s="46" t="inlineStr">
        <is>
          <t>R-HB-1164</t>
        </is>
      </c>
      <c r="B1165" s="47" t="n">
        <v>45912</v>
      </c>
      <c r="C1165" s="46" t="inlineStr">
        <is>
          <t>2025-09</t>
        </is>
      </c>
      <c r="D1165" s="46" t="n">
        <v>2025</v>
      </c>
      <c r="E1165" s="46" t="inlineStr">
        <is>
          <t>P-HB-002</t>
        </is>
      </c>
      <c r="F1165" s="46" t="inlineStr">
        <is>
          <t>C-HB-01</t>
        </is>
      </c>
      <c r="G1165" s="48" t="inlineStr">
        <is>
          <t>미국</t>
        </is>
      </c>
      <c r="H1165" s="46" t="inlineStr">
        <is>
          <t>US</t>
        </is>
      </c>
      <c r="I1165" s="49" t="n">
        <v>1020</v>
      </c>
      <c r="J1165" s="46" t="inlineStr">
        <is>
          <t>EA</t>
        </is>
      </c>
      <c r="K1165" s="50" t="n">
        <v>2.24</v>
      </c>
      <c r="L1165" s="50" t="n">
        <v>444201.65</v>
      </c>
      <c r="M1165" s="46" t="inlineStr">
        <is>
          <t>USD</t>
        </is>
      </c>
      <c r="N1165" s="46" t="inlineStr">
        <is>
          <t>FOB</t>
        </is>
      </c>
      <c r="O1165" s="46" t="inlineStr">
        <is>
          <t>N</t>
        </is>
      </c>
      <c r="P1165" s="50" t="n">
        <v>1392.9052</v>
      </c>
      <c r="Q1165" s="49">
        <f>IF(OR(L1165="",M1165="",P1165=""),"",L1165*P1165)</f>
        <v/>
      </c>
    </row>
    <row r="1166" ht="15" customHeight="1" s="32">
      <c r="A1166" s="46" t="inlineStr">
        <is>
          <t>R-HB-1165</t>
        </is>
      </c>
      <c r="B1166" s="47" t="n">
        <v>45912</v>
      </c>
      <c r="C1166" s="46" t="inlineStr">
        <is>
          <t>2025-09</t>
        </is>
      </c>
      <c r="D1166" s="46" t="n">
        <v>2025</v>
      </c>
      <c r="E1166" s="46" t="inlineStr">
        <is>
          <t>P-HB-004</t>
        </is>
      </c>
      <c r="F1166" s="46" t="inlineStr">
        <is>
          <t>C-HB-02</t>
        </is>
      </c>
      <c r="G1166" s="48" t="inlineStr">
        <is>
          <t>미국</t>
        </is>
      </c>
      <c r="H1166" s="46" t="inlineStr">
        <is>
          <t>US</t>
        </is>
      </c>
      <c r="I1166" s="49" t="n">
        <v>10085</v>
      </c>
      <c r="J1166" s="46" t="inlineStr">
        <is>
          <t>EA</t>
        </is>
      </c>
      <c r="K1166" s="50" t="n">
        <v>11.09</v>
      </c>
      <c r="L1166" s="50" t="n">
        <v>277366.96</v>
      </c>
      <c r="M1166" s="46" t="inlineStr">
        <is>
          <t>USD</t>
        </is>
      </c>
      <c r="N1166" s="46" t="inlineStr">
        <is>
          <t>FOB</t>
        </is>
      </c>
      <c r="O1166" s="46" t="inlineStr">
        <is>
          <t>N</t>
        </is>
      </c>
      <c r="P1166" s="50" t="n">
        <v>1392.9052</v>
      </c>
      <c r="Q1166" s="49">
        <f>IF(OR(L1166="",M1166="",P1166=""),"",L1166*P1166)</f>
        <v/>
      </c>
    </row>
    <row r="1167" ht="15" customHeight="1" s="32">
      <c r="A1167" s="46" t="inlineStr">
        <is>
          <t>R-HB-1166</t>
        </is>
      </c>
      <c r="B1167" s="47" t="n">
        <v>45913</v>
      </c>
      <c r="C1167" s="46" t="inlineStr">
        <is>
          <t>2025-09</t>
        </is>
      </c>
      <c r="D1167" s="46" t="n">
        <v>2025</v>
      </c>
      <c r="E1167" s="46" t="inlineStr">
        <is>
          <t>P-HB-004</t>
        </is>
      </c>
      <c r="F1167" s="46" t="inlineStr">
        <is>
          <t>C-HB-05</t>
        </is>
      </c>
      <c r="G1167" s="48" t="inlineStr">
        <is>
          <t>독일</t>
        </is>
      </c>
      <c r="H1167" s="46" t="inlineStr">
        <is>
          <t>DE</t>
        </is>
      </c>
      <c r="I1167" s="49" t="n">
        <v>16487</v>
      </c>
      <c r="J1167" s="46" t="inlineStr">
        <is>
          <t>EA</t>
        </is>
      </c>
      <c r="K1167" s="50" t="n">
        <v>18.14</v>
      </c>
      <c r="L1167" s="50" t="n">
        <v>464907.66</v>
      </c>
      <c r="M1167" s="46" t="inlineStr">
        <is>
          <t>USD</t>
        </is>
      </c>
      <c r="N1167" s="46" t="inlineStr">
        <is>
          <t>FOB</t>
        </is>
      </c>
      <c r="O1167" s="46" t="inlineStr">
        <is>
          <t>N</t>
        </is>
      </c>
      <c r="P1167" s="50" t="n">
        <v>1392.9052</v>
      </c>
      <c r="Q1167" s="49">
        <f>IF(OR(L1167="",M1167="",P1167=""),"",L1167*P1167)</f>
        <v/>
      </c>
    </row>
    <row r="1168" ht="15" customHeight="1" s="32">
      <c r="A1168" s="46" t="inlineStr">
        <is>
          <t>R-HB-1167</t>
        </is>
      </c>
      <c r="B1168" s="47" t="n">
        <v>45914</v>
      </c>
      <c r="C1168" s="46" t="inlineStr">
        <is>
          <t>2025-09</t>
        </is>
      </c>
      <c r="D1168" s="46" t="n">
        <v>2025</v>
      </c>
      <c r="E1168" s="46" t="inlineStr">
        <is>
          <t>P-HB-001</t>
        </is>
      </c>
      <c r="F1168" s="46" t="inlineStr">
        <is>
          <t>C-HB-03</t>
        </is>
      </c>
      <c r="G1168" s="48" t="inlineStr">
        <is>
          <t>멕시코</t>
        </is>
      </c>
      <c r="H1168" s="46" t="inlineStr">
        <is>
          <t>MX</t>
        </is>
      </c>
      <c r="I1168" s="49" t="n">
        <v>32627</v>
      </c>
      <c r="J1168" s="46" t="inlineStr">
        <is>
          <t>EA</t>
        </is>
      </c>
      <c r="K1168" s="50" t="n">
        <v>14.68</v>
      </c>
      <c r="L1168" s="50" t="n">
        <v>195151.59</v>
      </c>
      <c r="M1168" s="46" t="inlineStr">
        <is>
          <t>USD</t>
        </is>
      </c>
      <c r="N1168" s="46" t="inlineStr">
        <is>
          <t>FOB</t>
        </is>
      </c>
      <c r="O1168" s="46" t="inlineStr">
        <is>
          <t>N</t>
        </is>
      </c>
      <c r="P1168" s="50" t="n">
        <v>1392.9052</v>
      </c>
      <c r="Q1168" s="49">
        <f>IF(OR(L1168="",M1168="",P1168=""),"",L1168*P1168)</f>
        <v/>
      </c>
    </row>
    <row r="1169" ht="15" customHeight="1" s="32">
      <c r="A1169" s="46" t="inlineStr">
        <is>
          <t>R-HB-1168</t>
        </is>
      </c>
      <c r="B1169" s="47" t="n">
        <v>45915</v>
      </c>
      <c r="C1169" s="46" t="inlineStr">
        <is>
          <t>2025-09</t>
        </is>
      </c>
      <c r="D1169" s="46" t="n">
        <v>2025</v>
      </c>
      <c r="E1169" s="46" t="inlineStr">
        <is>
          <t>P-HB-003</t>
        </is>
      </c>
      <c r="F1169" s="46" t="inlineStr">
        <is>
          <t>C-HB-04</t>
        </is>
      </c>
      <c r="G1169" s="48" t="inlineStr">
        <is>
          <t>캐나다</t>
        </is>
      </c>
      <c r="H1169" s="46" t="inlineStr">
        <is>
          <t>CA</t>
        </is>
      </c>
      <c r="I1169" s="49" t="n">
        <v>4426</v>
      </c>
      <c r="J1169" s="46" t="inlineStr">
        <is>
          <t>EA</t>
        </is>
      </c>
      <c r="K1169" s="50" t="n">
        <v>2.88</v>
      </c>
      <c r="L1169" s="50" t="n">
        <v>38895.17</v>
      </c>
      <c r="M1169" s="46" t="inlineStr">
        <is>
          <t>USD</t>
        </is>
      </c>
      <c r="N1169" s="46" t="inlineStr">
        <is>
          <t>FOB</t>
        </is>
      </c>
      <c r="O1169" s="46" t="inlineStr">
        <is>
          <t>N</t>
        </is>
      </c>
      <c r="P1169" s="50" t="n">
        <v>1392.9052</v>
      </c>
      <c r="Q1169" s="49">
        <f>IF(OR(L1169="",M1169="",P1169=""),"",L1169*P1169)</f>
        <v/>
      </c>
    </row>
    <row r="1170" ht="15" customHeight="1" s="32">
      <c r="A1170" s="46" t="inlineStr">
        <is>
          <t>R-HB-1169</t>
        </is>
      </c>
      <c r="B1170" s="47" t="n">
        <v>45915</v>
      </c>
      <c r="C1170" s="46" t="inlineStr">
        <is>
          <t>2025-09</t>
        </is>
      </c>
      <c r="D1170" s="46" t="n">
        <v>2025</v>
      </c>
      <c r="E1170" s="46" t="inlineStr">
        <is>
          <t>P-HB-002</t>
        </is>
      </c>
      <c r="F1170" s="46" t="inlineStr">
        <is>
          <t>C-HB-06</t>
        </is>
      </c>
      <c r="G1170" s="48" t="inlineStr">
        <is>
          <t>베트남</t>
        </is>
      </c>
      <c r="H1170" s="46" t="inlineStr">
        <is>
          <t>VN</t>
        </is>
      </c>
      <c r="I1170" s="49" t="n">
        <v>789</v>
      </c>
      <c r="J1170" s="46" t="inlineStr">
        <is>
          <t>EA</t>
        </is>
      </c>
      <c r="K1170" s="50" t="n">
        <v>1.74</v>
      </c>
      <c r="L1170" s="50" t="n">
        <v>330386.39</v>
      </c>
      <c r="M1170" s="46" t="inlineStr">
        <is>
          <t>USD</t>
        </is>
      </c>
      <c r="N1170" s="46" t="inlineStr">
        <is>
          <t>FOB</t>
        </is>
      </c>
      <c r="O1170" s="46" t="inlineStr">
        <is>
          <t>N</t>
        </is>
      </c>
      <c r="P1170" s="50" t="n">
        <v>1392.9052</v>
      </c>
      <c r="Q1170" s="49">
        <f>IF(OR(L1170="",M1170="",P1170=""),"",L1170*P1170)</f>
        <v/>
      </c>
    </row>
    <row r="1171" ht="15" customHeight="1" s="32">
      <c r="A1171" s="46" t="inlineStr">
        <is>
          <t>R-HB-1170</t>
        </is>
      </c>
      <c r="B1171" s="47" t="n">
        <v>45916</v>
      </c>
      <c r="C1171" s="46" t="inlineStr">
        <is>
          <t>2025-09</t>
        </is>
      </c>
      <c r="D1171" s="46" t="n">
        <v>2025</v>
      </c>
      <c r="E1171" s="46" t="inlineStr">
        <is>
          <t>P-HB-004</t>
        </is>
      </c>
      <c r="F1171" s="46" t="inlineStr">
        <is>
          <t>C-HB-01</t>
        </is>
      </c>
      <c r="G1171" s="48" t="inlineStr">
        <is>
          <t>미국</t>
        </is>
      </c>
      <c r="H1171" s="46" t="inlineStr">
        <is>
          <t>US</t>
        </is>
      </c>
      <c r="I1171" s="49" t="n">
        <v>17448</v>
      </c>
      <c r="J1171" s="46" t="inlineStr">
        <is>
          <t>EA</t>
        </is>
      </c>
      <c r="K1171" s="50" t="n">
        <v>19.19</v>
      </c>
      <c r="L1171" s="50" t="n">
        <v>496272.37</v>
      </c>
      <c r="M1171" s="46" t="inlineStr">
        <is>
          <t>USD</t>
        </is>
      </c>
      <c r="N1171" s="46" t="inlineStr">
        <is>
          <t>FOB</t>
        </is>
      </c>
      <c r="O1171" s="46" t="inlineStr">
        <is>
          <t>N</t>
        </is>
      </c>
      <c r="P1171" s="50" t="n">
        <v>1392.9052</v>
      </c>
      <c r="Q1171" s="49">
        <f>IF(OR(L1171="",M1171="",P1171=""),"",L1171*P1171)</f>
        <v/>
      </c>
    </row>
    <row r="1172" ht="15" customHeight="1" s="32">
      <c r="A1172" s="46" t="inlineStr">
        <is>
          <t>R-HB-1171</t>
        </is>
      </c>
      <c r="B1172" s="47" t="n">
        <v>45916</v>
      </c>
      <c r="C1172" s="46" t="inlineStr">
        <is>
          <t>2025-09</t>
        </is>
      </c>
      <c r="D1172" s="46" t="n">
        <v>2025</v>
      </c>
      <c r="E1172" s="46" t="inlineStr">
        <is>
          <t>P-HB-004</t>
        </is>
      </c>
      <c r="F1172" s="46" t="inlineStr">
        <is>
          <t>C-HB-06</t>
        </is>
      </c>
      <c r="G1172" s="48" t="inlineStr">
        <is>
          <t>베트남</t>
        </is>
      </c>
      <c r="H1172" s="46" t="inlineStr">
        <is>
          <t>VN</t>
        </is>
      </c>
      <c r="I1172" s="49" t="n">
        <v>12777</v>
      </c>
      <c r="J1172" s="46" t="inlineStr">
        <is>
          <t>EA</t>
        </is>
      </c>
      <c r="K1172" s="50" t="n">
        <v>14.05</v>
      </c>
      <c r="L1172" s="50" t="n">
        <v>364391.74</v>
      </c>
      <c r="M1172" s="46" t="inlineStr">
        <is>
          <t>USD</t>
        </is>
      </c>
      <c r="N1172" s="46" t="inlineStr">
        <is>
          <t>FOB</t>
        </is>
      </c>
      <c r="O1172" s="46" t="inlineStr">
        <is>
          <t>N</t>
        </is>
      </c>
      <c r="P1172" s="50" t="n">
        <v>1392.9052</v>
      </c>
      <c r="Q1172" s="49">
        <f>IF(OR(L1172="",M1172="",P1172=""),"",L1172*P1172)</f>
        <v/>
      </c>
    </row>
    <row r="1173" ht="15" customHeight="1" s="32">
      <c r="A1173" s="46" t="inlineStr">
        <is>
          <t>R-HB-1172</t>
        </is>
      </c>
      <c r="B1173" s="47" t="n">
        <v>45917</v>
      </c>
      <c r="C1173" s="46" t="inlineStr">
        <is>
          <t>2025-09</t>
        </is>
      </c>
      <c r="D1173" s="46" t="n">
        <v>2025</v>
      </c>
      <c r="E1173" s="46" t="inlineStr">
        <is>
          <t>P-HB-004</t>
        </is>
      </c>
      <c r="F1173" s="46" t="inlineStr">
        <is>
          <t>C-HB-04</t>
        </is>
      </c>
      <c r="G1173" s="48" t="inlineStr">
        <is>
          <t>캐나다</t>
        </is>
      </c>
      <c r="H1173" s="46" t="inlineStr">
        <is>
          <t>CA</t>
        </is>
      </c>
      <c r="I1173" s="49" t="n">
        <v>1591</v>
      </c>
      <c r="J1173" s="46" t="inlineStr">
        <is>
          <t>EA</t>
        </is>
      </c>
      <c r="K1173" s="50" t="n">
        <v>1.75</v>
      </c>
      <c r="L1173" s="50" t="n">
        <v>44125.72</v>
      </c>
      <c r="M1173" s="46" t="inlineStr">
        <is>
          <t>USD</t>
        </is>
      </c>
      <c r="N1173" s="46" t="inlineStr">
        <is>
          <t>FOB</t>
        </is>
      </c>
      <c r="O1173" s="46" t="inlineStr">
        <is>
          <t>N</t>
        </is>
      </c>
      <c r="P1173" s="50" t="n">
        <v>1392.9052</v>
      </c>
      <c r="Q1173" s="49">
        <f>IF(OR(L1173="",M1173="",P1173=""),"",L1173*P1173)</f>
        <v/>
      </c>
    </row>
    <row r="1174" ht="15" customHeight="1" s="32">
      <c r="A1174" s="46" t="inlineStr">
        <is>
          <t>R-HB-1173</t>
        </is>
      </c>
      <c r="B1174" s="47" t="n">
        <v>45918</v>
      </c>
      <c r="C1174" s="46" t="inlineStr">
        <is>
          <t>2025-09</t>
        </is>
      </c>
      <c r="D1174" s="46" t="n">
        <v>2025</v>
      </c>
      <c r="E1174" s="46" t="inlineStr">
        <is>
          <t>P-HB-002</t>
        </is>
      </c>
      <c r="F1174" s="46" t="inlineStr">
        <is>
          <t>C-HB-04</t>
        </is>
      </c>
      <c r="G1174" s="48" t="inlineStr">
        <is>
          <t>캐나다</t>
        </is>
      </c>
      <c r="H1174" s="46" t="inlineStr">
        <is>
          <t>CA</t>
        </is>
      </c>
      <c r="I1174" s="49" t="n">
        <v>103</v>
      </c>
      <c r="J1174" s="46" t="inlineStr">
        <is>
          <t>EA</t>
        </is>
      </c>
      <c r="K1174" s="50" t="n">
        <v>0.23</v>
      </c>
      <c r="L1174" s="50" t="n">
        <v>42205.55</v>
      </c>
      <c r="M1174" s="46" t="inlineStr">
        <is>
          <t>USD</t>
        </is>
      </c>
      <c r="N1174" s="46" t="inlineStr">
        <is>
          <t>FOB</t>
        </is>
      </c>
      <c r="O1174" s="46" t="inlineStr">
        <is>
          <t>N</t>
        </is>
      </c>
      <c r="P1174" s="50" t="n">
        <v>1392.9052</v>
      </c>
      <c r="Q1174" s="49">
        <f>IF(OR(L1174="",M1174="",P1174=""),"",L1174*P1174)</f>
        <v/>
      </c>
    </row>
    <row r="1175" ht="15" customHeight="1" s="32">
      <c r="A1175" s="46" t="inlineStr">
        <is>
          <t>R-HB-1174</t>
        </is>
      </c>
      <c r="B1175" s="47" t="n">
        <v>45918</v>
      </c>
      <c r="C1175" s="46" t="inlineStr">
        <is>
          <t>2025-09</t>
        </is>
      </c>
      <c r="D1175" s="46" t="n">
        <v>2025</v>
      </c>
      <c r="E1175" s="46" t="inlineStr">
        <is>
          <t>P-HB-001</t>
        </is>
      </c>
      <c r="F1175" s="46" t="inlineStr">
        <is>
          <t>C-HB-06</t>
        </is>
      </c>
      <c r="G1175" s="48" t="inlineStr">
        <is>
          <t>베트남</t>
        </is>
      </c>
      <c r="H1175" s="46" t="inlineStr">
        <is>
          <t>VN</t>
        </is>
      </c>
      <c r="I1175" s="49" t="n">
        <v>129796</v>
      </c>
      <c r="J1175" s="46" t="inlineStr">
        <is>
          <t>EA</t>
        </is>
      </c>
      <c r="K1175" s="50" t="n">
        <v>58.41</v>
      </c>
      <c r="L1175" s="50" t="n">
        <v>805128.71</v>
      </c>
      <c r="M1175" s="46" t="inlineStr">
        <is>
          <t>USD</t>
        </is>
      </c>
      <c r="N1175" s="46" t="inlineStr">
        <is>
          <t>FOB</t>
        </is>
      </c>
      <c r="O1175" s="46" t="inlineStr">
        <is>
          <t>N</t>
        </is>
      </c>
      <c r="P1175" s="50" t="n">
        <v>1392.9052</v>
      </c>
      <c r="Q1175" s="49">
        <f>IF(OR(L1175="",M1175="",P1175=""),"",L1175*P1175)</f>
        <v/>
      </c>
    </row>
    <row r="1176" ht="15" customHeight="1" s="32">
      <c r="A1176" s="46" t="inlineStr">
        <is>
          <t>R-HB-1175</t>
        </is>
      </c>
      <c r="B1176" s="47" t="n">
        <v>45919</v>
      </c>
      <c r="C1176" s="46" t="inlineStr">
        <is>
          <t>2025-09</t>
        </is>
      </c>
      <c r="D1176" s="46" t="n">
        <v>2025</v>
      </c>
      <c r="E1176" s="46" t="inlineStr">
        <is>
          <t>P-HB-003</t>
        </is>
      </c>
      <c r="F1176" s="46" t="inlineStr">
        <is>
          <t>C-HB-01</t>
        </is>
      </c>
      <c r="G1176" s="48" t="inlineStr">
        <is>
          <t>미국</t>
        </is>
      </c>
      <c r="H1176" s="46" t="inlineStr">
        <is>
          <t>US</t>
        </is>
      </c>
      <c r="I1176" s="49" t="n">
        <v>51441</v>
      </c>
      <c r="J1176" s="46" t="inlineStr">
        <is>
          <t>EA</t>
        </is>
      </c>
      <c r="K1176" s="50" t="n">
        <v>33.44</v>
      </c>
      <c r="L1176" s="50" t="n">
        <v>453715.57</v>
      </c>
      <c r="M1176" s="46" t="inlineStr">
        <is>
          <t>USD</t>
        </is>
      </c>
      <c r="N1176" s="46" t="inlineStr">
        <is>
          <t>FOB</t>
        </is>
      </c>
      <c r="O1176" s="46" t="inlineStr">
        <is>
          <t>N</t>
        </is>
      </c>
      <c r="P1176" s="50" t="n">
        <v>1392.9052</v>
      </c>
      <c r="Q1176" s="49">
        <f>IF(OR(L1176="",M1176="",P1176=""),"",L1176*P1176)</f>
        <v/>
      </c>
    </row>
    <row r="1177" ht="15" customHeight="1" s="32">
      <c r="A1177" s="46" t="inlineStr">
        <is>
          <t>R-HB-1176</t>
        </is>
      </c>
      <c r="B1177" s="47" t="n">
        <v>45919</v>
      </c>
      <c r="C1177" s="46" t="inlineStr">
        <is>
          <t>2025-09</t>
        </is>
      </c>
      <c r="D1177" s="46" t="n">
        <v>2025</v>
      </c>
      <c r="E1177" s="46" t="inlineStr">
        <is>
          <t>P-HB-003</t>
        </is>
      </c>
      <c r="F1177" s="46" t="inlineStr">
        <is>
          <t>C-HB-08</t>
        </is>
      </c>
      <c r="G1177" s="48" t="inlineStr">
        <is>
          <t>중국</t>
        </is>
      </c>
      <c r="H1177" s="46" t="inlineStr">
        <is>
          <t>CN</t>
        </is>
      </c>
      <c r="I1177" s="49" t="n">
        <v>59561</v>
      </c>
      <c r="J1177" s="46" t="inlineStr">
        <is>
          <t>EA</t>
        </is>
      </c>
      <c r="K1177" s="50" t="n">
        <v>38.71</v>
      </c>
      <c r="L1177" s="50" t="n">
        <v>530125.59</v>
      </c>
      <c r="M1177" s="46" t="inlineStr">
        <is>
          <t>USD</t>
        </is>
      </c>
      <c r="N1177" s="46" t="inlineStr">
        <is>
          <t>FOB</t>
        </is>
      </c>
      <c r="O1177" s="46" t="inlineStr">
        <is>
          <t>N</t>
        </is>
      </c>
      <c r="P1177" s="50" t="n">
        <v>1392.9052</v>
      </c>
      <c r="Q1177" s="49">
        <f>IF(OR(L1177="",M1177="",P1177=""),"",L1177*P1177)</f>
        <v/>
      </c>
    </row>
    <row r="1178" ht="15" customHeight="1" s="32">
      <c r="A1178" s="46" t="inlineStr">
        <is>
          <t>R-HB-1177</t>
        </is>
      </c>
      <c r="B1178" s="47" t="n">
        <v>45920</v>
      </c>
      <c r="C1178" s="46" t="inlineStr">
        <is>
          <t>2025-09</t>
        </is>
      </c>
      <c r="D1178" s="46" t="n">
        <v>2025</v>
      </c>
      <c r="E1178" s="46" t="inlineStr">
        <is>
          <t>P-HB-001</t>
        </is>
      </c>
      <c r="F1178" s="46" t="inlineStr">
        <is>
          <t>C-HB-09</t>
        </is>
      </c>
      <c r="G1178" s="48" t="inlineStr">
        <is>
          <t>중국</t>
        </is>
      </c>
      <c r="H1178" s="46" t="inlineStr">
        <is>
          <t>CN</t>
        </is>
      </c>
      <c r="I1178" s="49" t="n">
        <v>139509</v>
      </c>
      <c r="J1178" s="46" t="inlineStr">
        <is>
          <t>EA</t>
        </is>
      </c>
      <c r="K1178" s="50" t="n">
        <v>62.78</v>
      </c>
      <c r="L1178" s="50" t="n">
        <v>867172.79</v>
      </c>
      <c r="M1178" s="46" t="inlineStr">
        <is>
          <t>USD</t>
        </is>
      </c>
      <c r="N1178" s="46" t="inlineStr">
        <is>
          <t>FOB</t>
        </is>
      </c>
      <c r="O1178" s="46" t="inlineStr">
        <is>
          <t>N</t>
        </is>
      </c>
      <c r="P1178" s="50" t="n">
        <v>1392.9052</v>
      </c>
      <c r="Q1178" s="49">
        <f>IF(OR(L1178="",M1178="",P1178=""),"",L1178*P1178)</f>
        <v/>
      </c>
    </row>
    <row r="1179" ht="15" customHeight="1" s="32">
      <c r="A1179" s="46" t="inlineStr">
        <is>
          <t>R-HB-1178</t>
        </is>
      </c>
      <c r="B1179" s="47" t="n">
        <v>45921</v>
      </c>
      <c r="C1179" s="46" t="inlineStr">
        <is>
          <t>2025-09</t>
        </is>
      </c>
      <c r="D1179" s="46" t="n">
        <v>2025</v>
      </c>
      <c r="E1179" s="46" t="inlineStr">
        <is>
          <t>P-HB-001</t>
        </is>
      </c>
      <c r="F1179" s="46" t="inlineStr">
        <is>
          <t>C-HB-04</t>
        </is>
      </c>
      <c r="G1179" s="48" t="inlineStr">
        <is>
          <t>캐나다</t>
        </is>
      </c>
      <c r="H1179" s="46" t="inlineStr">
        <is>
          <t>CA</t>
        </is>
      </c>
      <c r="I1179" s="49" t="n">
        <v>17108</v>
      </c>
      <c r="J1179" s="46" t="inlineStr">
        <is>
          <t>EA</t>
        </is>
      </c>
      <c r="K1179" s="50" t="n">
        <v>7.7</v>
      </c>
      <c r="L1179" s="50" t="n">
        <v>100936.67</v>
      </c>
      <c r="M1179" s="46" t="inlineStr">
        <is>
          <t>USD</t>
        </is>
      </c>
      <c r="N1179" s="46" t="inlineStr">
        <is>
          <t>FOB</t>
        </is>
      </c>
      <c r="O1179" s="46" t="inlineStr">
        <is>
          <t>N</t>
        </is>
      </c>
      <c r="P1179" s="50" t="n">
        <v>1392.9052</v>
      </c>
      <c r="Q1179" s="49">
        <f>IF(OR(L1179="",M1179="",P1179=""),"",L1179*P1179)</f>
        <v/>
      </c>
    </row>
    <row r="1180" ht="15" customHeight="1" s="32">
      <c r="A1180" s="46" t="inlineStr">
        <is>
          <t>R-HB-1179</t>
        </is>
      </c>
      <c r="B1180" s="47" t="n">
        <v>45922</v>
      </c>
      <c r="C1180" s="46" t="inlineStr">
        <is>
          <t>2025-09</t>
        </is>
      </c>
      <c r="D1180" s="46" t="n">
        <v>2025</v>
      </c>
      <c r="E1180" s="46" t="inlineStr">
        <is>
          <t>P-HB-001</t>
        </is>
      </c>
      <c r="F1180" s="46" t="inlineStr">
        <is>
          <t>C-HB-01</t>
        </is>
      </c>
      <c r="G1180" s="48" t="inlineStr">
        <is>
          <t>미국</t>
        </is>
      </c>
      <c r="H1180" s="46" t="inlineStr">
        <is>
          <t>US</t>
        </is>
      </c>
      <c r="I1180" s="49" t="n">
        <v>189065</v>
      </c>
      <c r="J1180" s="46" t="inlineStr">
        <is>
          <t>EA</t>
        </is>
      </c>
      <c r="K1180" s="50" t="n">
        <v>85.08</v>
      </c>
      <c r="L1180" s="50" t="n">
        <v>1126633.34</v>
      </c>
      <c r="M1180" s="46" t="inlineStr">
        <is>
          <t>USD</t>
        </is>
      </c>
      <c r="N1180" s="46" t="inlineStr">
        <is>
          <t>FOB</t>
        </is>
      </c>
      <c r="O1180" s="46" t="inlineStr">
        <is>
          <t>N</t>
        </is>
      </c>
      <c r="P1180" s="50" t="n">
        <v>1392.9052</v>
      </c>
      <c r="Q1180" s="49">
        <f>IF(OR(L1180="",M1180="",P1180=""),"",L1180*P1180)</f>
        <v/>
      </c>
    </row>
    <row r="1181" ht="15" customHeight="1" s="32">
      <c r="A1181" s="46" t="inlineStr">
        <is>
          <t>R-HB-1180</t>
        </is>
      </c>
      <c r="B1181" s="47" t="n">
        <v>45922</v>
      </c>
      <c r="C1181" s="46" t="inlineStr">
        <is>
          <t>2025-09</t>
        </is>
      </c>
      <c r="D1181" s="46" t="n">
        <v>2025</v>
      </c>
      <c r="E1181" s="46" t="inlineStr">
        <is>
          <t>P-HB-002</t>
        </is>
      </c>
      <c r="F1181" s="46" t="inlineStr">
        <is>
          <t>C-HB-09</t>
        </is>
      </c>
      <c r="G1181" s="48" t="inlineStr">
        <is>
          <t>중국</t>
        </is>
      </c>
      <c r="H1181" s="46" t="inlineStr">
        <is>
          <t>CN</t>
        </is>
      </c>
      <c r="I1181" s="49" t="n">
        <v>865</v>
      </c>
      <c r="J1181" s="46" t="inlineStr">
        <is>
          <t>EA</t>
        </is>
      </c>
      <c r="K1181" s="50" t="n">
        <v>1.9</v>
      </c>
      <c r="L1181" s="50" t="n">
        <v>370549.66</v>
      </c>
      <c r="M1181" s="46" t="inlineStr">
        <is>
          <t>USD</t>
        </is>
      </c>
      <c r="N1181" s="46" t="inlineStr">
        <is>
          <t>FOB</t>
        </is>
      </c>
      <c r="O1181" s="46" t="inlineStr">
        <is>
          <t>N</t>
        </is>
      </c>
      <c r="P1181" s="50" t="n">
        <v>1392.9052</v>
      </c>
      <c r="Q1181" s="49">
        <f>IF(OR(L1181="",M1181="",P1181=""),"",L1181*P1181)</f>
        <v/>
      </c>
    </row>
    <row r="1182" ht="15" customHeight="1" s="32">
      <c r="A1182" s="46" t="inlineStr">
        <is>
          <t>R-HB-1181</t>
        </is>
      </c>
      <c r="B1182" s="47" t="n">
        <v>45923</v>
      </c>
      <c r="C1182" s="46" t="inlineStr">
        <is>
          <t>2025-09</t>
        </is>
      </c>
      <c r="D1182" s="46" t="n">
        <v>2025</v>
      </c>
      <c r="E1182" s="46" t="inlineStr">
        <is>
          <t>P-HB-004</t>
        </is>
      </c>
      <c r="F1182" s="46" t="inlineStr">
        <is>
          <t>C-HB-03</t>
        </is>
      </c>
      <c r="G1182" s="48" t="inlineStr">
        <is>
          <t>멕시코</t>
        </is>
      </c>
      <c r="H1182" s="46" t="inlineStr">
        <is>
          <t>MX</t>
        </is>
      </c>
      <c r="I1182" s="49" t="n">
        <v>3286</v>
      </c>
      <c r="J1182" s="46" t="inlineStr">
        <is>
          <t>EA</t>
        </is>
      </c>
      <c r="K1182" s="50" t="n">
        <v>3.61</v>
      </c>
      <c r="L1182" s="50" t="n">
        <v>91393.64999999999</v>
      </c>
      <c r="M1182" s="46" t="inlineStr">
        <is>
          <t>USD</t>
        </is>
      </c>
      <c r="N1182" s="46" t="inlineStr">
        <is>
          <t>FOB</t>
        </is>
      </c>
      <c r="O1182" s="46" t="inlineStr">
        <is>
          <t>N</t>
        </is>
      </c>
      <c r="P1182" s="50" t="n">
        <v>1392.9052</v>
      </c>
      <c r="Q1182" s="49">
        <f>IF(OR(L1182="",M1182="",P1182=""),"",L1182*P1182)</f>
        <v/>
      </c>
    </row>
    <row r="1183" ht="15" customHeight="1" s="32">
      <c r="A1183" s="46" t="inlineStr">
        <is>
          <t>R-HB-1182</t>
        </is>
      </c>
      <c r="B1183" s="47" t="n">
        <v>45923</v>
      </c>
      <c r="C1183" s="46" t="inlineStr">
        <is>
          <t>2025-09</t>
        </is>
      </c>
      <c r="D1183" s="46" t="n">
        <v>2025</v>
      </c>
      <c r="E1183" s="46" t="inlineStr">
        <is>
          <t>P-HB-003</t>
        </is>
      </c>
      <c r="F1183" s="46" t="inlineStr">
        <is>
          <t>C-HB-06</t>
        </is>
      </c>
      <c r="G1183" s="48" t="inlineStr">
        <is>
          <t>베트남</t>
        </is>
      </c>
      <c r="H1183" s="46" t="inlineStr">
        <is>
          <t>VN</t>
        </is>
      </c>
      <c r="I1183" s="49" t="n">
        <v>37316</v>
      </c>
      <c r="J1183" s="46" t="inlineStr">
        <is>
          <t>EA</t>
        </is>
      </c>
      <c r="K1183" s="50" t="n">
        <v>24.26</v>
      </c>
      <c r="L1183" s="50" t="n">
        <v>318649.75</v>
      </c>
      <c r="M1183" s="46" t="inlineStr">
        <is>
          <t>USD</t>
        </is>
      </c>
      <c r="N1183" s="46" t="inlineStr">
        <is>
          <t>FOB</t>
        </is>
      </c>
      <c r="O1183" s="46" t="inlineStr">
        <is>
          <t>N</t>
        </is>
      </c>
      <c r="P1183" s="50" t="n">
        <v>1392.9052</v>
      </c>
      <c r="Q1183" s="49">
        <f>IF(OR(L1183="",M1183="",P1183=""),"",L1183*P1183)</f>
        <v/>
      </c>
    </row>
    <row r="1184" ht="15" customHeight="1" s="32">
      <c r="A1184" s="46" t="inlineStr">
        <is>
          <t>R-HB-1183</t>
        </is>
      </c>
      <c r="B1184" s="47" t="n">
        <v>45924</v>
      </c>
      <c r="C1184" s="46" t="inlineStr">
        <is>
          <t>2025-09</t>
        </is>
      </c>
      <c r="D1184" s="46" t="n">
        <v>2025</v>
      </c>
      <c r="E1184" s="46" t="inlineStr">
        <is>
          <t>P-HB-004</t>
        </is>
      </c>
      <c r="F1184" s="46" t="inlineStr">
        <is>
          <t>C-HB-07</t>
        </is>
      </c>
      <c r="G1184" s="48" t="inlineStr">
        <is>
          <t>인도</t>
        </is>
      </c>
      <c r="H1184" s="46" t="inlineStr">
        <is>
          <t>IN</t>
        </is>
      </c>
      <c r="I1184" s="49" t="n">
        <v>8687</v>
      </c>
      <c r="J1184" s="46" t="inlineStr">
        <is>
          <t>EA</t>
        </is>
      </c>
      <c r="K1184" s="50" t="n">
        <v>9.56</v>
      </c>
      <c r="L1184" s="50" t="n">
        <v>250547.19</v>
      </c>
      <c r="M1184" s="46" t="inlineStr">
        <is>
          <t>USD</t>
        </is>
      </c>
      <c r="N1184" s="46" t="inlineStr">
        <is>
          <t>FOB</t>
        </is>
      </c>
      <c r="O1184" s="46" t="inlineStr">
        <is>
          <t>N</t>
        </is>
      </c>
      <c r="P1184" s="50" t="n">
        <v>1392.9052</v>
      </c>
      <c r="Q1184" s="49">
        <f>IF(OR(L1184="",M1184="",P1184=""),"",L1184*P1184)</f>
        <v/>
      </c>
    </row>
    <row r="1185" ht="15" customHeight="1" s="32">
      <c r="A1185" s="46" t="inlineStr">
        <is>
          <t>R-HB-1184</t>
        </is>
      </c>
      <c r="B1185" s="47" t="n">
        <v>45925</v>
      </c>
      <c r="C1185" s="46" t="inlineStr">
        <is>
          <t>2025-09</t>
        </is>
      </c>
      <c r="D1185" s="46" t="n">
        <v>2025</v>
      </c>
      <c r="E1185" s="46" t="inlineStr">
        <is>
          <t>P-HB-004</t>
        </is>
      </c>
      <c r="F1185" s="46" t="inlineStr">
        <is>
          <t>C-HB-09</t>
        </is>
      </c>
      <c r="G1185" s="48" t="inlineStr">
        <is>
          <t>중국</t>
        </is>
      </c>
      <c r="H1185" s="46" t="inlineStr">
        <is>
          <t>CN</t>
        </is>
      </c>
      <c r="I1185" s="49" t="n">
        <v>13464</v>
      </c>
      <c r="J1185" s="46" t="inlineStr">
        <is>
          <t>EA</t>
        </is>
      </c>
      <c r="K1185" s="50" t="n">
        <v>14.81</v>
      </c>
      <c r="L1185" s="50" t="n">
        <v>375958.73</v>
      </c>
      <c r="M1185" s="46" t="inlineStr">
        <is>
          <t>USD</t>
        </is>
      </c>
      <c r="N1185" s="46" t="inlineStr">
        <is>
          <t>FOB</t>
        </is>
      </c>
      <c r="O1185" s="46" t="inlineStr">
        <is>
          <t>N</t>
        </is>
      </c>
      <c r="P1185" s="50" t="n">
        <v>1392.9052</v>
      </c>
      <c r="Q1185" s="49">
        <f>IF(OR(L1185="",M1185="",P1185=""),"",L1185*P1185)</f>
        <v/>
      </c>
    </row>
    <row r="1186" ht="15" customHeight="1" s="32">
      <c r="A1186" s="46" t="inlineStr">
        <is>
          <t>R-HB-1185</t>
        </is>
      </c>
      <c r="B1186" s="47" t="n">
        <v>45926</v>
      </c>
      <c r="C1186" s="46" t="inlineStr">
        <is>
          <t>2025-09</t>
        </is>
      </c>
      <c r="D1186" s="46" t="n">
        <v>2025</v>
      </c>
      <c r="E1186" s="46" t="inlineStr">
        <is>
          <t>P-HB-002</t>
        </is>
      </c>
      <c r="F1186" s="46" t="inlineStr">
        <is>
          <t>C-HB-05</t>
        </is>
      </c>
      <c r="G1186" s="48" t="inlineStr">
        <is>
          <t>독일</t>
        </is>
      </c>
      <c r="H1186" s="46" t="inlineStr">
        <is>
          <t>DE</t>
        </is>
      </c>
      <c r="I1186" s="49" t="n">
        <v>854</v>
      </c>
      <c r="J1186" s="46" t="inlineStr">
        <is>
          <t>EA</t>
        </is>
      </c>
      <c r="K1186" s="50" t="n">
        <v>1.88</v>
      </c>
      <c r="L1186" s="50" t="n">
        <v>353056.59</v>
      </c>
      <c r="M1186" s="46" t="inlineStr">
        <is>
          <t>USD</t>
        </is>
      </c>
      <c r="N1186" s="46" t="inlineStr">
        <is>
          <t>FOB</t>
        </is>
      </c>
      <c r="O1186" s="46" t="inlineStr">
        <is>
          <t>N</t>
        </is>
      </c>
      <c r="P1186" s="50" t="n">
        <v>1392.9052</v>
      </c>
      <c r="Q1186" s="49">
        <f>IF(OR(L1186="",M1186="",P1186=""),"",L1186*P1186)</f>
        <v/>
      </c>
    </row>
    <row r="1187" ht="15" customHeight="1" s="32">
      <c r="A1187" s="46" t="inlineStr">
        <is>
          <t>R-HB-1186</t>
        </is>
      </c>
      <c r="B1187" s="47" t="n">
        <v>45927</v>
      </c>
      <c r="C1187" s="46" t="inlineStr">
        <is>
          <t>2025-09</t>
        </is>
      </c>
      <c r="D1187" s="46" t="n">
        <v>2025</v>
      </c>
      <c r="E1187" s="46" t="inlineStr">
        <is>
          <t>P-HB-003</t>
        </is>
      </c>
      <c r="F1187" s="46" t="inlineStr">
        <is>
          <t>C-HB-02</t>
        </is>
      </c>
      <c r="G1187" s="48" t="inlineStr">
        <is>
          <t>미국</t>
        </is>
      </c>
      <c r="H1187" s="46" t="inlineStr">
        <is>
          <t>US</t>
        </is>
      </c>
      <c r="I1187" s="49" t="n">
        <v>26302</v>
      </c>
      <c r="J1187" s="46" t="inlineStr">
        <is>
          <t>EA</t>
        </is>
      </c>
      <c r="K1187" s="50" t="n">
        <v>17.1</v>
      </c>
      <c r="L1187" s="50" t="n">
        <v>230484.62</v>
      </c>
      <c r="M1187" s="46" t="inlineStr">
        <is>
          <t>USD</t>
        </is>
      </c>
      <c r="N1187" s="46" t="inlineStr">
        <is>
          <t>FOB</t>
        </is>
      </c>
      <c r="O1187" s="46" t="inlineStr">
        <is>
          <t>N</t>
        </is>
      </c>
      <c r="P1187" s="50" t="n">
        <v>1392.9052</v>
      </c>
      <c r="Q1187" s="49">
        <f>IF(OR(L1187="",M1187="",P1187=""),"",L1187*P1187)</f>
        <v/>
      </c>
    </row>
    <row r="1188" ht="15" customHeight="1" s="32">
      <c r="A1188" s="46" t="inlineStr">
        <is>
          <t>R-HB-1187</t>
        </is>
      </c>
      <c r="B1188" s="47" t="n">
        <v>45927</v>
      </c>
      <c r="C1188" s="46" t="inlineStr">
        <is>
          <t>2025-09</t>
        </is>
      </c>
      <c r="D1188" s="46" t="n">
        <v>2025</v>
      </c>
      <c r="E1188" s="46" t="inlineStr">
        <is>
          <t>P-HB-001</t>
        </is>
      </c>
      <c r="F1188" s="46" t="inlineStr">
        <is>
          <t>C-HB-08</t>
        </is>
      </c>
      <c r="G1188" s="48" t="inlineStr">
        <is>
          <t>중국</t>
        </is>
      </c>
      <c r="H1188" s="46" t="inlineStr">
        <is>
          <t>CN</t>
        </is>
      </c>
      <c r="I1188" s="49" t="n">
        <v>196442</v>
      </c>
      <c r="J1188" s="46" t="inlineStr">
        <is>
          <t>EA</t>
        </is>
      </c>
      <c r="K1188" s="50" t="n">
        <v>88.40000000000001</v>
      </c>
      <c r="L1188" s="50" t="n">
        <v>1211185.53</v>
      </c>
      <c r="M1188" s="46" t="inlineStr">
        <is>
          <t>USD</t>
        </is>
      </c>
      <c r="N1188" s="46" t="inlineStr">
        <is>
          <t>FOB</t>
        </is>
      </c>
      <c r="O1188" s="46" t="inlineStr">
        <is>
          <t>N</t>
        </is>
      </c>
      <c r="P1188" s="50" t="n">
        <v>1392.9052</v>
      </c>
      <c r="Q1188" s="49">
        <f>IF(OR(L1188="",M1188="",P1188=""),"",L1188*P1188)</f>
        <v/>
      </c>
    </row>
    <row r="1189" ht="15" customHeight="1" s="32">
      <c r="A1189" s="46" t="inlineStr">
        <is>
          <t>R-HB-1188</t>
        </is>
      </c>
      <c r="B1189" s="47" t="n">
        <v>45927</v>
      </c>
      <c r="C1189" s="46" t="inlineStr">
        <is>
          <t>2025-09</t>
        </is>
      </c>
      <c r="D1189" s="46" t="n">
        <v>2025</v>
      </c>
      <c r="E1189" s="46" t="inlineStr">
        <is>
          <t>P-HB-003</t>
        </is>
      </c>
      <c r="F1189" s="46" t="inlineStr">
        <is>
          <t>C-HB-09</t>
        </is>
      </c>
      <c r="G1189" s="48" t="inlineStr">
        <is>
          <t>중국</t>
        </is>
      </c>
      <c r="H1189" s="46" t="inlineStr">
        <is>
          <t>CN</t>
        </is>
      </c>
      <c r="I1189" s="49" t="n">
        <v>39279</v>
      </c>
      <c r="J1189" s="46" t="inlineStr">
        <is>
          <t>EA</t>
        </is>
      </c>
      <c r="K1189" s="50" t="n">
        <v>25.53</v>
      </c>
      <c r="L1189" s="50" t="n">
        <v>328900.05</v>
      </c>
      <c r="M1189" s="46" t="inlineStr">
        <is>
          <t>USD</t>
        </is>
      </c>
      <c r="N1189" s="46" t="inlineStr">
        <is>
          <t>FOB</t>
        </is>
      </c>
      <c r="O1189" s="46" t="inlineStr">
        <is>
          <t>N</t>
        </is>
      </c>
      <c r="P1189" s="50" t="n">
        <v>1392.9052</v>
      </c>
      <c r="Q1189" s="49">
        <f>IF(OR(L1189="",M1189="",P1189=""),"",L1189*P1189)</f>
        <v/>
      </c>
    </row>
    <row r="1190" ht="15" customHeight="1" s="32">
      <c r="A1190" s="46" t="inlineStr">
        <is>
          <t>R-HB-1189</t>
        </is>
      </c>
      <c r="B1190" s="47" t="n">
        <v>45933</v>
      </c>
      <c r="C1190" s="46" t="inlineStr">
        <is>
          <t>2025-10</t>
        </is>
      </c>
      <c r="D1190" s="46" t="n">
        <v>2025</v>
      </c>
      <c r="E1190" s="46" t="inlineStr">
        <is>
          <t>P-HB-002</t>
        </is>
      </c>
      <c r="F1190" s="46" t="inlineStr">
        <is>
          <t>C-HB-02</t>
        </is>
      </c>
      <c r="G1190" s="48" t="inlineStr">
        <is>
          <t>미국</t>
        </is>
      </c>
      <c r="H1190" s="46" t="inlineStr">
        <is>
          <t>US</t>
        </is>
      </c>
      <c r="I1190" s="49" t="n">
        <v>535</v>
      </c>
      <c r="J1190" s="46" t="inlineStr">
        <is>
          <t>EA</t>
        </is>
      </c>
      <c r="K1190" s="50" t="n">
        <v>1.18</v>
      </c>
      <c r="L1190" s="50" t="n">
        <v>229028.56</v>
      </c>
      <c r="M1190" s="46" t="inlineStr">
        <is>
          <t>USD</t>
        </is>
      </c>
      <c r="N1190" s="46" t="inlineStr">
        <is>
          <t>FOB</t>
        </is>
      </c>
      <c r="O1190" s="46" t="inlineStr">
        <is>
          <t>N</t>
        </is>
      </c>
      <c r="P1190" s="50" t="n">
        <v>1423.0795</v>
      </c>
      <c r="Q1190" s="49">
        <f>IF(OR(L1190="",M1190="",P1190=""),"",L1190*P1190)</f>
        <v/>
      </c>
    </row>
    <row r="1191" ht="15" customHeight="1" s="32">
      <c r="A1191" s="46" t="inlineStr">
        <is>
          <t>R-HB-1190</t>
        </is>
      </c>
      <c r="B1191" s="47" t="n">
        <v>45933</v>
      </c>
      <c r="C1191" s="46" t="inlineStr">
        <is>
          <t>2025-10</t>
        </is>
      </c>
      <c r="D1191" s="46" t="n">
        <v>2025</v>
      </c>
      <c r="E1191" s="46" t="inlineStr">
        <is>
          <t>P-HB-001</t>
        </is>
      </c>
      <c r="F1191" s="46" t="inlineStr">
        <is>
          <t>C-HB-08</t>
        </is>
      </c>
      <c r="G1191" s="48" t="inlineStr">
        <is>
          <t>중국</t>
        </is>
      </c>
      <c r="H1191" s="46" t="inlineStr">
        <is>
          <t>CN</t>
        </is>
      </c>
      <c r="I1191" s="49" t="n">
        <v>197188</v>
      </c>
      <c r="J1191" s="46" t="inlineStr">
        <is>
          <t>EA</t>
        </is>
      </c>
      <c r="K1191" s="50" t="n">
        <v>88.73</v>
      </c>
      <c r="L1191" s="50" t="n">
        <v>1175407.57</v>
      </c>
      <c r="M1191" s="46" t="inlineStr">
        <is>
          <t>USD</t>
        </is>
      </c>
      <c r="N1191" s="46" t="inlineStr">
        <is>
          <t>FOB</t>
        </is>
      </c>
      <c r="O1191" s="46" t="inlineStr">
        <is>
          <t>N</t>
        </is>
      </c>
      <c r="P1191" s="50" t="n">
        <v>1423.0795</v>
      </c>
      <c r="Q1191" s="49">
        <f>IF(OR(L1191="",M1191="",P1191=""),"",L1191*P1191)</f>
        <v/>
      </c>
    </row>
    <row r="1192" ht="15" customHeight="1" s="32">
      <c r="A1192" s="46" t="inlineStr">
        <is>
          <t>R-HB-1191</t>
        </is>
      </c>
      <c r="B1192" s="47" t="n">
        <v>45934</v>
      </c>
      <c r="C1192" s="46" t="inlineStr">
        <is>
          <t>2025-10</t>
        </is>
      </c>
      <c r="D1192" s="46" t="n">
        <v>2025</v>
      </c>
      <c r="E1192" s="46" t="inlineStr">
        <is>
          <t>P-HB-001</t>
        </is>
      </c>
      <c r="F1192" s="46" t="inlineStr">
        <is>
          <t>C-HB-07</t>
        </is>
      </c>
      <c r="G1192" s="48" t="inlineStr">
        <is>
          <t>인도</t>
        </is>
      </c>
      <c r="H1192" s="46" t="inlineStr">
        <is>
          <t>IN</t>
        </is>
      </c>
      <c r="I1192" s="49" t="n">
        <v>83661</v>
      </c>
      <c r="J1192" s="46" t="inlineStr">
        <is>
          <t>EA</t>
        </is>
      </c>
      <c r="K1192" s="50" t="n">
        <v>37.65</v>
      </c>
      <c r="L1192" s="50" t="n">
        <v>511256.57</v>
      </c>
      <c r="M1192" s="46" t="inlineStr">
        <is>
          <t>USD</t>
        </is>
      </c>
      <c r="N1192" s="46" t="inlineStr">
        <is>
          <t>FOB</t>
        </is>
      </c>
      <c r="O1192" s="46" t="inlineStr">
        <is>
          <t>N</t>
        </is>
      </c>
      <c r="P1192" s="50" t="n">
        <v>1423.0795</v>
      </c>
      <c r="Q1192" s="49">
        <f>IF(OR(L1192="",M1192="",P1192=""),"",L1192*P1192)</f>
        <v/>
      </c>
    </row>
    <row r="1193" ht="15" customHeight="1" s="32">
      <c r="A1193" s="46" t="inlineStr">
        <is>
          <t>R-HB-1192</t>
        </is>
      </c>
      <c r="B1193" s="47" t="n">
        <v>45935</v>
      </c>
      <c r="C1193" s="46" t="inlineStr">
        <is>
          <t>2025-10</t>
        </is>
      </c>
      <c r="D1193" s="46" t="n">
        <v>2025</v>
      </c>
      <c r="E1193" s="46" t="inlineStr">
        <is>
          <t>P-HB-001</t>
        </is>
      </c>
      <c r="F1193" s="46" t="inlineStr">
        <is>
          <t>C-HB-04</t>
        </is>
      </c>
      <c r="G1193" s="48" t="inlineStr">
        <is>
          <t>캐나다</t>
        </is>
      </c>
      <c r="H1193" s="46" t="inlineStr">
        <is>
          <t>CA</t>
        </is>
      </c>
      <c r="I1193" s="49" t="n">
        <v>14874</v>
      </c>
      <c r="J1193" s="46" t="inlineStr">
        <is>
          <t>EA</t>
        </is>
      </c>
      <c r="K1193" s="50" t="n">
        <v>6.69</v>
      </c>
      <c r="L1193" s="50" t="n">
        <v>91800.53</v>
      </c>
      <c r="M1193" s="46" t="inlineStr">
        <is>
          <t>USD</t>
        </is>
      </c>
      <c r="N1193" s="46" t="inlineStr">
        <is>
          <t>FOB</t>
        </is>
      </c>
      <c r="O1193" s="46" t="inlineStr">
        <is>
          <t>N</t>
        </is>
      </c>
      <c r="P1193" s="50" t="n">
        <v>1423.0795</v>
      </c>
      <c r="Q1193" s="49">
        <f>IF(OR(L1193="",M1193="",P1193=""),"",L1193*P1193)</f>
        <v/>
      </c>
    </row>
    <row r="1194" ht="15" customHeight="1" s="32">
      <c r="A1194" s="46" t="inlineStr">
        <is>
          <t>R-HB-1193</t>
        </is>
      </c>
      <c r="B1194" s="47" t="n">
        <v>45936</v>
      </c>
      <c r="C1194" s="46" t="inlineStr">
        <is>
          <t>2025-10</t>
        </is>
      </c>
      <c r="D1194" s="46" t="n">
        <v>2025</v>
      </c>
      <c r="E1194" s="46" t="inlineStr">
        <is>
          <t>P-HB-001</t>
        </is>
      </c>
      <c r="F1194" s="46" t="inlineStr">
        <is>
          <t>C-HB-05</t>
        </is>
      </c>
      <c r="G1194" s="48" t="inlineStr">
        <is>
          <t>독일</t>
        </is>
      </c>
      <c r="H1194" s="46" t="inlineStr">
        <is>
          <t>DE</t>
        </is>
      </c>
      <c r="I1194" s="49" t="n">
        <v>150103</v>
      </c>
      <c r="J1194" s="46" t="inlineStr">
        <is>
          <t>EA</t>
        </is>
      </c>
      <c r="K1194" s="50" t="n">
        <v>67.55</v>
      </c>
      <c r="L1194" s="50" t="n">
        <v>892154.4</v>
      </c>
      <c r="M1194" s="46" t="inlineStr">
        <is>
          <t>USD</t>
        </is>
      </c>
      <c r="N1194" s="46" t="inlineStr">
        <is>
          <t>FOB</t>
        </is>
      </c>
      <c r="O1194" s="46" t="inlineStr">
        <is>
          <t>N</t>
        </is>
      </c>
      <c r="P1194" s="50" t="n">
        <v>1423.0795</v>
      </c>
      <c r="Q1194" s="49">
        <f>IF(OR(L1194="",M1194="",P1194=""),"",L1194*P1194)</f>
        <v/>
      </c>
    </row>
    <row r="1195" ht="15" customHeight="1" s="32">
      <c r="A1195" s="46" t="inlineStr">
        <is>
          <t>R-HB-1194</t>
        </is>
      </c>
      <c r="B1195" s="47" t="n">
        <v>45936</v>
      </c>
      <c r="C1195" s="46" t="inlineStr">
        <is>
          <t>2025-10</t>
        </is>
      </c>
      <c r="D1195" s="46" t="n">
        <v>2025</v>
      </c>
      <c r="E1195" s="46" t="inlineStr">
        <is>
          <t>P-HB-002</t>
        </is>
      </c>
      <c r="F1195" s="46" t="inlineStr">
        <is>
          <t>C-HB-05</t>
        </is>
      </c>
      <c r="G1195" s="48" t="inlineStr">
        <is>
          <t>독일</t>
        </is>
      </c>
      <c r="H1195" s="46" t="inlineStr">
        <is>
          <t>DE</t>
        </is>
      </c>
      <c r="I1195" s="49" t="n">
        <v>909</v>
      </c>
      <c r="J1195" s="46" t="inlineStr">
        <is>
          <t>EA</t>
        </is>
      </c>
      <c r="K1195" s="50" t="n">
        <v>2</v>
      </c>
      <c r="L1195" s="50" t="n">
        <v>382166.81</v>
      </c>
      <c r="M1195" s="46" t="inlineStr">
        <is>
          <t>USD</t>
        </is>
      </c>
      <c r="N1195" s="46" t="inlineStr">
        <is>
          <t>FOB</t>
        </is>
      </c>
      <c r="O1195" s="46" t="inlineStr">
        <is>
          <t>N</t>
        </is>
      </c>
      <c r="P1195" s="50" t="n">
        <v>1423.0795</v>
      </c>
      <c r="Q1195" s="49">
        <f>IF(OR(L1195="",M1195="",P1195=""),"",L1195*P1195)</f>
        <v/>
      </c>
    </row>
    <row r="1196" ht="15" customHeight="1" s="32">
      <c r="A1196" s="46" t="inlineStr">
        <is>
          <t>R-HB-1195</t>
        </is>
      </c>
      <c r="B1196" s="47" t="n">
        <v>45936</v>
      </c>
      <c r="C1196" s="46" t="inlineStr">
        <is>
          <t>2025-10</t>
        </is>
      </c>
      <c r="D1196" s="46" t="n">
        <v>2025</v>
      </c>
      <c r="E1196" s="46" t="inlineStr">
        <is>
          <t>P-HB-003</t>
        </is>
      </c>
      <c r="F1196" s="46" t="inlineStr">
        <is>
          <t>C-HB-06</t>
        </is>
      </c>
      <c r="G1196" s="48" t="inlineStr">
        <is>
          <t>베트남</t>
        </is>
      </c>
      <c r="H1196" s="46" t="inlineStr">
        <is>
          <t>VN</t>
        </is>
      </c>
      <c r="I1196" s="49" t="n">
        <v>32793</v>
      </c>
      <c r="J1196" s="46" t="inlineStr">
        <is>
          <t>EA</t>
        </is>
      </c>
      <c r="K1196" s="50" t="n">
        <v>21.32</v>
      </c>
      <c r="L1196" s="50" t="n">
        <v>290376.37</v>
      </c>
      <c r="M1196" s="46" t="inlineStr">
        <is>
          <t>USD</t>
        </is>
      </c>
      <c r="N1196" s="46" t="inlineStr">
        <is>
          <t>FOB</t>
        </is>
      </c>
      <c r="O1196" s="46" t="inlineStr">
        <is>
          <t>N</t>
        </is>
      </c>
      <c r="P1196" s="50" t="n">
        <v>1423.0795</v>
      </c>
      <c r="Q1196" s="49">
        <f>IF(OR(L1196="",M1196="",P1196=""),"",L1196*P1196)</f>
        <v/>
      </c>
    </row>
    <row r="1197" ht="15" customHeight="1" s="32">
      <c r="A1197" s="46" t="inlineStr">
        <is>
          <t>R-HB-1196</t>
        </is>
      </c>
      <c r="B1197" s="47" t="n">
        <v>45937</v>
      </c>
      <c r="C1197" s="46" t="inlineStr">
        <is>
          <t>2025-10</t>
        </is>
      </c>
      <c r="D1197" s="46" t="n">
        <v>2025</v>
      </c>
      <c r="E1197" s="46" t="inlineStr">
        <is>
          <t>P-HB-004</t>
        </is>
      </c>
      <c r="F1197" s="46" t="inlineStr">
        <is>
          <t>C-HB-04</t>
        </is>
      </c>
      <c r="G1197" s="48" t="inlineStr">
        <is>
          <t>캐나다</t>
        </is>
      </c>
      <c r="H1197" s="46" t="inlineStr">
        <is>
          <t>CA</t>
        </is>
      </c>
      <c r="I1197" s="49" t="n">
        <v>1538</v>
      </c>
      <c r="J1197" s="46" t="inlineStr">
        <is>
          <t>EA</t>
        </is>
      </c>
      <c r="K1197" s="50" t="n">
        <v>1.69</v>
      </c>
      <c r="L1197" s="50" t="n">
        <v>43987.36</v>
      </c>
      <c r="M1197" s="46" t="inlineStr">
        <is>
          <t>USD</t>
        </is>
      </c>
      <c r="N1197" s="46" t="inlineStr">
        <is>
          <t>FOB</t>
        </is>
      </c>
      <c r="O1197" s="46" t="inlineStr">
        <is>
          <t>N</t>
        </is>
      </c>
      <c r="P1197" s="50" t="n">
        <v>1423.0795</v>
      </c>
      <c r="Q1197" s="49">
        <f>IF(OR(L1197="",M1197="",P1197=""),"",L1197*P1197)</f>
        <v/>
      </c>
    </row>
    <row r="1198" ht="15" customHeight="1" s="32">
      <c r="A1198" s="46" t="inlineStr">
        <is>
          <t>R-HB-1197</t>
        </is>
      </c>
      <c r="B1198" s="47" t="n">
        <v>45938</v>
      </c>
      <c r="C1198" s="46" t="inlineStr">
        <is>
          <t>2025-10</t>
        </is>
      </c>
      <c r="D1198" s="46" t="n">
        <v>2025</v>
      </c>
      <c r="E1198" s="46" t="inlineStr">
        <is>
          <t>P-HB-002</t>
        </is>
      </c>
      <c r="F1198" s="46" t="inlineStr">
        <is>
          <t>C-HB-06</t>
        </is>
      </c>
      <c r="G1198" s="48" t="inlineStr">
        <is>
          <t>베트남</t>
        </is>
      </c>
      <c r="H1198" s="46" t="inlineStr">
        <is>
          <t>VN</t>
        </is>
      </c>
      <c r="I1198" s="49" t="n">
        <v>764</v>
      </c>
      <c r="J1198" s="46" t="inlineStr">
        <is>
          <t>EA</t>
        </is>
      </c>
      <c r="K1198" s="50" t="n">
        <v>1.68</v>
      </c>
      <c r="L1198" s="50" t="n">
        <v>321769.62</v>
      </c>
      <c r="M1198" s="46" t="inlineStr">
        <is>
          <t>USD</t>
        </is>
      </c>
      <c r="N1198" s="46" t="inlineStr">
        <is>
          <t>FOB</t>
        </is>
      </c>
      <c r="O1198" s="46" t="inlineStr">
        <is>
          <t>N</t>
        </is>
      </c>
      <c r="P1198" s="50" t="n">
        <v>1423.0795</v>
      </c>
      <c r="Q1198" s="49">
        <f>IF(OR(L1198="",M1198="",P1198=""),"",L1198*P1198)</f>
        <v/>
      </c>
    </row>
    <row r="1199" ht="15" customHeight="1" s="32">
      <c r="A1199" s="46" t="inlineStr">
        <is>
          <t>R-HB-1198</t>
        </is>
      </c>
      <c r="B1199" s="47" t="n">
        <v>45938</v>
      </c>
      <c r="C1199" s="46" t="inlineStr">
        <is>
          <t>2025-10</t>
        </is>
      </c>
      <c r="D1199" s="46" t="n">
        <v>2025</v>
      </c>
      <c r="E1199" s="46" t="inlineStr">
        <is>
          <t>P-HB-004</t>
        </is>
      </c>
      <c r="F1199" s="46" t="inlineStr">
        <is>
          <t>C-HB-06</t>
        </is>
      </c>
      <c r="G1199" s="48" t="inlineStr">
        <is>
          <t>베트남</t>
        </is>
      </c>
      <c r="H1199" s="46" t="inlineStr">
        <is>
          <t>VN</t>
        </is>
      </c>
      <c r="I1199" s="49" t="n">
        <v>13232</v>
      </c>
      <c r="J1199" s="46" t="inlineStr">
        <is>
          <t>EA</t>
        </is>
      </c>
      <c r="K1199" s="50" t="n">
        <v>14.56</v>
      </c>
      <c r="L1199" s="50" t="n">
        <v>358074.42</v>
      </c>
      <c r="M1199" s="46" t="inlineStr">
        <is>
          <t>USD</t>
        </is>
      </c>
      <c r="N1199" s="46" t="inlineStr">
        <is>
          <t>FOB</t>
        </is>
      </c>
      <c r="O1199" s="46" t="inlineStr">
        <is>
          <t>N</t>
        </is>
      </c>
      <c r="P1199" s="50" t="n">
        <v>1423.0795</v>
      </c>
      <c r="Q1199" s="49">
        <f>IF(OR(L1199="",M1199="",P1199=""),"",L1199*P1199)</f>
        <v/>
      </c>
    </row>
    <row r="1200" ht="15" customHeight="1" s="32">
      <c r="A1200" s="46" t="inlineStr">
        <is>
          <t>R-HB-1199</t>
        </is>
      </c>
      <c r="B1200" s="47" t="n">
        <v>45938</v>
      </c>
      <c r="C1200" s="46" t="inlineStr">
        <is>
          <t>2025-10</t>
        </is>
      </c>
      <c r="D1200" s="46" t="n">
        <v>2025</v>
      </c>
      <c r="E1200" s="46" t="inlineStr">
        <is>
          <t>P-HB-002</t>
        </is>
      </c>
      <c r="F1200" s="46" t="inlineStr">
        <is>
          <t>C-HB-07</t>
        </is>
      </c>
      <c r="G1200" s="48" t="inlineStr">
        <is>
          <t>인도</t>
        </is>
      </c>
      <c r="H1200" s="46" t="inlineStr">
        <is>
          <t>IN</t>
        </is>
      </c>
      <c r="I1200" s="49" t="n">
        <v>543</v>
      </c>
      <c r="J1200" s="46" t="inlineStr">
        <is>
          <t>EA</t>
        </is>
      </c>
      <c r="K1200" s="50" t="n">
        <v>1.19</v>
      </c>
      <c r="L1200" s="50" t="n">
        <v>222231.81</v>
      </c>
      <c r="M1200" s="46" t="inlineStr">
        <is>
          <t>USD</t>
        </is>
      </c>
      <c r="N1200" s="46" t="inlineStr">
        <is>
          <t>FOB</t>
        </is>
      </c>
      <c r="O1200" s="46" t="inlineStr">
        <is>
          <t>N</t>
        </is>
      </c>
      <c r="P1200" s="50" t="n">
        <v>1423.0795</v>
      </c>
      <c r="Q1200" s="49">
        <f>IF(OR(L1200="",M1200="",P1200=""),"",L1200*P1200)</f>
        <v/>
      </c>
    </row>
    <row r="1201" ht="15" customHeight="1" s="32">
      <c r="A1201" s="46" t="inlineStr">
        <is>
          <t>R-HB-1200</t>
        </is>
      </c>
      <c r="B1201" s="47" t="n">
        <v>45939</v>
      </c>
      <c r="C1201" s="46" t="inlineStr">
        <is>
          <t>2025-10</t>
        </is>
      </c>
      <c r="D1201" s="46" t="n">
        <v>2025</v>
      </c>
      <c r="E1201" s="46" t="inlineStr">
        <is>
          <t>P-HB-004</t>
        </is>
      </c>
      <c r="F1201" s="46" t="inlineStr">
        <is>
          <t>C-HB-02</t>
        </is>
      </c>
      <c r="G1201" s="48" t="inlineStr">
        <is>
          <t>미국</t>
        </is>
      </c>
      <c r="H1201" s="46" t="inlineStr">
        <is>
          <t>US</t>
        </is>
      </c>
      <c r="I1201" s="49" t="n">
        <v>9978</v>
      </c>
      <c r="J1201" s="46" t="inlineStr">
        <is>
          <t>EA</t>
        </is>
      </c>
      <c r="K1201" s="50" t="n">
        <v>10.98</v>
      </c>
      <c r="L1201" s="50" t="n">
        <v>271765.99</v>
      </c>
      <c r="M1201" s="46" t="inlineStr">
        <is>
          <t>USD</t>
        </is>
      </c>
      <c r="N1201" s="46" t="inlineStr">
        <is>
          <t>FOB</t>
        </is>
      </c>
      <c r="O1201" s="46" t="inlineStr">
        <is>
          <t>N</t>
        </is>
      </c>
      <c r="P1201" s="50" t="n">
        <v>1423.0795</v>
      </c>
      <c r="Q1201" s="49">
        <f>IF(OR(L1201="",M1201="",P1201=""),"",L1201*P1201)</f>
        <v/>
      </c>
    </row>
    <row r="1202" ht="15" customHeight="1" s="32">
      <c r="A1202" s="46" t="inlineStr">
        <is>
          <t>R-HB-1201</t>
        </is>
      </c>
      <c r="B1202" s="47" t="n">
        <v>45940</v>
      </c>
      <c r="C1202" s="46" t="inlineStr">
        <is>
          <t>2025-10</t>
        </is>
      </c>
      <c r="D1202" s="46" t="n">
        <v>2025</v>
      </c>
      <c r="E1202" s="46" t="inlineStr">
        <is>
          <t>P-HB-001</t>
        </is>
      </c>
      <c r="F1202" s="46" t="inlineStr">
        <is>
          <t>C-HB-09</t>
        </is>
      </c>
      <c r="G1202" s="48" t="inlineStr">
        <is>
          <t>중국</t>
        </is>
      </c>
      <c r="H1202" s="46" t="inlineStr">
        <is>
          <t>CN</t>
        </is>
      </c>
      <c r="I1202" s="49" t="n">
        <v>138796</v>
      </c>
      <c r="J1202" s="46" t="inlineStr">
        <is>
          <t>EA</t>
        </is>
      </c>
      <c r="K1202" s="50" t="n">
        <v>62.46</v>
      </c>
      <c r="L1202" s="50" t="n">
        <v>879748.04</v>
      </c>
      <c r="M1202" s="46" t="inlineStr">
        <is>
          <t>USD</t>
        </is>
      </c>
      <c r="N1202" s="46" t="inlineStr">
        <is>
          <t>FOB</t>
        </is>
      </c>
      <c r="O1202" s="46" t="inlineStr">
        <is>
          <t>N</t>
        </is>
      </c>
      <c r="P1202" s="50" t="n">
        <v>1423.0795</v>
      </c>
      <c r="Q1202" s="49">
        <f>IF(OR(L1202="",M1202="",P1202=""),"",L1202*P1202)</f>
        <v/>
      </c>
    </row>
    <row r="1203" ht="15" customHeight="1" s="32">
      <c r="A1203" s="46" t="inlineStr">
        <is>
          <t>R-HB-1202</t>
        </is>
      </c>
      <c r="B1203" s="47" t="n">
        <v>45940</v>
      </c>
      <c r="C1203" s="46" t="inlineStr">
        <is>
          <t>2025-10</t>
        </is>
      </c>
      <c r="D1203" s="46" t="n">
        <v>2025</v>
      </c>
      <c r="E1203" s="46" t="inlineStr">
        <is>
          <t>P-HB-004</t>
        </is>
      </c>
      <c r="F1203" s="46" t="inlineStr">
        <is>
          <t>C-HB-09</t>
        </is>
      </c>
      <c r="G1203" s="48" t="inlineStr">
        <is>
          <t>중국</t>
        </is>
      </c>
      <c r="H1203" s="46" t="inlineStr">
        <is>
          <t>CN</t>
        </is>
      </c>
      <c r="I1203" s="49" t="n">
        <v>13811</v>
      </c>
      <c r="J1203" s="46" t="inlineStr">
        <is>
          <t>EA</t>
        </is>
      </c>
      <c r="K1203" s="50" t="n">
        <v>15.19</v>
      </c>
      <c r="L1203" s="50" t="n">
        <v>391247.31</v>
      </c>
      <c r="M1203" s="46" t="inlineStr">
        <is>
          <t>USD</t>
        </is>
      </c>
      <c r="N1203" s="46" t="inlineStr">
        <is>
          <t>FOB</t>
        </is>
      </c>
      <c r="O1203" s="46" t="inlineStr">
        <is>
          <t>N</t>
        </is>
      </c>
      <c r="P1203" s="50" t="n">
        <v>1423.0795</v>
      </c>
      <c r="Q1203" s="49">
        <f>IF(OR(L1203="",M1203="",P1203=""),"",L1203*P1203)</f>
        <v/>
      </c>
    </row>
    <row r="1204" ht="15" customHeight="1" s="32">
      <c r="A1204" s="46" t="inlineStr">
        <is>
          <t>R-HB-1203</t>
        </is>
      </c>
      <c r="B1204" s="47" t="n">
        <v>45941</v>
      </c>
      <c r="C1204" s="46" t="inlineStr">
        <is>
          <t>2025-10</t>
        </is>
      </c>
      <c r="D1204" s="46" t="n">
        <v>2025</v>
      </c>
      <c r="E1204" s="46" t="inlineStr">
        <is>
          <t>P-HB-003</t>
        </is>
      </c>
      <c r="F1204" s="46" t="inlineStr">
        <is>
          <t>C-HB-08</t>
        </is>
      </c>
      <c r="G1204" s="48" t="inlineStr">
        <is>
          <t>중국</t>
        </is>
      </c>
      <c r="H1204" s="46" t="inlineStr">
        <is>
          <t>CN</t>
        </is>
      </c>
      <c r="I1204" s="49" t="n">
        <v>55091</v>
      </c>
      <c r="J1204" s="46" t="inlineStr">
        <is>
          <t>EA</t>
        </is>
      </c>
      <c r="K1204" s="50" t="n">
        <v>35.81</v>
      </c>
      <c r="L1204" s="50" t="n">
        <v>495432.31</v>
      </c>
      <c r="M1204" s="46" t="inlineStr">
        <is>
          <t>USD</t>
        </is>
      </c>
      <c r="N1204" s="46" t="inlineStr">
        <is>
          <t>FOB</t>
        </is>
      </c>
      <c r="O1204" s="46" t="inlineStr">
        <is>
          <t>N</t>
        </is>
      </c>
      <c r="P1204" s="50" t="n">
        <v>1423.0795</v>
      </c>
      <c r="Q1204" s="49">
        <f>IF(OR(L1204="",M1204="",P1204=""),"",L1204*P1204)</f>
        <v/>
      </c>
    </row>
    <row r="1205" ht="15" customHeight="1" s="32">
      <c r="A1205" s="46" t="inlineStr">
        <is>
          <t>R-HB-1204</t>
        </is>
      </c>
      <c r="B1205" s="47" t="n">
        <v>45941</v>
      </c>
      <c r="C1205" s="46" t="inlineStr">
        <is>
          <t>2025-10</t>
        </is>
      </c>
      <c r="D1205" s="46" t="n">
        <v>2025</v>
      </c>
      <c r="E1205" s="46" t="inlineStr">
        <is>
          <t>P-HB-002</t>
        </is>
      </c>
      <c r="F1205" s="46" t="inlineStr">
        <is>
          <t>C-HB-09</t>
        </is>
      </c>
      <c r="G1205" s="48" t="inlineStr">
        <is>
          <t>중국</t>
        </is>
      </c>
      <c r="H1205" s="46" t="inlineStr">
        <is>
          <t>CN</t>
        </is>
      </c>
      <c r="I1205" s="49" t="n">
        <v>805</v>
      </c>
      <c r="J1205" s="46" t="inlineStr">
        <is>
          <t>EA</t>
        </is>
      </c>
      <c r="K1205" s="50" t="n">
        <v>1.77</v>
      </c>
      <c r="L1205" s="50" t="n">
        <v>332273.5</v>
      </c>
      <c r="M1205" s="46" t="inlineStr">
        <is>
          <t>USD</t>
        </is>
      </c>
      <c r="N1205" s="46" t="inlineStr">
        <is>
          <t>FOB</t>
        </is>
      </c>
      <c r="O1205" s="46" t="inlineStr">
        <is>
          <t>N</t>
        </is>
      </c>
      <c r="P1205" s="50" t="n">
        <v>1423.0795</v>
      </c>
      <c r="Q1205" s="49">
        <f>IF(OR(L1205="",M1205="",P1205=""),"",L1205*P1205)</f>
        <v/>
      </c>
    </row>
    <row r="1206" ht="15" customHeight="1" s="32">
      <c r="A1206" s="46" t="inlineStr">
        <is>
          <t>R-HB-1205</t>
        </is>
      </c>
      <c r="B1206" s="47" t="n">
        <v>45942</v>
      </c>
      <c r="C1206" s="46" t="inlineStr">
        <is>
          <t>2025-10</t>
        </is>
      </c>
      <c r="D1206" s="46" t="n">
        <v>2025</v>
      </c>
      <c r="E1206" s="46" t="inlineStr">
        <is>
          <t>P-HB-004</t>
        </is>
      </c>
      <c r="F1206" s="46" t="inlineStr">
        <is>
          <t>C-HB-08</t>
        </is>
      </c>
      <c r="G1206" s="48" t="inlineStr">
        <is>
          <t>중국</t>
        </is>
      </c>
      <c r="H1206" s="46" t="inlineStr">
        <is>
          <t>CN</t>
        </is>
      </c>
      <c r="I1206" s="49" t="n">
        <v>18757</v>
      </c>
      <c r="J1206" s="46" t="inlineStr">
        <is>
          <t>EA</t>
        </is>
      </c>
      <c r="K1206" s="50" t="n">
        <v>20.63</v>
      </c>
      <c r="L1206" s="50" t="n">
        <v>545253.46</v>
      </c>
      <c r="M1206" s="46" t="inlineStr">
        <is>
          <t>USD</t>
        </is>
      </c>
      <c r="N1206" s="46" t="inlineStr">
        <is>
          <t>FOB</t>
        </is>
      </c>
      <c r="O1206" s="46" t="inlineStr">
        <is>
          <t>N</t>
        </is>
      </c>
      <c r="P1206" s="50" t="n">
        <v>1423.0795</v>
      </c>
      <c r="Q1206" s="49">
        <f>IF(OR(L1206="",M1206="",P1206=""),"",L1206*P1206)</f>
        <v/>
      </c>
    </row>
    <row r="1207" ht="15" customHeight="1" s="32">
      <c r="A1207" s="46" t="inlineStr">
        <is>
          <t>R-HB-1206</t>
        </is>
      </c>
      <c r="B1207" s="47" t="n">
        <v>45943</v>
      </c>
      <c r="C1207" s="46" t="inlineStr">
        <is>
          <t>2025-10</t>
        </is>
      </c>
      <c r="D1207" s="46" t="n">
        <v>2025</v>
      </c>
      <c r="E1207" s="46" t="inlineStr">
        <is>
          <t>P-HB-002</t>
        </is>
      </c>
      <c r="F1207" s="46" t="inlineStr">
        <is>
          <t>C-HB-03</t>
        </is>
      </c>
      <c r="G1207" s="48" t="inlineStr">
        <is>
          <t>멕시코</t>
        </is>
      </c>
      <c r="H1207" s="46" t="inlineStr">
        <is>
          <t>MX</t>
        </is>
      </c>
      <c r="I1207" s="49" t="n">
        <v>186</v>
      </c>
      <c r="J1207" s="46" t="inlineStr">
        <is>
          <t>EA</t>
        </is>
      </c>
      <c r="K1207" s="50" t="n">
        <v>0.41</v>
      </c>
      <c r="L1207" s="50" t="n">
        <v>78416.61</v>
      </c>
      <c r="M1207" s="46" t="inlineStr">
        <is>
          <t>USD</t>
        </is>
      </c>
      <c r="N1207" s="46" t="inlineStr">
        <is>
          <t>FOB</t>
        </is>
      </c>
      <c r="O1207" s="46" t="inlineStr">
        <is>
          <t>N</t>
        </is>
      </c>
      <c r="P1207" s="50" t="n">
        <v>1423.0795</v>
      </c>
      <c r="Q1207" s="49">
        <f>IF(OR(L1207="",M1207="",P1207=""),"",L1207*P1207)</f>
        <v/>
      </c>
    </row>
    <row r="1208" ht="15" customHeight="1" s="32">
      <c r="A1208" s="46" t="inlineStr">
        <is>
          <t>R-HB-1207</t>
        </is>
      </c>
      <c r="B1208" s="47" t="n">
        <v>45945</v>
      </c>
      <c r="C1208" s="46" t="inlineStr">
        <is>
          <t>2025-10</t>
        </is>
      </c>
      <c r="D1208" s="46" t="n">
        <v>2025</v>
      </c>
      <c r="E1208" s="46" t="inlineStr">
        <is>
          <t>P-HB-001</t>
        </is>
      </c>
      <c r="F1208" s="46" t="inlineStr">
        <is>
          <t>C-HB-03</t>
        </is>
      </c>
      <c r="G1208" s="48" t="inlineStr">
        <is>
          <t>멕시코</t>
        </is>
      </c>
      <c r="H1208" s="46" t="inlineStr">
        <is>
          <t>MX</t>
        </is>
      </c>
      <c r="I1208" s="49" t="n">
        <v>31541</v>
      </c>
      <c r="J1208" s="46" t="inlineStr">
        <is>
          <t>EA</t>
        </is>
      </c>
      <c r="K1208" s="50" t="n">
        <v>14.19</v>
      </c>
      <c r="L1208" s="50" t="n">
        <v>198781.16</v>
      </c>
      <c r="M1208" s="46" t="inlineStr">
        <is>
          <t>USD</t>
        </is>
      </c>
      <c r="N1208" s="46" t="inlineStr">
        <is>
          <t>FOB</t>
        </is>
      </c>
      <c r="O1208" s="46" t="inlineStr">
        <is>
          <t>N</t>
        </is>
      </c>
      <c r="P1208" s="50" t="n">
        <v>1423.0795</v>
      </c>
      <c r="Q1208" s="49">
        <f>IF(OR(L1208="",M1208="",P1208=""),"",L1208*P1208)</f>
        <v/>
      </c>
    </row>
    <row r="1209" ht="15" customHeight="1" s="32">
      <c r="A1209" s="46" t="inlineStr">
        <is>
          <t>R-HB-1208</t>
        </is>
      </c>
      <c r="B1209" s="47" t="n">
        <v>45946</v>
      </c>
      <c r="C1209" s="46" t="inlineStr">
        <is>
          <t>2025-10</t>
        </is>
      </c>
      <c r="D1209" s="46" t="n">
        <v>2025</v>
      </c>
      <c r="E1209" s="46" t="inlineStr">
        <is>
          <t>P-HB-001</t>
        </is>
      </c>
      <c r="F1209" s="46" t="inlineStr">
        <is>
          <t>C-HB-02</t>
        </is>
      </c>
      <c r="G1209" s="48" t="inlineStr">
        <is>
          <t>미국</t>
        </is>
      </c>
      <c r="H1209" s="46" t="inlineStr">
        <is>
          <t>US</t>
        </is>
      </c>
      <c r="I1209" s="49" t="n">
        <v>90078</v>
      </c>
      <c r="J1209" s="46" t="inlineStr">
        <is>
          <t>EA</t>
        </is>
      </c>
      <c r="K1209" s="50" t="n">
        <v>40.54</v>
      </c>
      <c r="L1209" s="50" t="n">
        <v>557133.87</v>
      </c>
      <c r="M1209" s="46" t="inlineStr">
        <is>
          <t>USD</t>
        </is>
      </c>
      <c r="N1209" s="46" t="inlineStr">
        <is>
          <t>FOB</t>
        </is>
      </c>
      <c r="O1209" s="46" t="inlineStr">
        <is>
          <t>N</t>
        </is>
      </c>
      <c r="P1209" s="50" t="n">
        <v>1423.0795</v>
      </c>
      <c r="Q1209" s="49">
        <f>IF(OR(L1209="",M1209="",P1209=""),"",L1209*P1209)</f>
        <v/>
      </c>
    </row>
    <row r="1210" ht="15" customHeight="1" s="32">
      <c r="A1210" s="46" t="inlineStr">
        <is>
          <t>R-HB-1209</t>
        </is>
      </c>
      <c r="B1210" s="47" t="n">
        <v>45947</v>
      </c>
      <c r="C1210" s="46" t="inlineStr">
        <is>
          <t>2025-10</t>
        </is>
      </c>
      <c r="D1210" s="46" t="n">
        <v>2025</v>
      </c>
      <c r="E1210" s="46" t="inlineStr">
        <is>
          <t>P-HB-003</t>
        </is>
      </c>
      <c r="F1210" s="46" t="inlineStr">
        <is>
          <t>C-HB-04</t>
        </is>
      </c>
      <c r="G1210" s="48" t="inlineStr">
        <is>
          <t>캐나다</t>
        </is>
      </c>
      <c r="H1210" s="46" t="inlineStr">
        <is>
          <t>CA</t>
        </is>
      </c>
      <c r="I1210" s="49" t="n">
        <v>4308</v>
      </c>
      <c r="J1210" s="46" t="inlineStr">
        <is>
          <t>EA</t>
        </is>
      </c>
      <c r="K1210" s="50" t="n">
        <v>2.8</v>
      </c>
      <c r="L1210" s="50" t="n">
        <v>37906.78</v>
      </c>
      <c r="M1210" s="46" t="inlineStr">
        <is>
          <t>USD</t>
        </is>
      </c>
      <c r="N1210" s="46" t="inlineStr">
        <is>
          <t>FOB</t>
        </is>
      </c>
      <c r="O1210" s="46" t="inlineStr">
        <is>
          <t>N</t>
        </is>
      </c>
      <c r="P1210" s="50" t="n">
        <v>1423.0795</v>
      </c>
      <c r="Q1210" s="49">
        <f>IF(OR(L1210="",M1210="",P1210=""),"",L1210*P1210)</f>
        <v/>
      </c>
    </row>
    <row r="1211" ht="15" customHeight="1" s="32">
      <c r="A1211" s="46" t="inlineStr">
        <is>
          <t>R-HB-1210</t>
        </is>
      </c>
      <c r="B1211" s="47" t="n">
        <v>45948</v>
      </c>
      <c r="C1211" s="46" t="inlineStr">
        <is>
          <t>2025-10</t>
        </is>
      </c>
      <c r="D1211" s="46" t="n">
        <v>2025</v>
      </c>
      <c r="E1211" s="46" t="inlineStr">
        <is>
          <t>P-HB-001</t>
        </is>
      </c>
      <c r="F1211" s="46" t="inlineStr">
        <is>
          <t>C-HB-01</t>
        </is>
      </c>
      <c r="G1211" s="48" t="inlineStr">
        <is>
          <t>미국</t>
        </is>
      </c>
      <c r="H1211" s="46" t="inlineStr">
        <is>
          <t>US</t>
        </is>
      </c>
      <c r="I1211" s="49" t="n">
        <v>174514</v>
      </c>
      <c r="J1211" s="46" t="inlineStr">
        <is>
          <t>EA</t>
        </is>
      </c>
      <c r="K1211" s="50" t="n">
        <v>78.53</v>
      </c>
      <c r="L1211" s="50" t="n">
        <v>1099311.7</v>
      </c>
      <c r="M1211" s="46" t="inlineStr">
        <is>
          <t>USD</t>
        </is>
      </c>
      <c r="N1211" s="46" t="inlineStr">
        <is>
          <t>FOB</t>
        </is>
      </c>
      <c r="O1211" s="46" t="inlineStr">
        <is>
          <t>N</t>
        </is>
      </c>
      <c r="P1211" s="50" t="n">
        <v>1423.0795</v>
      </c>
      <c r="Q1211" s="49">
        <f>IF(OR(L1211="",M1211="",P1211=""),"",L1211*P1211)</f>
        <v/>
      </c>
    </row>
    <row r="1212" ht="15" customHeight="1" s="32">
      <c r="A1212" s="46" t="inlineStr">
        <is>
          <t>R-HB-1211</t>
        </is>
      </c>
      <c r="B1212" s="47" t="n">
        <v>45949</v>
      </c>
      <c r="C1212" s="46" t="inlineStr">
        <is>
          <t>2025-10</t>
        </is>
      </c>
      <c r="D1212" s="46" t="n">
        <v>2025</v>
      </c>
      <c r="E1212" s="46" t="inlineStr">
        <is>
          <t>P-HB-002</t>
        </is>
      </c>
      <c r="F1212" s="46" t="inlineStr">
        <is>
          <t>C-HB-08</t>
        </is>
      </c>
      <c r="G1212" s="48" t="inlineStr">
        <is>
          <t>중국</t>
        </is>
      </c>
      <c r="H1212" s="46" t="inlineStr">
        <is>
          <t>CN</t>
        </is>
      </c>
      <c r="I1212" s="49" t="n">
        <v>1203</v>
      </c>
      <c r="J1212" s="46" t="inlineStr">
        <is>
          <t>EA</t>
        </is>
      </c>
      <c r="K1212" s="50" t="n">
        <v>2.65</v>
      </c>
      <c r="L1212" s="50" t="n">
        <v>506544</v>
      </c>
      <c r="M1212" s="46" t="inlineStr">
        <is>
          <t>USD</t>
        </is>
      </c>
      <c r="N1212" s="46" t="inlineStr">
        <is>
          <t>FOB</t>
        </is>
      </c>
      <c r="O1212" s="46" t="inlineStr">
        <is>
          <t>N</t>
        </is>
      </c>
      <c r="P1212" s="50" t="n">
        <v>1423.0795</v>
      </c>
      <c r="Q1212" s="49">
        <f>IF(OR(L1212="",M1212="",P1212=""),"",L1212*P1212)</f>
        <v/>
      </c>
    </row>
    <row r="1213" ht="15" customHeight="1" s="32">
      <c r="A1213" s="46" t="inlineStr">
        <is>
          <t>R-HB-1212</t>
        </is>
      </c>
      <c r="B1213" s="47" t="n">
        <v>45950</v>
      </c>
      <c r="C1213" s="46" t="inlineStr">
        <is>
          <t>2025-10</t>
        </is>
      </c>
      <c r="D1213" s="46" t="n">
        <v>2025</v>
      </c>
      <c r="E1213" s="46" t="inlineStr">
        <is>
          <t>P-HB-002</t>
        </is>
      </c>
      <c r="F1213" s="46" t="inlineStr">
        <is>
          <t>C-HB-04</t>
        </is>
      </c>
      <c r="G1213" s="48" t="inlineStr">
        <is>
          <t>캐나다</t>
        </is>
      </c>
      <c r="H1213" s="46" t="inlineStr">
        <is>
          <t>CA</t>
        </is>
      </c>
      <c r="I1213" s="49" t="n">
        <v>105</v>
      </c>
      <c r="J1213" s="46" t="inlineStr">
        <is>
          <t>EA</t>
        </is>
      </c>
      <c r="K1213" s="50" t="n">
        <v>0.23</v>
      </c>
      <c r="L1213" s="50" t="n">
        <v>43680.85</v>
      </c>
      <c r="M1213" s="46" t="inlineStr">
        <is>
          <t>USD</t>
        </is>
      </c>
      <c r="N1213" s="46" t="inlineStr">
        <is>
          <t>FOB</t>
        </is>
      </c>
      <c r="O1213" s="46" t="inlineStr">
        <is>
          <t>N</t>
        </is>
      </c>
      <c r="P1213" s="50" t="n">
        <v>1423.0795</v>
      </c>
      <c r="Q1213" s="49">
        <f>IF(OR(L1213="",M1213="",P1213=""),"",L1213*P1213)</f>
        <v/>
      </c>
    </row>
    <row r="1214" ht="15" customHeight="1" s="32">
      <c r="A1214" s="46" t="inlineStr">
        <is>
          <t>R-HB-1213</t>
        </is>
      </c>
      <c r="B1214" s="47" t="n">
        <v>45951</v>
      </c>
      <c r="C1214" s="46" t="inlineStr">
        <is>
          <t>2025-10</t>
        </is>
      </c>
      <c r="D1214" s="46" t="n">
        <v>2025</v>
      </c>
      <c r="E1214" s="46" t="inlineStr">
        <is>
          <t>P-HB-003</t>
        </is>
      </c>
      <c r="F1214" s="46" t="inlineStr">
        <is>
          <t>C-HB-05</t>
        </is>
      </c>
      <c r="G1214" s="48" t="inlineStr">
        <is>
          <t>독일</t>
        </is>
      </c>
      <c r="H1214" s="46" t="inlineStr">
        <is>
          <t>DE</t>
        </is>
      </c>
      <c r="I1214" s="49" t="n">
        <v>40866</v>
      </c>
      <c r="J1214" s="46" t="inlineStr">
        <is>
          <t>EA</t>
        </is>
      </c>
      <c r="K1214" s="50" t="n">
        <v>26.56</v>
      </c>
      <c r="L1214" s="50" t="n">
        <v>349015.45</v>
      </c>
      <c r="M1214" s="46" t="inlineStr">
        <is>
          <t>USD</t>
        </is>
      </c>
      <c r="N1214" s="46" t="inlineStr">
        <is>
          <t>FOB</t>
        </is>
      </c>
      <c r="O1214" s="46" t="inlineStr">
        <is>
          <t>N</t>
        </is>
      </c>
      <c r="P1214" s="50" t="n">
        <v>1423.0795</v>
      </c>
      <c r="Q1214" s="49">
        <f>IF(OR(L1214="",M1214="",P1214=""),"",L1214*P1214)</f>
        <v/>
      </c>
    </row>
    <row r="1215" ht="15" customHeight="1" s="32">
      <c r="A1215" s="46" t="inlineStr">
        <is>
          <t>R-HB-1214</t>
        </is>
      </c>
      <c r="B1215" s="47" t="n">
        <v>45951</v>
      </c>
      <c r="C1215" s="46" t="inlineStr">
        <is>
          <t>2025-10</t>
        </is>
      </c>
      <c r="D1215" s="46" t="n">
        <v>2025</v>
      </c>
      <c r="E1215" s="46" t="inlineStr">
        <is>
          <t>P-HB-003</t>
        </is>
      </c>
      <c r="F1215" s="46" t="inlineStr">
        <is>
          <t>C-HB-09</t>
        </is>
      </c>
      <c r="G1215" s="48" t="inlineStr">
        <is>
          <t>중국</t>
        </is>
      </c>
      <c r="H1215" s="46" t="inlineStr">
        <is>
          <t>CN</t>
        </is>
      </c>
      <c r="I1215" s="49" t="n">
        <v>39095</v>
      </c>
      <c r="J1215" s="46" t="inlineStr">
        <is>
          <t>EA</t>
        </is>
      </c>
      <c r="K1215" s="50" t="n">
        <v>25.41</v>
      </c>
      <c r="L1215" s="50" t="n">
        <v>331034.74</v>
      </c>
      <c r="M1215" s="46" t="inlineStr">
        <is>
          <t>USD</t>
        </is>
      </c>
      <c r="N1215" s="46" t="inlineStr">
        <is>
          <t>FOB</t>
        </is>
      </c>
      <c r="O1215" s="46" t="inlineStr">
        <is>
          <t>N</t>
        </is>
      </c>
      <c r="P1215" s="50" t="n">
        <v>1423.0795</v>
      </c>
      <c r="Q1215" s="49">
        <f>IF(OR(L1215="",M1215="",P1215=""),"",L1215*P1215)</f>
        <v/>
      </c>
    </row>
    <row r="1216" ht="15" customHeight="1" s="32">
      <c r="A1216" s="46" t="inlineStr">
        <is>
          <t>R-HB-1215</t>
        </is>
      </c>
      <c r="B1216" s="47" t="n">
        <v>45954</v>
      </c>
      <c r="C1216" s="46" t="inlineStr">
        <is>
          <t>2025-10</t>
        </is>
      </c>
      <c r="D1216" s="46" t="n">
        <v>2025</v>
      </c>
      <c r="E1216" s="46" t="inlineStr">
        <is>
          <t>P-HB-002</t>
        </is>
      </c>
      <c r="F1216" s="46" t="inlineStr">
        <is>
          <t>C-HB-01</t>
        </is>
      </c>
      <c r="G1216" s="48" t="inlineStr">
        <is>
          <t>미국</t>
        </is>
      </c>
      <c r="H1216" s="46" t="inlineStr">
        <is>
          <t>US</t>
        </is>
      </c>
      <c r="I1216" s="49" t="n">
        <v>1164</v>
      </c>
      <c r="J1216" s="46" t="inlineStr">
        <is>
          <t>EA</t>
        </is>
      </c>
      <c r="K1216" s="50" t="n">
        <v>2.56</v>
      </c>
      <c r="L1216" s="50" t="n">
        <v>483769.52</v>
      </c>
      <c r="M1216" s="46" t="inlineStr">
        <is>
          <t>USD</t>
        </is>
      </c>
      <c r="N1216" s="46" t="inlineStr">
        <is>
          <t>FOB</t>
        </is>
      </c>
      <c r="O1216" s="46" t="inlineStr">
        <is>
          <t>N</t>
        </is>
      </c>
      <c r="P1216" s="50" t="n">
        <v>1423.0795</v>
      </c>
      <c r="Q1216" s="49">
        <f>IF(OR(L1216="",M1216="",P1216=""),"",L1216*P1216)</f>
        <v/>
      </c>
    </row>
    <row r="1217" ht="15" customHeight="1" s="32">
      <c r="A1217" s="46" t="inlineStr">
        <is>
          <t>R-HB-1216</t>
        </is>
      </c>
      <c r="B1217" s="47" t="n">
        <v>45954</v>
      </c>
      <c r="C1217" s="46" t="inlineStr">
        <is>
          <t>2025-10</t>
        </is>
      </c>
      <c r="D1217" s="46" t="n">
        <v>2025</v>
      </c>
      <c r="E1217" s="46" t="inlineStr">
        <is>
          <t>P-HB-003</t>
        </is>
      </c>
      <c r="F1217" s="46" t="inlineStr">
        <is>
          <t>C-HB-03</t>
        </is>
      </c>
      <c r="G1217" s="48" t="inlineStr">
        <is>
          <t>멕시코</t>
        </is>
      </c>
      <c r="H1217" s="46" t="inlineStr">
        <is>
          <t>MX</t>
        </is>
      </c>
      <c r="I1217" s="49" t="n">
        <v>8220</v>
      </c>
      <c r="J1217" s="46" t="inlineStr">
        <is>
          <t>EA</t>
        </is>
      </c>
      <c r="K1217" s="50" t="n">
        <v>5.34</v>
      </c>
      <c r="L1217" s="50" t="n">
        <v>73477.03999999999</v>
      </c>
      <c r="M1217" s="46" t="inlineStr">
        <is>
          <t>USD</t>
        </is>
      </c>
      <c r="N1217" s="46" t="inlineStr">
        <is>
          <t>FOB</t>
        </is>
      </c>
      <c r="O1217" s="46" t="inlineStr">
        <is>
          <t>N</t>
        </is>
      </c>
      <c r="P1217" s="50" t="n">
        <v>1423.0795</v>
      </c>
      <c r="Q1217" s="49">
        <f>IF(OR(L1217="",M1217="",P1217=""),"",L1217*P1217)</f>
        <v/>
      </c>
    </row>
    <row r="1218" ht="15" customHeight="1" s="32">
      <c r="A1218" s="46" t="inlineStr">
        <is>
          <t>R-HB-1217</t>
        </is>
      </c>
      <c r="B1218" s="47" t="n">
        <v>45955</v>
      </c>
      <c r="C1218" s="46" t="inlineStr">
        <is>
          <t>2025-10</t>
        </is>
      </c>
      <c r="D1218" s="46" t="n">
        <v>2025</v>
      </c>
      <c r="E1218" s="46" t="inlineStr">
        <is>
          <t>P-HB-003</t>
        </is>
      </c>
      <c r="F1218" s="46" t="inlineStr">
        <is>
          <t>C-HB-01</t>
        </is>
      </c>
      <c r="G1218" s="48" t="inlineStr">
        <is>
          <t>미국</t>
        </is>
      </c>
      <c r="H1218" s="46" t="inlineStr">
        <is>
          <t>US</t>
        </is>
      </c>
      <c r="I1218" s="49" t="n">
        <v>53540</v>
      </c>
      <c r="J1218" s="46" t="inlineStr">
        <is>
          <t>EA</t>
        </is>
      </c>
      <c r="K1218" s="50" t="n">
        <v>34.8</v>
      </c>
      <c r="L1218" s="50" t="n">
        <v>456679.75</v>
      </c>
      <c r="M1218" s="46" t="inlineStr">
        <is>
          <t>USD</t>
        </is>
      </c>
      <c r="N1218" s="46" t="inlineStr">
        <is>
          <t>FOB</t>
        </is>
      </c>
      <c r="O1218" s="46" t="inlineStr">
        <is>
          <t>N</t>
        </is>
      </c>
      <c r="P1218" s="50" t="n">
        <v>1423.0795</v>
      </c>
      <c r="Q1218" s="49">
        <f>IF(OR(L1218="",M1218="",P1218=""),"",L1218*P1218)</f>
        <v/>
      </c>
    </row>
    <row r="1219" ht="15" customHeight="1" s="32">
      <c r="A1219" s="46" t="inlineStr">
        <is>
          <t>R-HB-1218</t>
        </is>
      </c>
      <c r="B1219" s="47" t="n">
        <v>45955</v>
      </c>
      <c r="C1219" s="46" t="inlineStr">
        <is>
          <t>2025-10</t>
        </is>
      </c>
      <c r="D1219" s="46" t="n">
        <v>2025</v>
      </c>
      <c r="E1219" s="46" t="inlineStr">
        <is>
          <t>P-HB-003</t>
        </is>
      </c>
      <c r="F1219" s="46" t="inlineStr">
        <is>
          <t>C-HB-02</t>
        </is>
      </c>
      <c r="G1219" s="48" t="inlineStr">
        <is>
          <t>미국</t>
        </is>
      </c>
      <c r="H1219" s="46" t="inlineStr">
        <is>
          <t>US</t>
        </is>
      </c>
      <c r="I1219" s="49" t="n">
        <v>27261</v>
      </c>
      <c r="J1219" s="46" t="inlineStr">
        <is>
          <t>EA</t>
        </is>
      </c>
      <c r="K1219" s="50" t="n">
        <v>17.72</v>
      </c>
      <c r="L1219" s="50" t="n">
        <v>229786.75</v>
      </c>
      <c r="M1219" s="46" t="inlineStr">
        <is>
          <t>USD</t>
        </is>
      </c>
      <c r="N1219" s="46" t="inlineStr">
        <is>
          <t>FOB</t>
        </is>
      </c>
      <c r="O1219" s="46" t="inlineStr">
        <is>
          <t>N</t>
        </is>
      </c>
      <c r="P1219" s="50" t="n">
        <v>1423.0795</v>
      </c>
      <c r="Q1219" s="49">
        <f>IF(OR(L1219="",M1219="",P1219=""),"",L1219*P1219)</f>
        <v/>
      </c>
    </row>
    <row r="1220" ht="15" customHeight="1" s="32">
      <c r="A1220" s="46" t="inlineStr">
        <is>
          <t>R-HB-1219</t>
        </is>
      </c>
      <c r="B1220" s="47" t="n">
        <v>45955</v>
      </c>
      <c r="C1220" s="46" t="inlineStr">
        <is>
          <t>2025-10</t>
        </is>
      </c>
      <c r="D1220" s="46" t="n">
        <v>2025</v>
      </c>
      <c r="E1220" s="46" t="inlineStr">
        <is>
          <t>P-HB-003</t>
        </is>
      </c>
      <c r="F1220" s="46" t="inlineStr">
        <is>
          <t>C-HB-07</t>
        </is>
      </c>
      <c r="G1220" s="48" t="inlineStr">
        <is>
          <t>인도</t>
        </is>
      </c>
      <c r="H1220" s="46" t="inlineStr">
        <is>
          <t>IN</t>
        </is>
      </c>
      <c r="I1220" s="49" t="n">
        <v>22846</v>
      </c>
      <c r="J1220" s="46" t="inlineStr">
        <is>
          <t>EA</t>
        </is>
      </c>
      <c r="K1220" s="50" t="n">
        <v>14.85</v>
      </c>
      <c r="L1220" s="50" t="n">
        <v>206412.53</v>
      </c>
      <c r="M1220" s="46" t="inlineStr">
        <is>
          <t>USD</t>
        </is>
      </c>
      <c r="N1220" s="46" t="inlineStr">
        <is>
          <t>FOB</t>
        </is>
      </c>
      <c r="O1220" s="46" t="inlineStr">
        <is>
          <t>N</t>
        </is>
      </c>
      <c r="P1220" s="50" t="n">
        <v>1423.0795</v>
      </c>
      <c r="Q1220" s="49">
        <f>IF(OR(L1220="",M1220="",P1220=""),"",L1220*P1220)</f>
        <v/>
      </c>
    </row>
    <row r="1221" ht="15" customHeight="1" s="32">
      <c r="A1221" s="46" t="inlineStr">
        <is>
          <t>R-HB-1220</t>
        </is>
      </c>
      <c r="B1221" s="47" t="n">
        <v>45956</v>
      </c>
      <c r="C1221" s="46" t="inlineStr">
        <is>
          <t>2025-10</t>
        </is>
      </c>
      <c r="D1221" s="46" t="n">
        <v>2025</v>
      </c>
      <c r="E1221" s="46" t="inlineStr">
        <is>
          <t>P-HB-004</t>
        </is>
      </c>
      <c r="F1221" s="46" t="inlineStr">
        <is>
          <t>C-HB-03</t>
        </is>
      </c>
      <c r="G1221" s="48" t="inlineStr">
        <is>
          <t>멕시코</t>
        </is>
      </c>
      <c r="H1221" s="46" t="inlineStr">
        <is>
          <t>MX</t>
        </is>
      </c>
      <c r="I1221" s="49" t="n">
        <v>3228</v>
      </c>
      <c r="J1221" s="46" t="inlineStr">
        <is>
          <t>EA</t>
        </is>
      </c>
      <c r="K1221" s="50" t="n">
        <v>3.55</v>
      </c>
      <c r="L1221" s="50" t="n">
        <v>87604.07000000001</v>
      </c>
      <c r="M1221" s="46" t="inlineStr">
        <is>
          <t>USD</t>
        </is>
      </c>
      <c r="N1221" s="46" t="inlineStr">
        <is>
          <t>FOB</t>
        </is>
      </c>
      <c r="O1221" s="46" t="inlineStr">
        <is>
          <t>N</t>
        </is>
      </c>
      <c r="P1221" s="50" t="n">
        <v>1423.0795</v>
      </c>
      <c r="Q1221" s="49">
        <f>IF(OR(L1221="",M1221="",P1221=""),"",L1221*P1221)</f>
        <v/>
      </c>
    </row>
    <row r="1222" ht="15" customHeight="1" s="32">
      <c r="A1222" s="46" t="inlineStr">
        <is>
          <t>R-HB-1221</t>
        </is>
      </c>
      <c r="B1222" s="47" t="n">
        <v>45957</v>
      </c>
      <c r="C1222" s="46" t="inlineStr">
        <is>
          <t>2025-10</t>
        </is>
      </c>
      <c r="D1222" s="46" t="n">
        <v>2025</v>
      </c>
      <c r="E1222" s="46" t="inlineStr">
        <is>
          <t>P-HB-004</t>
        </is>
      </c>
      <c r="F1222" s="46" t="inlineStr">
        <is>
          <t>C-HB-01</t>
        </is>
      </c>
      <c r="G1222" s="48" t="inlineStr">
        <is>
          <t>미국</t>
        </is>
      </c>
      <c r="H1222" s="46" t="inlineStr">
        <is>
          <t>US</t>
        </is>
      </c>
      <c r="I1222" s="49" t="n">
        <v>16504</v>
      </c>
      <c r="J1222" s="46" t="inlineStr">
        <is>
          <t>EA</t>
        </is>
      </c>
      <c r="K1222" s="50" t="n">
        <v>18.15</v>
      </c>
      <c r="L1222" s="50" t="n">
        <v>474183.34</v>
      </c>
      <c r="M1222" s="46" t="inlineStr">
        <is>
          <t>USD</t>
        </is>
      </c>
      <c r="N1222" s="46" t="inlineStr">
        <is>
          <t>FOB</t>
        </is>
      </c>
      <c r="O1222" s="46" t="inlineStr">
        <is>
          <t>N</t>
        </is>
      </c>
      <c r="P1222" s="50" t="n">
        <v>1423.0795</v>
      </c>
      <c r="Q1222" s="49">
        <f>IF(OR(L1222="",M1222="",P1222=""),"",L1222*P1222)</f>
        <v/>
      </c>
    </row>
    <row r="1223" ht="15" customHeight="1" s="32">
      <c r="A1223" s="46" t="inlineStr">
        <is>
          <t>R-HB-1222</t>
        </is>
      </c>
      <c r="B1223" s="47" t="n">
        <v>45957</v>
      </c>
      <c r="C1223" s="46" t="inlineStr">
        <is>
          <t>2025-10</t>
        </is>
      </c>
      <c r="D1223" s="46" t="n">
        <v>2025</v>
      </c>
      <c r="E1223" s="46" t="inlineStr">
        <is>
          <t>P-HB-004</t>
        </is>
      </c>
      <c r="F1223" s="46" t="inlineStr">
        <is>
          <t>C-HB-05</t>
        </is>
      </c>
      <c r="G1223" s="48" t="inlineStr">
        <is>
          <t>독일</t>
        </is>
      </c>
      <c r="H1223" s="46" t="inlineStr">
        <is>
          <t>DE</t>
        </is>
      </c>
      <c r="I1223" s="49" t="n">
        <v>14400</v>
      </c>
      <c r="J1223" s="46" t="inlineStr">
        <is>
          <t>EA</t>
        </is>
      </c>
      <c r="K1223" s="50" t="n">
        <v>15.84</v>
      </c>
      <c r="L1223" s="50" t="n">
        <v>419324.3</v>
      </c>
      <c r="M1223" s="46" t="inlineStr">
        <is>
          <t>USD</t>
        </is>
      </c>
      <c r="N1223" s="46" t="inlineStr">
        <is>
          <t>FOB</t>
        </is>
      </c>
      <c r="O1223" s="46" t="inlineStr">
        <is>
          <t>N</t>
        </is>
      </c>
      <c r="P1223" s="50" t="n">
        <v>1423.0795</v>
      </c>
      <c r="Q1223" s="49">
        <f>IF(OR(L1223="",M1223="",P1223=""),"",L1223*P1223)</f>
        <v/>
      </c>
    </row>
    <row r="1224" ht="15" customHeight="1" s="32">
      <c r="A1224" s="46" t="inlineStr">
        <is>
          <t>R-HB-1223</t>
        </is>
      </c>
      <c r="B1224" s="47" t="n">
        <v>45957</v>
      </c>
      <c r="C1224" s="46" t="inlineStr">
        <is>
          <t>2025-10</t>
        </is>
      </c>
      <c r="D1224" s="46" t="n">
        <v>2025</v>
      </c>
      <c r="E1224" s="46" t="inlineStr">
        <is>
          <t>P-HB-001</t>
        </is>
      </c>
      <c r="F1224" s="46" t="inlineStr">
        <is>
          <t>C-HB-06</t>
        </is>
      </c>
      <c r="G1224" s="48" t="inlineStr">
        <is>
          <t>베트남</t>
        </is>
      </c>
      <c r="H1224" s="46" t="inlineStr">
        <is>
          <t>VN</t>
        </is>
      </c>
      <c r="I1224" s="49" t="n">
        <v>122964</v>
      </c>
      <c r="J1224" s="46" t="inlineStr">
        <is>
          <t>EA</t>
        </is>
      </c>
      <c r="K1224" s="50" t="n">
        <v>55.33</v>
      </c>
      <c r="L1224" s="50" t="n">
        <v>746721.99</v>
      </c>
      <c r="M1224" s="46" t="inlineStr">
        <is>
          <t>USD</t>
        </is>
      </c>
      <c r="N1224" s="46" t="inlineStr">
        <is>
          <t>FOB</t>
        </is>
      </c>
      <c r="O1224" s="46" t="inlineStr">
        <is>
          <t>N</t>
        </is>
      </c>
      <c r="P1224" s="50" t="n">
        <v>1423.0795</v>
      </c>
      <c r="Q1224" s="49">
        <f>IF(OR(L1224="",M1224="",P1224=""),"",L1224*P1224)</f>
        <v/>
      </c>
    </row>
    <row r="1225" ht="15" customHeight="1" s="32">
      <c r="A1225" s="46" t="inlineStr">
        <is>
          <t>R-HB-1224</t>
        </is>
      </c>
      <c r="B1225" s="47" t="n">
        <v>45957</v>
      </c>
      <c r="C1225" s="46" t="inlineStr">
        <is>
          <t>2025-10</t>
        </is>
      </c>
      <c r="D1225" s="46" t="n">
        <v>2025</v>
      </c>
      <c r="E1225" s="46" t="inlineStr">
        <is>
          <t>P-HB-004</t>
        </is>
      </c>
      <c r="F1225" s="46" t="inlineStr">
        <is>
          <t>C-HB-07</t>
        </is>
      </c>
      <c r="G1225" s="48" t="inlineStr">
        <is>
          <t>인도</t>
        </is>
      </c>
      <c r="H1225" s="46" t="inlineStr">
        <is>
          <t>IN</t>
        </is>
      </c>
      <c r="I1225" s="49" t="n">
        <v>8569</v>
      </c>
      <c r="J1225" s="46" t="inlineStr">
        <is>
          <t>EA</t>
        </is>
      </c>
      <c r="K1225" s="50" t="n">
        <v>9.43</v>
      </c>
      <c r="L1225" s="50" t="n">
        <v>244699.29</v>
      </c>
      <c r="M1225" s="46" t="inlineStr">
        <is>
          <t>USD</t>
        </is>
      </c>
      <c r="N1225" s="46" t="inlineStr">
        <is>
          <t>FOB</t>
        </is>
      </c>
      <c r="O1225" s="46" t="inlineStr">
        <is>
          <t>N</t>
        </is>
      </c>
      <c r="P1225" s="50" t="n">
        <v>1423.0795</v>
      </c>
      <c r="Q1225" s="49">
        <f>IF(OR(L1225="",M1225="",P1225=""),"",L1225*P1225)</f>
        <v/>
      </c>
    </row>
    <row r="1226" ht="15" customHeight="1" s="32">
      <c r="A1226" s="46" t="inlineStr">
        <is>
          <t>R-HB-1225</t>
        </is>
      </c>
      <c r="B1226" s="47" t="n">
        <v>45966</v>
      </c>
      <c r="C1226" s="46" t="inlineStr">
        <is>
          <t>2025-11</t>
        </is>
      </c>
      <c r="D1226" s="46" t="n">
        <v>2025</v>
      </c>
      <c r="E1226" s="46" t="inlineStr">
        <is>
          <t>P-HB-002</t>
        </is>
      </c>
      <c r="F1226" s="46" t="inlineStr">
        <is>
          <t>C-HB-06</t>
        </is>
      </c>
      <c r="G1226" s="48" t="inlineStr">
        <is>
          <t>베트남</t>
        </is>
      </c>
      <c r="H1226" s="46" t="inlineStr">
        <is>
          <t>VN</t>
        </is>
      </c>
      <c r="I1226" s="49" t="n">
        <v>766</v>
      </c>
      <c r="J1226" s="46" t="inlineStr">
        <is>
          <t>EA</t>
        </is>
      </c>
      <c r="K1226" s="50" t="n">
        <v>1.69</v>
      </c>
      <c r="L1226" s="50" t="n">
        <v>327192.41</v>
      </c>
      <c r="M1226" s="46" t="inlineStr">
        <is>
          <t>USD</t>
        </is>
      </c>
      <c r="N1226" s="46" t="inlineStr">
        <is>
          <t>FOB</t>
        </is>
      </c>
      <c r="O1226" s="46" t="inlineStr">
        <is>
          <t>N</t>
        </is>
      </c>
      <c r="P1226" s="50" t="n">
        <v>1459.8789</v>
      </c>
      <c r="Q1226" s="49">
        <f>IF(OR(L1226="",M1226="",P1226=""),"",L1226*P1226)</f>
        <v/>
      </c>
    </row>
    <row r="1227" ht="15" customHeight="1" s="32">
      <c r="A1227" s="46" t="inlineStr">
        <is>
          <t>R-HB-1226</t>
        </is>
      </c>
      <c r="B1227" s="47" t="n">
        <v>45967</v>
      </c>
      <c r="C1227" s="46" t="inlineStr">
        <is>
          <t>2025-11</t>
        </is>
      </c>
      <c r="D1227" s="46" t="n">
        <v>2025</v>
      </c>
      <c r="E1227" s="46" t="inlineStr">
        <is>
          <t>P-HB-004</t>
        </is>
      </c>
      <c r="F1227" s="46" t="inlineStr">
        <is>
          <t>C-HB-07</t>
        </is>
      </c>
      <c r="G1227" s="48" t="inlineStr">
        <is>
          <t>인도</t>
        </is>
      </c>
      <c r="H1227" s="46" t="inlineStr">
        <is>
          <t>IN</t>
        </is>
      </c>
      <c r="I1227" s="49" t="n">
        <v>8382</v>
      </c>
      <c r="J1227" s="46" t="inlineStr">
        <is>
          <t>EA</t>
        </is>
      </c>
      <c r="K1227" s="50" t="n">
        <v>9.220000000000001</v>
      </c>
      <c r="L1227" s="50" t="n">
        <v>244041.03</v>
      </c>
      <c r="M1227" s="46" t="inlineStr">
        <is>
          <t>USD</t>
        </is>
      </c>
      <c r="N1227" s="46" t="inlineStr">
        <is>
          <t>FOB</t>
        </is>
      </c>
      <c r="O1227" s="46" t="inlineStr">
        <is>
          <t>N</t>
        </is>
      </c>
      <c r="P1227" s="50" t="n">
        <v>1459.8789</v>
      </c>
      <c r="Q1227" s="49">
        <f>IF(OR(L1227="",M1227="",P1227=""),"",L1227*P1227)</f>
        <v/>
      </c>
    </row>
    <row r="1228" ht="15" customHeight="1" s="32">
      <c r="A1228" s="46" t="inlineStr">
        <is>
          <t>R-HB-1227</t>
        </is>
      </c>
      <c r="B1228" s="47" t="n">
        <v>45968</v>
      </c>
      <c r="C1228" s="46" t="inlineStr">
        <is>
          <t>2025-11</t>
        </is>
      </c>
      <c r="D1228" s="46" t="n">
        <v>2025</v>
      </c>
      <c r="E1228" s="46" t="inlineStr">
        <is>
          <t>P-HB-003</t>
        </is>
      </c>
      <c r="F1228" s="46" t="inlineStr">
        <is>
          <t>C-HB-08</t>
        </is>
      </c>
      <c r="G1228" s="48" t="inlineStr">
        <is>
          <t>중국</t>
        </is>
      </c>
      <c r="H1228" s="46" t="inlineStr">
        <is>
          <t>CN</t>
        </is>
      </c>
      <c r="I1228" s="49" t="n">
        <v>55194</v>
      </c>
      <c r="J1228" s="46" t="inlineStr">
        <is>
          <t>EA</t>
        </is>
      </c>
      <c r="K1228" s="50" t="n">
        <v>35.88</v>
      </c>
      <c r="L1228" s="50" t="n">
        <v>478619.87</v>
      </c>
      <c r="M1228" s="46" t="inlineStr">
        <is>
          <t>USD</t>
        </is>
      </c>
      <c r="N1228" s="46" t="inlineStr">
        <is>
          <t>FOB</t>
        </is>
      </c>
      <c r="O1228" s="46" t="inlineStr">
        <is>
          <t>N</t>
        </is>
      </c>
      <c r="P1228" s="50" t="n">
        <v>1459.8789</v>
      </c>
      <c r="Q1228" s="49">
        <f>IF(OR(L1228="",M1228="",P1228=""),"",L1228*P1228)</f>
        <v/>
      </c>
    </row>
    <row r="1229" ht="15" customHeight="1" s="32">
      <c r="A1229" s="46" t="inlineStr">
        <is>
          <t>R-HB-1228</t>
        </is>
      </c>
      <c r="B1229" s="47" t="n">
        <v>45968</v>
      </c>
      <c r="C1229" s="46" t="inlineStr">
        <is>
          <t>2025-11</t>
        </is>
      </c>
      <c r="D1229" s="46" t="n">
        <v>2025</v>
      </c>
      <c r="E1229" s="46" t="inlineStr">
        <is>
          <t>P-HB-004</t>
        </is>
      </c>
      <c r="F1229" s="46" t="inlineStr">
        <is>
          <t>C-HB-09</t>
        </is>
      </c>
      <c r="G1229" s="48" t="inlineStr">
        <is>
          <t>중국</t>
        </is>
      </c>
      <c r="H1229" s="46" t="inlineStr">
        <is>
          <t>CN</t>
        </is>
      </c>
      <c r="I1229" s="49" t="n">
        <v>12666</v>
      </c>
      <c r="J1229" s="46" t="inlineStr">
        <is>
          <t>EA</t>
        </is>
      </c>
      <c r="K1229" s="50" t="n">
        <v>13.93</v>
      </c>
      <c r="L1229" s="50" t="n">
        <v>364380.24</v>
      </c>
      <c r="M1229" s="46" t="inlineStr">
        <is>
          <t>USD</t>
        </is>
      </c>
      <c r="N1229" s="46" t="inlineStr">
        <is>
          <t>FOB</t>
        </is>
      </c>
      <c r="O1229" s="46" t="inlineStr">
        <is>
          <t>N</t>
        </is>
      </c>
      <c r="P1229" s="50" t="n">
        <v>1459.8789</v>
      </c>
      <c r="Q1229" s="49">
        <f>IF(OR(L1229="",M1229="",P1229=""),"",L1229*P1229)</f>
        <v/>
      </c>
    </row>
    <row r="1230" ht="15" customHeight="1" s="32">
      <c r="A1230" s="46" t="inlineStr">
        <is>
          <t>R-HB-1229</t>
        </is>
      </c>
      <c r="B1230" s="47" t="n">
        <v>45969</v>
      </c>
      <c r="C1230" s="46" t="inlineStr">
        <is>
          <t>2025-11</t>
        </is>
      </c>
      <c r="D1230" s="46" t="n">
        <v>2025</v>
      </c>
      <c r="E1230" s="46" t="inlineStr">
        <is>
          <t>P-HB-001</t>
        </is>
      </c>
      <c r="F1230" s="46" t="inlineStr">
        <is>
          <t>C-HB-01</t>
        </is>
      </c>
      <c r="G1230" s="48" t="inlineStr">
        <is>
          <t>미국</t>
        </is>
      </c>
      <c r="H1230" s="46" t="inlineStr">
        <is>
          <t>US</t>
        </is>
      </c>
      <c r="I1230" s="49" t="n">
        <v>157118</v>
      </c>
      <c r="J1230" s="46" t="inlineStr">
        <is>
          <t>EA</t>
        </is>
      </c>
      <c r="K1230" s="50" t="n">
        <v>70.7</v>
      </c>
      <c r="L1230" s="50" t="n">
        <v>1009478.45</v>
      </c>
      <c r="M1230" s="46" t="inlineStr">
        <is>
          <t>USD</t>
        </is>
      </c>
      <c r="N1230" s="46" t="inlineStr">
        <is>
          <t>FOB</t>
        </is>
      </c>
      <c r="O1230" s="46" t="inlineStr">
        <is>
          <t>N</t>
        </is>
      </c>
      <c r="P1230" s="50" t="n">
        <v>1459.8789</v>
      </c>
      <c r="Q1230" s="49">
        <f>IF(OR(L1230="",M1230="",P1230=""),"",L1230*P1230)</f>
        <v/>
      </c>
    </row>
    <row r="1231" ht="15" customHeight="1" s="32">
      <c r="A1231" s="46" t="inlineStr">
        <is>
          <t>R-HB-1230</t>
        </is>
      </c>
      <c r="B1231" s="47" t="n">
        <v>45969</v>
      </c>
      <c r="C1231" s="46" t="inlineStr">
        <is>
          <t>2025-11</t>
        </is>
      </c>
      <c r="D1231" s="46" t="n">
        <v>2025</v>
      </c>
      <c r="E1231" s="46" t="inlineStr">
        <is>
          <t>P-HB-004</t>
        </is>
      </c>
      <c r="F1231" s="46" t="inlineStr">
        <is>
          <t>C-HB-05</t>
        </is>
      </c>
      <c r="G1231" s="48" t="inlineStr">
        <is>
          <t>독일</t>
        </is>
      </c>
      <c r="H1231" s="46" t="inlineStr">
        <is>
          <t>DE</t>
        </is>
      </c>
      <c r="I1231" s="49" t="n">
        <v>14765</v>
      </c>
      <c r="J1231" s="46" t="inlineStr">
        <is>
          <t>EA</t>
        </is>
      </c>
      <c r="K1231" s="50" t="n">
        <v>16.24</v>
      </c>
      <c r="L1231" s="50" t="n">
        <v>403180.77</v>
      </c>
      <c r="M1231" s="46" t="inlineStr">
        <is>
          <t>USD</t>
        </is>
      </c>
      <c r="N1231" s="46" t="inlineStr">
        <is>
          <t>FOB</t>
        </is>
      </c>
      <c r="O1231" s="46" t="inlineStr">
        <is>
          <t>N</t>
        </is>
      </c>
      <c r="P1231" s="50" t="n">
        <v>1459.8789</v>
      </c>
      <c r="Q1231" s="49">
        <f>IF(OR(L1231="",M1231="",P1231=""),"",L1231*P1231)</f>
        <v/>
      </c>
    </row>
    <row r="1232" ht="15" customHeight="1" s="32">
      <c r="A1232" s="46" t="inlineStr">
        <is>
          <t>R-HB-1231</t>
        </is>
      </c>
      <c r="B1232" s="47" t="n">
        <v>45970</v>
      </c>
      <c r="C1232" s="46" t="inlineStr">
        <is>
          <t>2025-11</t>
        </is>
      </c>
      <c r="D1232" s="46" t="n">
        <v>2025</v>
      </c>
      <c r="E1232" s="46" t="inlineStr">
        <is>
          <t>P-HB-003</t>
        </is>
      </c>
      <c r="F1232" s="46" t="inlineStr">
        <is>
          <t>C-HB-03</t>
        </is>
      </c>
      <c r="G1232" s="48" t="inlineStr">
        <is>
          <t>멕시코</t>
        </is>
      </c>
      <c r="H1232" s="46" t="inlineStr">
        <is>
          <t>MX</t>
        </is>
      </c>
      <c r="I1232" s="49" t="n">
        <v>8389</v>
      </c>
      <c r="J1232" s="46" t="inlineStr">
        <is>
          <t>EA</t>
        </is>
      </c>
      <c r="K1232" s="50" t="n">
        <v>5.45</v>
      </c>
      <c r="L1232" s="50" t="n">
        <v>73662.75</v>
      </c>
      <c r="M1232" s="46" t="inlineStr">
        <is>
          <t>USD</t>
        </is>
      </c>
      <c r="N1232" s="46" t="inlineStr">
        <is>
          <t>FOB</t>
        </is>
      </c>
      <c r="O1232" s="46" t="inlineStr">
        <is>
          <t>N</t>
        </is>
      </c>
      <c r="P1232" s="50" t="n">
        <v>1459.8789</v>
      </c>
      <c r="Q1232" s="49">
        <f>IF(OR(L1232="",M1232="",P1232=""),"",L1232*P1232)</f>
        <v/>
      </c>
    </row>
    <row r="1233" ht="15" customHeight="1" s="32">
      <c r="A1233" s="46" t="inlineStr">
        <is>
          <t>R-HB-1232</t>
        </is>
      </c>
      <c r="B1233" s="47" t="n">
        <v>45972</v>
      </c>
      <c r="C1233" s="46" t="inlineStr">
        <is>
          <t>2025-11</t>
        </is>
      </c>
      <c r="D1233" s="46" t="n">
        <v>2025</v>
      </c>
      <c r="E1233" s="46" t="inlineStr">
        <is>
          <t>P-HB-002</t>
        </is>
      </c>
      <c r="F1233" s="46" t="inlineStr">
        <is>
          <t>C-HB-02</t>
        </is>
      </c>
      <c r="G1233" s="48" t="inlineStr">
        <is>
          <t>미국</t>
        </is>
      </c>
      <c r="H1233" s="46" t="inlineStr">
        <is>
          <t>US</t>
        </is>
      </c>
      <c r="I1233" s="49" t="n">
        <v>592</v>
      </c>
      <c r="J1233" s="46" t="inlineStr">
        <is>
          <t>EA</t>
        </is>
      </c>
      <c r="K1233" s="50" t="n">
        <v>1.3</v>
      </c>
      <c r="L1233" s="50" t="n">
        <v>262734.73</v>
      </c>
      <c r="M1233" s="46" t="inlineStr">
        <is>
          <t>USD</t>
        </is>
      </c>
      <c r="N1233" s="46" t="inlineStr">
        <is>
          <t>FOB</t>
        </is>
      </c>
      <c r="O1233" s="46" t="inlineStr">
        <is>
          <t>N</t>
        </is>
      </c>
      <c r="P1233" s="50" t="n">
        <v>1459.8789</v>
      </c>
      <c r="Q1233" s="49">
        <f>IF(OR(L1233="",M1233="",P1233=""),"",L1233*P1233)</f>
        <v/>
      </c>
    </row>
    <row r="1234" ht="15" customHeight="1" s="32">
      <c r="A1234" s="46" t="inlineStr">
        <is>
          <t>R-HB-1233</t>
        </is>
      </c>
      <c r="B1234" s="47" t="n">
        <v>45973</v>
      </c>
      <c r="C1234" s="46" t="inlineStr">
        <is>
          <t>2025-11</t>
        </is>
      </c>
      <c r="D1234" s="46" t="n">
        <v>2025</v>
      </c>
      <c r="E1234" s="46" t="inlineStr">
        <is>
          <t>P-HB-004</t>
        </is>
      </c>
      <c r="F1234" s="46" t="inlineStr">
        <is>
          <t>C-HB-02</t>
        </is>
      </c>
      <c r="G1234" s="48" t="inlineStr">
        <is>
          <t>미국</t>
        </is>
      </c>
      <c r="H1234" s="46" t="inlineStr">
        <is>
          <t>US</t>
        </is>
      </c>
      <c r="I1234" s="49" t="n">
        <v>8818</v>
      </c>
      <c r="J1234" s="46" t="inlineStr">
        <is>
          <t>EA</t>
        </is>
      </c>
      <c r="K1234" s="50" t="n">
        <v>9.699999999999999</v>
      </c>
      <c r="L1234" s="50" t="n">
        <v>256251.99</v>
      </c>
      <c r="M1234" s="46" t="inlineStr">
        <is>
          <t>USD</t>
        </is>
      </c>
      <c r="N1234" s="46" t="inlineStr">
        <is>
          <t>FOB</t>
        </is>
      </c>
      <c r="O1234" s="46" t="inlineStr">
        <is>
          <t>N</t>
        </is>
      </c>
      <c r="P1234" s="50" t="n">
        <v>1459.8789</v>
      </c>
      <c r="Q1234" s="49">
        <f>IF(OR(L1234="",M1234="",P1234=""),"",L1234*P1234)</f>
        <v/>
      </c>
    </row>
    <row r="1235" ht="15" customHeight="1" s="32">
      <c r="A1235" s="46" t="inlineStr">
        <is>
          <t>R-HB-1234</t>
        </is>
      </c>
      <c r="B1235" s="47" t="n">
        <v>45973</v>
      </c>
      <c r="C1235" s="46" t="inlineStr">
        <is>
          <t>2025-11</t>
        </is>
      </c>
      <c r="D1235" s="46" t="n">
        <v>2025</v>
      </c>
      <c r="E1235" s="46" t="inlineStr">
        <is>
          <t>P-HB-002</t>
        </is>
      </c>
      <c r="F1235" s="46" t="inlineStr">
        <is>
          <t>C-HB-03</t>
        </is>
      </c>
      <c r="G1235" s="48" t="inlineStr">
        <is>
          <t>멕시코</t>
        </is>
      </c>
      <c r="H1235" s="46" t="inlineStr">
        <is>
          <t>MX</t>
        </is>
      </c>
      <c r="I1235" s="49" t="n">
        <v>188</v>
      </c>
      <c r="J1235" s="46" t="inlineStr">
        <is>
          <t>EA</t>
        </is>
      </c>
      <c r="K1235" s="50" t="n">
        <v>0.41</v>
      </c>
      <c r="L1235" s="50" t="n">
        <v>77500.92999999999</v>
      </c>
      <c r="M1235" s="46" t="inlineStr">
        <is>
          <t>USD</t>
        </is>
      </c>
      <c r="N1235" s="46" t="inlineStr">
        <is>
          <t>FOB</t>
        </is>
      </c>
      <c r="O1235" s="46" t="inlineStr">
        <is>
          <t>N</t>
        </is>
      </c>
      <c r="P1235" s="50" t="n">
        <v>1459.8789</v>
      </c>
      <c r="Q1235" s="49">
        <f>IF(OR(L1235="",M1235="",P1235=""),"",L1235*P1235)</f>
        <v/>
      </c>
    </row>
    <row r="1236" ht="15" customHeight="1" s="32">
      <c r="A1236" s="46" t="inlineStr">
        <is>
          <t>R-HB-1235</t>
        </is>
      </c>
      <c r="B1236" s="47" t="n">
        <v>45973</v>
      </c>
      <c r="C1236" s="46" t="inlineStr">
        <is>
          <t>2025-11</t>
        </is>
      </c>
      <c r="D1236" s="46" t="n">
        <v>2025</v>
      </c>
      <c r="E1236" s="46" t="inlineStr">
        <is>
          <t>P-HB-003</t>
        </is>
      </c>
      <c r="F1236" s="46" t="inlineStr">
        <is>
          <t>C-HB-05</t>
        </is>
      </c>
      <c r="G1236" s="48" t="inlineStr">
        <is>
          <t>독일</t>
        </is>
      </c>
      <c r="H1236" s="46" t="inlineStr">
        <is>
          <t>DE</t>
        </is>
      </c>
      <c r="I1236" s="49" t="n">
        <v>41047</v>
      </c>
      <c r="J1236" s="46" t="inlineStr">
        <is>
          <t>EA</t>
        </is>
      </c>
      <c r="K1236" s="50" t="n">
        <v>26.68</v>
      </c>
      <c r="L1236" s="50" t="n">
        <v>367420.98</v>
      </c>
      <c r="M1236" s="46" t="inlineStr">
        <is>
          <t>USD</t>
        </is>
      </c>
      <c r="N1236" s="46" t="inlineStr">
        <is>
          <t>FOB</t>
        </is>
      </c>
      <c r="O1236" s="46" t="inlineStr">
        <is>
          <t>N</t>
        </is>
      </c>
      <c r="P1236" s="50" t="n">
        <v>1459.8789</v>
      </c>
      <c r="Q1236" s="49">
        <f>IF(OR(L1236="",M1236="",P1236=""),"",L1236*P1236)</f>
        <v/>
      </c>
    </row>
    <row r="1237" ht="15" customHeight="1" s="32">
      <c r="A1237" s="46" t="inlineStr">
        <is>
          <t>R-HB-1236</t>
        </is>
      </c>
      <c r="B1237" s="47" t="n">
        <v>45973</v>
      </c>
      <c r="C1237" s="46" t="inlineStr">
        <is>
          <t>2025-11</t>
        </is>
      </c>
      <c r="D1237" s="46" t="n">
        <v>2025</v>
      </c>
      <c r="E1237" s="46" t="inlineStr">
        <is>
          <t>P-HB-001</t>
        </is>
      </c>
      <c r="F1237" s="46" t="inlineStr">
        <is>
          <t>C-HB-06</t>
        </is>
      </c>
      <c r="G1237" s="48" t="inlineStr">
        <is>
          <t>베트남</t>
        </is>
      </c>
      <c r="H1237" s="46" t="inlineStr">
        <is>
          <t>VN</t>
        </is>
      </c>
      <c r="I1237" s="49" t="n">
        <v>131371</v>
      </c>
      <c r="J1237" s="46" t="inlineStr">
        <is>
          <t>EA</t>
        </is>
      </c>
      <c r="K1237" s="50" t="n">
        <v>59.12</v>
      </c>
      <c r="L1237" s="50" t="n">
        <v>789838.4300000001</v>
      </c>
      <c r="M1237" s="46" t="inlineStr">
        <is>
          <t>USD</t>
        </is>
      </c>
      <c r="N1237" s="46" t="inlineStr">
        <is>
          <t>FOB</t>
        </is>
      </c>
      <c r="O1237" s="46" t="inlineStr">
        <is>
          <t>N</t>
        </is>
      </c>
      <c r="P1237" s="50" t="n">
        <v>1459.8789</v>
      </c>
      <c r="Q1237" s="49">
        <f>IF(OR(L1237="",M1237="",P1237=""),"",L1237*P1237)</f>
        <v/>
      </c>
    </row>
    <row r="1238" ht="15" customHeight="1" s="32">
      <c r="A1238" s="46" t="inlineStr">
        <is>
          <t>R-HB-1237</t>
        </is>
      </c>
      <c r="B1238" s="47" t="n">
        <v>45973</v>
      </c>
      <c r="C1238" s="46" t="inlineStr">
        <is>
          <t>2025-11</t>
        </is>
      </c>
      <c r="D1238" s="46" t="n">
        <v>2025</v>
      </c>
      <c r="E1238" s="46" t="inlineStr">
        <is>
          <t>P-HB-003</t>
        </is>
      </c>
      <c r="F1238" s="46" t="inlineStr">
        <is>
          <t>C-HB-06</t>
        </is>
      </c>
      <c r="G1238" s="48" t="inlineStr">
        <is>
          <t>베트남</t>
        </is>
      </c>
      <c r="H1238" s="46" t="inlineStr">
        <is>
          <t>VN</t>
        </is>
      </c>
      <c r="I1238" s="49" t="n">
        <v>35635</v>
      </c>
      <c r="J1238" s="46" t="inlineStr">
        <is>
          <t>EA</t>
        </is>
      </c>
      <c r="K1238" s="50" t="n">
        <v>23.16</v>
      </c>
      <c r="L1238" s="50" t="n">
        <v>303036.25</v>
      </c>
      <c r="M1238" s="46" t="inlineStr">
        <is>
          <t>USD</t>
        </is>
      </c>
      <c r="N1238" s="46" t="inlineStr">
        <is>
          <t>FOB</t>
        </is>
      </c>
      <c r="O1238" s="46" t="inlineStr">
        <is>
          <t>N</t>
        </is>
      </c>
      <c r="P1238" s="50" t="n">
        <v>1459.8789</v>
      </c>
      <c r="Q1238" s="49">
        <f>IF(OR(L1238="",M1238="",P1238=""),"",L1238*P1238)</f>
        <v/>
      </c>
    </row>
    <row r="1239" ht="15" customHeight="1" s="32">
      <c r="A1239" s="46" t="inlineStr">
        <is>
          <t>R-HB-1238</t>
        </is>
      </c>
      <c r="B1239" s="47" t="n">
        <v>45973</v>
      </c>
      <c r="C1239" s="46" t="inlineStr">
        <is>
          <t>2025-11</t>
        </is>
      </c>
      <c r="D1239" s="46" t="n">
        <v>2025</v>
      </c>
      <c r="E1239" s="46" t="inlineStr">
        <is>
          <t>P-HB-001</t>
        </is>
      </c>
      <c r="F1239" s="46" t="inlineStr">
        <is>
          <t>C-HB-09</t>
        </is>
      </c>
      <c r="G1239" s="48" t="inlineStr">
        <is>
          <t>중국</t>
        </is>
      </c>
      <c r="H1239" s="46" t="inlineStr">
        <is>
          <t>CN</t>
        </is>
      </c>
      <c r="I1239" s="49" t="n">
        <v>122180</v>
      </c>
      <c r="J1239" s="46" t="inlineStr">
        <is>
          <t>EA</t>
        </is>
      </c>
      <c r="K1239" s="50" t="n">
        <v>54.98</v>
      </c>
      <c r="L1239" s="50" t="n">
        <v>757630.3100000001</v>
      </c>
      <c r="M1239" s="46" t="inlineStr">
        <is>
          <t>USD</t>
        </is>
      </c>
      <c r="N1239" s="46" t="inlineStr">
        <is>
          <t>FOB</t>
        </is>
      </c>
      <c r="O1239" s="46" t="inlineStr">
        <is>
          <t>N</t>
        </is>
      </c>
      <c r="P1239" s="50" t="n">
        <v>1459.8789</v>
      </c>
      <c r="Q1239" s="49">
        <f>IF(OR(L1239="",M1239="",P1239=""),"",L1239*P1239)</f>
        <v/>
      </c>
    </row>
    <row r="1240" ht="15" customHeight="1" s="32">
      <c r="A1240" s="46" t="inlineStr">
        <is>
          <t>R-HB-1239</t>
        </is>
      </c>
      <c r="B1240" s="47" t="n">
        <v>45974</v>
      </c>
      <c r="C1240" s="46" t="inlineStr">
        <is>
          <t>2025-11</t>
        </is>
      </c>
      <c r="D1240" s="46" t="n">
        <v>2025</v>
      </c>
      <c r="E1240" s="46" t="inlineStr">
        <is>
          <t>P-HB-002</t>
        </is>
      </c>
      <c r="F1240" s="46" t="inlineStr">
        <is>
          <t>C-HB-07</t>
        </is>
      </c>
      <c r="G1240" s="48" t="inlineStr">
        <is>
          <t>인도</t>
        </is>
      </c>
      <c r="H1240" s="46" t="inlineStr">
        <is>
          <t>IN</t>
        </is>
      </c>
      <c r="I1240" s="49" t="n">
        <v>502</v>
      </c>
      <c r="J1240" s="46" t="inlineStr">
        <is>
          <t>EA</t>
        </is>
      </c>
      <c r="K1240" s="50" t="n">
        <v>1.1</v>
      </c>
      <c r="L1240" s="50" t="n">
        <v>219713.32</v>
      </c>
      <c r="M1240" s="46" t="inlineStr">
        <is>
          <t>USD</t>
        </is>
      </c>
      <c r="N1240" s="46" t="inlineStr">
        <is>
          <t>FOB</t>
        </is>
      </c>
      <c r="O1240" s="46" t="inlineStr">
        <is>
          <t>N</t>
        </is>
      </c>
      <c r="P1240" s="50" t="n">
        <v>1459.8789</v>
      </c>
      <c r="Q1240" s="49">
        <f>IF(OR(L1240="",M1240="",P1240=""),"",L1240*P1240)</f>
        <v/>
      </c>
    </row>
    <row r="1241" ht="15" customHeight="1" s="32">
      <c r="A1241" s="46" t="inlineStr">
        <is>
          <t>R-HB-1240</t>
        </is>
      </c>
      <c r="B1241" s="47" t="n">
        <v>45974</v>
      </c>
      <c r="C1241" s="46" t="inlineStr">
        <is>
          <t>2025-11</t>
        </is>
      </c>
      <c r="D1241" s="46" t="n">
        <v>2025</v>
      </c>
      <c r="E1241" s="46" t="inlineStr">
        <is>
          <t>P-HB-001</t>
        </is>
      </c>
      <c r="F1241" s="46" t="inlineStr">
        <is>
          <t>C-HB-08</t>
        </is>
      </c>
      <c r="G1241" s="48" t="inlineStr">
        <is>
          <t>중국</t>
        </is>
      </c>
      <c r="H1241" s="46" t="inlineStr">
        <is>
          <t>CN</t>
        </is>
      </c>
      <c r="I1241" s="49" t="n">
        <v>203450</v>
      </c>
      <c r="J1241" s="46" t="inlineStr">
        <is>
          <t>EA</t>
        </is>
      </c>
      <c r="K1241" s="50" t="n">
        <v>91.55</v>
      </c>
      <c r="L1241" s="50" t="n">
        <v>1222692.92</v>
      </c>
      <c r="M1241" s="46" t="inlineStr">
        <is>
          <t>USD</t>
        </is>
      </c>
      <c r="N1241" s="46" t="inlineStr">
        <is>
          <t>FOB</t>
        </is>
      </c>
      <c r="O1241" s="46" t="inlineStr">
        <is>
          <t>N</t>
        </is>
      </c>
      <c r="P1241" s="50" t="n">
        <v>1459.8789</v>
      </c>
      <c r="Q1241" s="49">
        <f>IF(OR(L1241="",M1241="",P1241=""),"",L1241*P1241)</f>
        <v/>
      </c>
    </row>
    <row r="1242" ht="15" customHeight="1" s="32">
      <c r="A1242" s="46" t="inlineStr">
        <is>
          <t>R-HB-1241</t>
        </is>
      </c>
      <c r="B1242" s="47" t="n">
        <v>45975</v>
      </c>
      <c r="C1242" s="46" t="inlineStr">
        <is>
          <t>2025-11</t>
        </is>
      </c>
      <c r="D1242" s="46" t="n">
        <v>2025</v>
      </c>
      <c r="E1242" s="46" t="inlineStr">
        <is>
          <t>P-HB-002</t>
        </is>
      </c>
      <c r="F1242" s="46" t="inlineStr">
        <is>
          <t>C-HB-09</t>
        </is>
      </c>
      <c r="G1242" s="48" t="inlineStr">
        <is>
          <t>중국</t>
        </is>
      </c>
      <c r="H1242" s="46" t="inlineStr">
        <is>
          <t>CN</t>
        </is>
      </c>
      <c r="I1242" s="49" t="n">
        <v>809</v>
      </c>
      <c r="J1242" s="46" t="inlineStr">
        <is>
          <t>EA</t>
        </is>
      </c>
      <c r="K1242" s="50" t="n">
        <v>1.78</v>
      </c>
      <c r="L1242" s="50" t="n">
        <v>360188.62</v>
      </c>
      <c r="M1242" s="46" t="inlineStr">
        <is>
          <t>USD</t>
        </is>
      </c>
      <c r="N1242" s="46" t="inlineStr">
        <is>
          <t>FOB</t>
        </is>
      </c>
      <c r="O1242" s="46" t="inlineStr">
        <is>
          <t>N</t>
        </is>
      </c>
      <c r="P1242" s="50" t="n">
        <v>1459.8789</v>
      </c>
      <c r="Q1242" s="49">
        <f>IF(OR(L1242="",M1242="",P1242=""),"",L1242*P1242)</f>
        <v/>
      </c>
    </row>
    <row r="1243" ht="15" customHeight="1" s="32">
      <c r="A1243" s="46" t="inlineStr">
        <is>
          <t>R-HB-1242</t>
        </is>
      </c>
      <c r="B1243" s="47" t="n">
        <v>45976</v>
      </c>
      <c r="C1243" s="46" t="inlineStr">
        <is>
          <t>2025-11</t>
        </is>
      </c>
      <c r="D1243" s="46" t="n">
        <v>2025</v>
      </c>
      <c r="E1243" s="46" t="inlineStr">
        <is>
          <t>P-HB-003</t>
        </is>
      </c>
      <c r="F1243" s="46" t="inlineStr">
        <is>
          <t>C-HB-01</t>
        </is>
      </c>
      <c r="G1243" s="48" t="inlineStr">
        <is>
          <t>미국</t>
        </is>
      </c>
      <c r="H1243" s="46" t="inlineStr">
        <is>
          <t>US</t>
        </is>
      </c>
      <c r="I1243" s="49" t="n">
        <v>49007</v>
      </c>
      <c r="J1243" s="46" t="inlineStr">
        <is>
          <t>EA</t>
        </is>
      </c>
      <c r="K1243" s="50" t="n">
        <v>31.85</v>
      </c>
      <c r="L1243" s="50" t="n">
        <v>419346.64</v>
      </c>
      <c r="M1243" s="46" t="inlineStr">
        <is>
          <t>USD</t>
        </is>
      </c>
      <c r="N1243" s="46" t="inlineStr">
        <is>
          <t>FOB</t>
        </is>
      </c>
      <c r="O1243" s="46" t="inlineStr">
        <is>
          <t>N</t>
        </is>
      </c>
      <c r="P1243" s="50" t="n">
        <v>1459.8789</v>
      </c>
      <c r="Q1243" s="49">
        <f>IF(OR(L1243="",M1243="",P1243=""),"",L1243*P1243)</f>
        <v/>
      </c>
    </row>
    <row r="1244" ht="15" customHeight="1" s="32">
      <c r="A1244" s="46" t="inlineStr">
        <is>
          <t>R-HB-1243</t>
        </is>
      </c>
      <c r="B1244" s="47" t="n">
        <v>45976</v>
      </c>
      <c r="C1244" s="46" t="inlineStr">
        <is>
          <t>2025-11</t>
        </is>
      </c>
      <c r="D1244" s="46" t="n">
        <v>2025</v>
      </c>
      <c r="E1244" s="46" t="inlineStr">
        <is>
          <t>P-HB-004</t>
        </is>
      </c>
      <c r="F1244" s="46" t="inlineStr">
        <is>
          <t>C-HB-06</t>
        </is>
      </c>
      <c r="G1244" s="48" t="inlineStr">
        <is>
          <t>베트남</t>
        </is>
      </c>
      <c r="H1244" s="46" t="inlineStr">
        <is>
          <t>VN</t>
        </is>
      </c>
      <c r="I1244" s="49" t="n">
        <v>12969</v>
      </c>
      <c r="J1244" s="46" t="inlineStr">
        <is>
          <t>EA</t>
        </is>
      </c>
      <c r="K1244" s="50" t="n">
        <v>14.27</v>
      </c>
      <c r="L1244" s="50" t="n">
        <v>351134.68</v>
      </c>
      <c r="M1244" s="46" t="inlineStr">
        <is>
          <t>USD</t>
        </is>
      </c>
      <c r="N1244" s="46" t="inlineStr">
        <is>
          <t>FOB</t>
        </is>
      </c>
      <c r="O1244" s="46" t="inlineStr">
        <is>
          <t>N</t>
        </is>
      </c>
      <c r="P1244" s="50" t="n">
        <v>1459.8789</v>
      </c>
      <c r="Q1244" s="49">
        <f>IF(OR(L1244="",M1244="",P1244=""),"",L1244*P1244)</f>
        <v/>
      </c>
    </row>
    <row r="1245" ht="15" customHeight="1" s="32">
      <c r="A1245" s="46" t="inlineStr">
        <is>
          <t>R-HB-1244</t>
        </is>
      </c>
      <c r="B1245" s="47" t="n">
        <v>45977</v>
      </c>
      <c r="C1245" s="46" t="inlineStr">
        <is>
          <t>2025-11</t>
        </is>
      </c>
      <c r="D1245" s="46" t="n">
        <v>2025</v>
      </c>
      <c r="E1245" s="46" t="inlineStr">
        <is>
          <t>P-HB-003</t>
        </is>
      </c>
      <c r="F1245" s="46" t="inlineStr">
        <is>
          <t>C-HB-09</t>
        </is>
      </c>
      <c r="G1245" s="48" t="inlineStr">
        <is>
          <t>중국</t>
        </is>
      </c>
      <c r="H1245" s="46" t="inlineStr">
        <is>
          <t>CN</t>
        </is>
      </c>
      <c r="I1245" s="49" t="n">
        <v>34943</v>
      </c>
      <c r="J1245" s="46" t="inlineStr">
        <is>
          <t>EA</t>
        </is>
      </c>
      <c r="K1245" s="50" t="n">
        <v>22.71</v>
      </c>
      <c r="L1245" s="50" t="n">
        <v>306848.81</v>
      </c>
      <c r="M1245" s="46" t="inlineStr">
        <is>
          <t>USD</t>
        </is>
      </c>
      <c r="N1245" s="46" t="inlineStr">
        <is>
          <t>FOB</t>
        </is>
      </c>
      <c r="O1245" s="46" t="inlineStr">
        <is>
          <t>N</t>
        </is>
      </c>
      <c r="P1245" s="50" t="n">
        <v>1459.8789</v>
      </c>
      <c r="Q1245" s="49">
        <f>IF(OR(L1245="",M1245="",P1245=""),"",L1245*P1245)</f>
        <v/>
      </c>
    </row>
    <row r="1246" ht="15" customHeight="1" s="32">
      <c r="A1246" s="46" t="inlineStr">
        <is>
          <t>R-HB-1245</t>
        </is>
      </c>
      <c r="B1246" s="47" t="n">
        <v>45978</v>
      </c>
      <c r="C1246" s="46" t="inlineStr">
        <is>
          <t>2025-11</t>
        </is>
      </c>
      <c r="D1246" s="46" t="n">
        <v>2025</v>
      </c>
      <c r="E1246" s="46" t="inlineStr">
        <is>
          <t>P-HB-002</t>
        </is>
      </c>
      <c r="F1246" s="46" t="inlineStr">
        <is>
          <t>C-HB-04</t>
        </is>
      </c>
      <c r="G1246" s="48" t="inlineStr">
        <is>
          <t>캐나다</t>
        </is>
      </c>
      <c r="H1246" s="46" t="inlineStr">
        <is>
          <t>CA</t>
        </is>
      </c>
      <c r="I1246" s="49" t="n">
        <v>102</v>
      </c>
      <c r="J1246" s="46" t="inlineStr">
        <is>
          <t>EA</t>
        </is>
      </c>
      <c r="K1246" s="50" t="n">
        <v>0.22</v>
      </c>
      <c r="L1246" s="50" t="n">
        <v>43577.97</v>
      </c>
      <c r="M1246" s="46" t="inlineStr">
        <is>
          <t>USD</t>
        </is>
      </c>
      <c r="N1246" s="46" t="inlineStr">
        <is>
          <t>FOB</t>
        </is>
      </c>
      <c r="O1246" s="46" t="inlineStr">
        <is>
          <t>N</t>
        </is>
      </c>
      <c r="P1246" s="50" t="n">
        <v>1459.8789</v>
      </c>
      <c r="Q1246" s="49">
        <f>IF(OR(L1246="",M1246="",P1246=""),"",L1246*P1246)</f>
        <v/>
      </c>
    </row>
    <row r="1247" ht="15" customHeight="1" s="32">
      <c r="A1247" s="46" t="inlineStr">
        <is>
          <t>R-HB-1246</t>
        </is>
      </c>
      <c r="B1247" s="47" t="n">
        <v>45980</v>
      </c>
      <c r="C1247" s="46" t="inlineStr">
        <is>
          <t>2025-11</t>
        </is>
      </c>
      <c r="D1247" s="46" t="n">
        <v>2025</v>
      </c>
      <c r="E1247" s="46" t="inlineStr">
        <is>
          <t>P-HB-001</t>
        </is>
      </c>
      <c r="F1247" s="46" t="inlineStr">
        <is>
          <t>C-HB-04</t>
        </is>
      </c>
      <c r="G1247" s="48" t="inlineStr">
        <is>
          <t>캐나다</t>
        </is>
      </c>
      <c r="H1247" s="46" t="inlineStr">
        <is>
          <t>CA</t>
        </is>
      </c>
      <c r="I1247" s="49" t="n">
        <v>15216</v>
      </c>
      <c r="J1247" s="46" t="inlineStr">
        <is>
          <t>EA</t>
        </is>
      </c>
      <c r="K1247" s="50" t="n">
        <v>6.85</v>
      </c>
      <c r="L1247" s="50" t="n">
        <v>93961.53999999999</v>
      </c>
      <c r="M1247" s="46" t="inlineStr">
        <is>
          <t>USD</t>
        </is>
      </c>
      <c r="N1247" s="46" t="inlineStr">
        <is>
          <t>FOB</t>
        </is>
      </c>
      <c r="O1247" s="46" t="inlineStr">
        <is>
          <t>N</t>
        </is>
      </c>
      <c r="P1247" s="50" t="n">
        <v>1459.8789</v>
      </c>
      <c r="Q1247" s="49">
        <f>IF(OR(L1247="",M1247="",P1247=""),"",L1247*P1247)</f>
        <v/>
      </c>
    </row>
    <row r="1248" ht="15" customHeight="1" s="32">
      <c r="A1248" s="46" t="inlineStr">
        <is>
          <t>R-HB-1247</t>
        </is>
      </c>
      <c r="B1248" s="47" t="n">
        <v>45981</v>
      </c>
      <c r="C1248" s="46" t="inlineStr">
        <is>
          <t>2025-11</t>
        </is>
      </c>
      <c r="D1248" s="46" t="n">
        <v>2025</v>
      </c>
      <c r="E1248" s="46" t="inlineStr">
        <is>
          <t>P-HB-001</t>
        </is>
      </c>
      <c r="F1248" s="46" t="inlineStr">
        <is>
          <t>C-HB-03</t>
        </is>
      </c>
      <c r="G1248" s="48" t="inlineStr">
        <is>
          <t>멕시코</t>
        </is>
      </c>
      <c r="H1248" s="46" t="inlineStr">
        <is>
          <t>MX</t>
        </is>
      </c>
      <c r="I1248" s="49" t="n">
        <v>30317</v>
      </c>
      <c r="J1248" s="46" t="inlineStr">
        <is>
          <t>EA</t>
        </is>
      </c>
      <c r="K1248" s="50" t="n">
        <v>13.64</v>
      </c>
      <c r="L1248" s="50" t="n">
        <v>187868.54</v>
      </c>
      <c r="M1248" s="46" t="inlineStr">
        <is>
          <t>USD</t>
        </is>
      </c>
      <c r="N1248" s="46" t="inlineStr">
        <is>
          <t>FOB</t>
        </is>
      </c>
      <c r="O1248" s="46" t="inlineStr">
        <is>
          <t>N</t>
        </is>
      </c>
      <c r="P1248" s="50" t="n">
        <v>1459.8789</v>
      </c>
      <c r="Q1248" s="49">
        <f>IF(OR(L1248="",M1248="",P1248=""),"",L1248*P1248)</f>
        <v/>
      </c>
    </row>
    <row r="1249" ht="15" customHeight="1" s="32">
      <c r="A1249" s="46" t="inlineStr">
        <is>
          <t>R-HB-1248</t>
        </is>
      </c>
      <c r="B1249" s="47" t="n">
        <v>45981</v>
      </c>
      <c r="C1249" s="46" t="inlineStr">
        <is>
          <t>2025-11</t>
        </is>
      </c>
      <c r="D1249" s="46" t="n">
        <v>2025</v>
      </c>
      <c r="E1249" s="46" t="inlineStr">
        <is>
          <t>P-HB-002</t>
        </is>
      </c>
      <c r="F1249" s="46" t="inlineStr">
        <is>
          <t>C-HB-05</t>
        </is>
      </c>
      <c r="G1249" s="48" t="inlineStr">
        <is>
          <t>독일</t>
        </is>
      </c>
      <c r="H1249" s="46" t="inlineStr">
        <is>
          <t>DE</t>
        </is>
      </c>
      <c r="I1249" s="49" t="n">
        <v>905</v>
      </c>
      <c r="J1249" s="46" t="inlineStr">
        <is>
          <t>EA</t>
        </is>
      </c>
      <c r="K1249" s="50" t="n">
        <v>1.99</v>
      </c>
      <c r="L1249" s="50" t="n">
        <v>377581.59</v>
      </c>
      <c r="M1249" s="46" t="inlineStr">
        <is>
          <t>USD</t>
        </is>
      </c>
      <c r="N1249" s="46" t="inlineStr">
        <is>
          <t>FOB</t>
        </is>
      </c>
      <c r="O1249" s="46" t="inlineStr">
        <is>
          <t>N</t>
        </is>
      </c>
      <c r="P1249" s="50" t="n">
        <v>1459.8789</v>
      </c>
      <c r="Q1249" s="49">
        <f>IF(OR(L1249="",M1249="",P1249=""),"",L1249*P1249)</f>
        <v/>
      </c>
    </row>
    <row r="1250" ht="15" customHeight="1" s="32">
      <c r="A1250" s="46" t="inlineStr">
        <is>
          <t>R-HB-1249</t>
        </is>
      </c>
      <c r="B1250" s="47" t="n">
        <v>45982</v>
      </c>
      <c r="C1250" s="46" t="inlineStr">
        <is>
          <t>2025-11</t>
        </is>
      </c>
      <c r="D1250" s="46" t="n">
        <v>2025</v>
      </c>
      <c r="E1250" s="46" t="inlineStr">
        <is>
          <t>P-HB-004</t>
        </is>
      </c>
      <c r="F1250" s="46" t="inlineStr">
        <is>
          <t>C-HB-01</t>
        </is>
      </c>
      <c r="G1250" s="48" t="inlineStr">
        <is>
          <t>미국</t>
        </is>
      </c>
      <c r="H1250" s="46" t="inlineStr">
        <is>
          <t>US</t>
        </is>
      </c>
      <c r="I1250" s="49" t="n">
        <v>16630</v>
      </c>
      <c r="J1250" s="46" t="inlineStr">
        <is>
          <t>EA</t>
        </is>
      </c>
      <c r="K1250" s="50" t="n">
        <v>18.29</v>
      </c>
      <c r="L1250" s="50" t="n">
        <v>467813.87</v>
      </c>
      <c r="M1250" s="46" t="inlineStr">
        <is>
          <t>USD</t>
        </is>
      </c>
      <c r="N1250" s="46" t="inlineStr">
        <is>
          <t>FOB</t>
        </is>
      </c>
      <c r="O1250" s="46" t="inlineStr">
        <is>
          <t>N</t>
        </is>
      </c>
      <c r="P1250" s="50" t="n">
        <v>1459.8789</v>
      </c>
      <c r="Q1250" s="49">
        <f>IF(OR(L1250="",M1250="",P1250=""),"",L1250*P1250)</f>
        <v/>
      </c>
    </row>
    <row r="1251" ht="15" customHeight="1" s="32">
      <c r="A1251" s="46" t="inlineStr">
        <is>
          <t>R-HB-1250</t>
        </is>
      </c>
      <c r="B1251" s="47" t="n">
        <v>45982</v>
      </c>
      <c r="C1251" s="46" t="inlineStr">
        <is>
          <t>2025-11</t>
        </is>
      </c>
      <c r="D1251" s="46" t="n">
        <v>2025</v>
      </c>
      <c r="E1251" s="46" t="inlineStr">
        <is>
          <t>P-HB-001</t>
        </is>
      </c>
      <c r="F1251" s="46" t="inlineStr">
        <is>
          <t>C-HB-07</t>
        </is>
      </c>
      <c r="G1251" s="48" t="inlineStr">
        <is>
          <t>인도</t>
        </is>
      </c>
      <c r="H1251" s="46" t="inlineStr">
        <is>
          <t>IN</t>
        </is>
      </c>
      <c r="I1251" s="49" t="n">
        <v>86155</v>
      </c>
      <c r="J1251" s="46" t="inlineStr">
        <is>
          <t>EA</t>
        </is>
      </c>
      <c r="K1251" s="50" t="n">
        <v>38.77</v>
      </c>
      <c r="L1251" s="50" t="n">
        <v>548499.4300000001</v>
      </c>
      <c r="M1251" s="46" t="inlineStr">
        <is>
          <t>USD</t>
        </is>
      </c>
      <c r="N1251" s="46" t="inlineStr">
        <is>
          <t>FOB</t>
        </is>
      </c>
      <c r="O1251" s="46" t="inlineStr">
        <is>
          <t>N</t>
        </is>
      </c>
      <c r="P1251" s="50" t="n">
        <v>1459.8789</v>
      </c>
      <c r="Q1251" s="49">
        <f>IF(OR(L1251="",M1251="",P1251=""),"",L1251*P1251)</f>
        <v/>
      </c>
    </row>
    <row r="1252" ht="15" customHeight="1" s="32">
      <c r="A1252" s="46" t="inlineStr">
        <is>
          <t>R-HB-1251</t>
        </is>
      </c>
      <c r="B1252" s="47" t="n">
        <v>45983</v>
      </c>
      <c r="C1252" s="46" t="inlineStr">
        <is>
          <t>2025-11</t>
        </is>
      </c>
      <c r="D1252" s="46" t="n">
        <v>2025</v>
      </c>
      <c r="E1252" s="46" t="inlineStr">
        <is>
          <t>P-HB-003</t>
        </is>
      </c>
      <c r="F1252" s="46" t="inlineStr">
        <is>
          <t>C-HB-02</t>
        </is>
      </c>
      <c r="G1252" s="48" t="inlineStr">
        <is>
          <t>미국</t>
        </is>
      </c>
      <c r="H1252" s="46" t="inlineStr">
        <is>
          <t>US</t>
        </is>
      </c>
      <c r="I1252" s="49" t="n">
        <v>24859</v>
      </c>
      <c r="J1252" s="46" t="inlineStr">
        <is>
          <t>EA</t>
        </is>
      </c>
      <c r="K1252" s="50" t="n">
        <v>16.16</v>
      </c>
      <c r="L1252" s="50" t="n">
        <v>222854.19</v>
      </c>
      <c r="M1252" s="46" t="inlineStr">
        <is>
          <t>USD</t>
        </is>
      </c>
      <c r="N1252" s="46" t="inlineStr">
        <is>
          <t>FOB</t>
        </is>
      </c>
      <c r="O1252" s="46" t="inlineStr">
        <is>
          <t>N</t>
        </is>
      </c>
      <c r="P1252" s="50" t="n">
        <v>1459.8789</v>
      </c>
      <c r="Q1252" s="49">
        <f>IF(OR(L1252="",M1252="",P1252=""),"",L1252*P1252)</f>
        <v/>
      </c>
    </row>
    <row r="1253" ht="15" customHeight="1" s="32">
      <c r="A1253" s="46" t="inlineStr">
        <is>
          <t>R-HB-1252</t>
        </is>
      </c>
      <c r="B1253" s="47" t="n">
        <v>45983</v>
      </c>
      <c r="C1253" s="46" t="inlineStr">
        <is>
          <t>2025-11</t>
        </is>
      </c>
      <c r="D1253" s="46" t="n">
        <v>2025</v>
      </c>
      <c r="E1253" s="46" t="inlineStr">
        <is>
          <t>P-HB-003</t>
        </is>
      </c>
      <c r="F1253" s="46" t="inlineStr">
        <is>
          <t>C-HB-04</t>
        </is>
      </c>
      <c r="G1253" s="48" t="inlineStr">
        <is>
          <t>캐나다</t>
        </is>
      </c>
      <c r="H1253" s="46" t="inlineStr">
        <is>
          <t>CA</t>
        </is>
      </c>
      <c r="I1253" s="49" t="n">
        <v>4349</v>
      </c>
      <c r="J1253" s="46" t="inlineStr">
        <is>
          <t>EA</t>
        </is>
      </c>
      <c r="K1253" s="50" t="n">
        <v>2.83</v>
      </c>
      <c r="L1253" s="50" t="n">
        <v>37724.65</v>
      </c>
      <c r="M1253" s="46" t="inlineStr">
        <is>
          <t>USD</t>
        </is>
      </c>
      <c r="N1253" s="46" t="inlineStr">
        <is>
          <t>FOB</t>
        </is>
      </c>
      <c r="O1253" s="46" t="inlineStr">
        <is>
          <t>N</t>
        </is>
      </c>
      <c r="P1253" s="50" t="n">
        <v>1459.8789</v>
      </c>
      <c r="Q1253" s="49">
        <f>IF(OR(L1253="",M1253="",P1253=""),"",L1253*P1253)</f>
        <v/>
      </c>
    </row>
    <row r="1254" ht="15" customHeight="1" s="32">
      <c r="A1254" s="46" t="inlineStr">
        <is>
          <t>R-HB-1253</t>
        </is>
      </c>
      <c r="B1254" s="47" t="n">
        <v>45983</v>
      </c>
      <c r="C1254" s="46" t="inlineStr">
        <is>
          <t>2025-11</t>
        </is>
      </c>
      <c r="D1254" s="46" t="n">
        <v>2025</v>
      </c>
      <c r="E1254" s="46" t="inlineStr">
        <is>
          <t>P-HB-001</t>
        </is>
      </c>
      <c r="F1254" s="46" t="inlineStr">
        <is>
          <t>C-HB-05</t>
        </is>
      </c>
      <c r="G1254" s="48" t="inlineStr">
        <is>
          <t>독일</t>
        </is>
      </c>
      <c r="H1254" s="46" t="inlineStr">
        <is>
          <t>DE</t>
        </is>
      </c>
      <c r="I1254" s="49" t="n">
        <v>133999</v>
      </c>
      <c r="J1254" s="46" t="inlineStr">
        <is>
          <t>EA</t>
        </is>
      </c>
      <c r="K1254" s="50" t="n">
        <v>60.3</v>
      </c>
      <c r="L1254" s="50" t="n">
        <v>855249.4</v>
      </c>
      <c r="M1254" s="46" t="inlineStr">
        <is>
          <t>USD</t>
        </is>
      </c>
      <c r="N1254" s="46" t="inlineStr">
        <is>
          <t>FOB</t>
        </is>
      </c>
      <c r="O1254" s="46" t="inlineStr">
        <is>
          <t>N</t>
        </is>
      </c>
      <c r="P1254" s="50" t="n">
        <v>1459.8789</v>
      </c>
      <c r="Q1254" s="49">
        <f>IF(OR(L1254="",M1254="",P1254=""),"",L1254*P1254)</f>
        <v/>
      </c>
    </row>
    <row r="1255" ht="15" customHeight="1" s="32">
      <c r="A1255" s="46" t="inlineStr">
        <is>
          <t>R-HB-1254</t>
        </is>
      </c>
      <c r="B1255" s="47" t="n">
        <v>45983</v>
      </c>
      <c r="C1255" s="46" t="inlineStr">
        <is>
          <t>2025-11</t>
        </is>
      </c>
      <c r="D1255" s="46" t="n">
        <v>2025</v>
      </c>
      <c r="E1255" s="46" t="inlineStr">
        <is>
          <t>P-HB-002</t>
        </is>
      </c>
      <c r="F1255" s="46" t="inlineStr">
        <is>
          <t>C-HB-08</t>
        </is>
      </c>
      <c r="G1255" s="48" t="inlineStr">
        <is>
          <t>중국</t>
        </is>
      </c>
      <c r="H1255" s="46" t="inlineStr">
        <is>
          <t>CN</t>
        </is>
      </c>
      <c r="I1255" s="49" t="n">
        <v>1307</v>
      </c>
      <c r="J1255" s="46" t="inlineStr">
        <is>
          <t>EA</t>
        </is>
      </c>
      <c r="K1255" s="50" t="n">
        <v>2.88</v>
      </c>
      <c r="L1255" s="50" t="n">
        <v>541627.8199999999</v>
      </c>
      <c r="M1255" s="46" t="inlineStr">
        <is>
          <t>USD</t>
        </is>
      </c>
      <c r="N1255" s="46" t="inlineStr">
        <is>
          <t>FOB</t>
        </is>
      </c>
      <c r="O1255" s="46" t="inlineStr">
        <is>
          <t>N</t>
        </is>
      </c>
      <c r="P1255" s="50" t="n">
        <v>1459.8789</v>
      </c>
      <c r="Q1255" s="49">
        <f>IF(OR(L1255="",M1255="",P1255=""),"",L1255*P1255)</f>
        <v/>
      </c>
    </row>
    <row r="1256" ht="15" customHeight="1" s="32">
      <c r="A1256" s="46" t="inlineStr">
        <is>
          <t>R-HB-1255</t>
        </is>
      </c>
      <c r="B1256" s="47" t="n">
        <v>45984</v>
      </c>
      <c r="C1256" s="46" t="inlineStr">
        <is>
          <t>2025-11</t>
        </is>
      </c>
      <c r="D1256" s="46" t="n">
        <v>2025</v>
      </c>
      <c r="E1256" s="46" t="inlineStr">
        <is>
          <t>P-HB-004</t>
        </is>
      </c>
      <c r="F1256" s="46" t="inlineStr">
        <is>
          <t>C-HB-03</t>
        </is>
      </c>
      <c r="G1256" s="48" t="inlineStr">
        <is>
          <t>멕시코</t>
        </is>
      </c>
      <c r="H1256" s="46" t="inlineStr">
        <is>
          <t>MX</t>
        </is>
      </c>
      <c r="I1256" s="49" t="n">
        <v>3131</v>
      </c>
      <c r="J1256" s="46" t="inlineStr">
        <is>
          <t>EA</t>
        </is>
      </c>
      <c r="K1256" s="50" t="n">
        <v>3.44</v>
      </c>
      <c r="L1256" s="50" t="n">
        <v>86543.05</v>
      </c>
      <c r="M1256" s="46" t="inlineStr">
        <is>
          <t>USD</t>
        </is>
      </c>
      <c r="N1256" s="46" t="inlineStr">
        <is>
          <t>FOB</t>
        </is>
      </c>
      <c r="O1256" s="46" t="inlineStr">
        <is>
          <t>N</t>
        </is>
      </c>
      <c r="P1256" s="50" t="n">
        <v>1459.8789</v>
      </c>
      <c r="Q1256" s="49">
        <f>IF(OR(L1256="",M1256="",P1256=""),"",L1256*P1256)</f>
        <v/>
      </c>
    </row>
    <row r="1257" ht="15" customHeight="1" s="32">
      <c r="A1257" s="46" t="inlineStr">
        <is>
          <t>R-HB-1256</t>
        </is>
      </c>
      <c r="B1257" s="47" t="n">
        <v>45984</v>
      </c>
      <c r="C1257" s="46" t="inlineStr">
        <is>
          <t>2025-11</t>
        </is>
      </c>
      <c r="D1257" s="46" t="n">
        <v>2025</v>
      </c>
      <c r="E1257" s="46" t="inlineStr">
        <is>
          <t>P-HB-004</t>
        </is>
      </c>
      <c r="F1257" s="46" t="inlineStr">
        <is>
          <t>C-HB-04</t>
        </is>
      </c>
      <c r="G1257" s="48" t="inlineStr">
        <is>
          <t>캐나다</t>
        </is>
      </c>
      <c r="H1257" s="46" t="inlineStr">
        <is>
          <t>CA</t>
        </is>
      </c>
      <c r="I1257" s="49" t="n">
        <v>1429</v>
      </c>
      <c r="J1257" s="46" t="inlineStr">
        <is>
          <t>EA</t>
        </is>
      </c>
      <c r="K1257" s="50" t="n">
        <v>1.57</v>
      </c>
      <c r="L1257" s="50" t="n">
        <v>40957.63</v>
      </c>
      <c r="M1257" s="46" t="inlineStr">
        <is>
          <t>USD</t>
        </is>
      </c>
      <c r="N1257" s="46" t="inlineStr">
        <is>
          <t>FOB</t>
        </is>
      </c>
      <c r="O1257" s="46" t="inlineStr">
        <is>
          <t>N</t>
        </is>
      </c>
      <c r="P1257" s="50" t="n">
        <v>1459.8789</v>
      </c>
      <c r="Q1257" s="49">
        <f>IF(OR(L1257="",M1257="",P1257=""),"",L1257*P1257)</f>
        <v/>
      </c>
    </row>
    <row r="1258" ht="15" customHeight="1" s="32">
      <c r="A1258" s="46" t="inlineStr">
        <is>
          <t>R-HB-1257</t>
        </is>
      </c>
      <c r="B1258" s="47" t="n">
        <v>45984</v>
      </c>
      <c r="C1258" s="46" t="inlineStr">
        <is>
          <t>2025-11</t>
        </is>
      </c>
      <c r="D1258" s="46" t="n">
        <v>2025</v>
      </c>
      <c r="E1258" s="46" t="inlineStr">
        <is>
          <t>P-HB-003</t>
        </is>
      </c>
      <c r="F1258" s="46" t="inlineStr">
        <is>
          <t>C-HB-07</t>
        </is>
      </c>
      <c r="G1258" s="48" t="inlineStr">
        <is>
          <t>인도</t>
        </is>
      </c>
      <c r="H1258" s="46" t="inlineStr">
        <is>
          <t>IN</t>
        </is>
      </c>
      <c r="I1258" s="49" t="n">
        <v>20913</v>
      </c>
      <c r="J1258" s="46" t="inlineStr">
        <is>
          <t>EA</t>
        </is>
      </c>
      <c r="K1258" s="50" t="n">
        <v>13.59</v>
      </c>
      <c r="L1258" s="50" t="n">
        <v>190511.3</v>
      </c>
      <c r="M1258" s="46" t="inlineStr">
        <is>
          <t>USD</t>
        </is>
      </c>
      <c r="N1258" s="46" t="inlineStr">
        <is>
          <t>FOB</t>
        </is>
      </c>
      <c r="O1258" s="46" t="inlineStr">
        <is>
          <t>N</t>
        </is>
      </c>
      <c r="P1258" s="50" t="n">
        <v>1459.8789</v>
      </c>
      <c r="Q1258" s="49">
        <f>IF(OR(L1258="",M1258="",P1258=""),"",L1258*P1258)</f>
        <v/>
      </c>
    </row>
    <row r="1259" ht="15" customHeight="1" s="32">
      <c r="A1259" s="46" t="inlineStr">
        <is>
          <t>R-HB-1258</t>
        </is>
      </c>
      <c r="B1259" s="47" t="n">
        <v>45985</v>
      </c>
      <c r="C1259" s="46" t="inlineStr">
        <is>
          <t>2025-11</t>
        </is>
      </c>
      <c r="D1259" s="46" t="n">
        <v>2025</v>
      </c>
      <c r="E1259" s="46" t="inlineStr">
        <is>
          <t>P-HB-002</t>
        </is>
      </c>
      <c r="F1259" s="46" t="inlineStr">
        <is>
          <t>C-HB-01</t>
        </is>
      </c>
      <c r="G1259" s="48" t="inlineStr">
        <is>
          <t>미국</t>
        </is>
      </c>
      <c r="H1259" s="46" t="inlineStr">
        <is>
          <t>US</t>
        </is>
      </c>
      <c r="I1259" s="49" t="n">
        <v>974</v>
      </c>
      <c r="J1259" s="46" t="inlineStr">
        <is>
          <t>EA</t>
        </is>
      </c>
      <c r="K1259" s="50" t="n">
        <v>2.14</v>
      </c>
      <c r="L1259" s="50" t="n">
        <v>414807.95</v>
      </c>
      <c r="M1259" s="46" t="inlineStr">
        <is>
          <t>USD</t>
        </is>
      </c>
      <c r="N1259" s="46" t="inlineStr">
        <is>
          <t>FOB</t>
        </is>
      </c>
      <c r="O1259" s="46" t="inlineStr">
        <is>
          <t>N</t>
        </is>
      </c>
      <c r="P1259" s="50" t="n">
        <v>1459.8789</v>
      </c>
      <c r="Q1259" s="49">
        <f>IF(OR(L1259="",M1259="",P1259=""),"",L1259*P1259)</f>
        <v/>
      </c>
    </row>
    <row r="1260" ht="15" customHeight="1" s="32">
      <c r="A1260" s="46" t="inlineStr">
        <is>
          <t>R-HB-1259</t>
        </is>
      </c>
      <c r="B1260" s="47" t="n">
        <v>45985</v>
      </c>
      <c r="C1260" s="46" t="inlineStr">
        <is>
          <t>2025-11</t>
        </is>
      </c>
      <c r="D1260" s="46" t="n">
        <v>2025</v>
      </c>
      <c r="E1260" s="46" t="inlineStr">
        <is>
          <t>P-HB-001</t>
        </is>
      </c>
      <c r="F1260" s="46" t="inlineStr">
        <is>
          <t>C-HB-02</t>
        </is>
      </c>
      <c r="G1260" s="48" t="inlineStr">
        <is>
          <t>미국</t>
        </is>
      </c>
      <c r="H1260" s="46" t="inlineStr">
        <is>
          <t>US</t>
        </is>
      </c>
      <c r="I1260" s="49" t="n">
        <v>81690</v>
      </c>
      <c r="J1260" s="46" t="inlineStr">
        <is>
          <t>EA</t>
        </is>
      </c>
      <c r="K1260" s="50" t="n">
        <v>36.76</v>
      </c>
      <c r="L1260" s="50" t="n">
        <v>514590.91</v>
      </c>
      <c r="M1260" s="46" t="inlineStr">
        <is>
          <t>USD</t>
        </is>
      </c>
      <c r="N1260" s="46" t="inlineStr">
        <is>
          <t>FOB</t>
        </is>
      </c>
      <c r="O1260" s="46" t="inlineStr">
        <is>
          <t>N</t>
        </is>
      </c>
      <c r="P1260" s="50" t="n">
        <v>1459.8789</v>
      </c>
      <c r="Q1260" s="49">
        <f>IF(OR(L1260="",M1260="",P1260=""),"",L1260*P1260)</f>
        <v/>
      </c>
    </row>
    <row r="1261" ht="15" customHeight="1" s="32">
      <c r="A1261" s="46" t="inlineStr">
        <is>
          <t>R-HB-1260</t>
        </is>
      </c>
      <c r="B1261" s="47" t="n">
        <v>45986</v>
      </c>
      <c r="C1261" s="46" t="inlineStr">
        <is>
          <t>2025-11</t>
        </is>
      </c>
      <c r="D1261" s="46" t="n">
        <v>2025</v>
      </c>
      <c r="E1261" s="46" t="inlineStr">
        <is>
          <t>P-HB-004</t>
        </is>
      </c>
      <c r="F1261" s="46" t="inlineStr">
        <is>
          <t>C-HB-08</t>
        </is>
      </c>
      <c r="G1261" s="48" t="inlineStr">
        <is>
          <t>중국</t>
        </is>
      </c>
      <c r="H1261" s="46" t="inlineStr">
        <is>
          <t>CN</t>
        </is>
      </c>
      <c r="I1261" s="49" t="n">
        <v>18550</v>
      </c>
      <c r="J1261" s="46" t="inlineStr">
        <is>
          <t>EA</t>
        </is>
      </c>
      <c r="K1261" s="50" t="n">
        <v>20.41</v>
      </c>
      <c r="L1261" s="50" t="n">
        <v>526912.29</v>
      </c>
      <c r="M1261" s="46" t="inlineStr">
        <is>
          <t>USD</t>
        </is>
      </c>
      <c r="N1261" s="46" t="inlineStr">
        <is>
          <t>FOB</t>
        </is>
      </c>
      <c r="O1261" s="46" t="inlineStr">
        <is>
          <t>N</t>
        </is>
      </c>
      <c r="P1261" s="50" t="n">
        <v>1459.8789</v>
      </c>
      <c r="Q1261" s="49">
        <f>IF(OR(L1261="",M1261="",P1261=""),"",L1261*P1261)</f>
        <v/>
      </c>
    </row>
    <row r="1262" ht="15" customHeight="1" s="32">
      <c r="A1262" s="46" t="inlineStr">
        <is>
          <t>R-HB-1261</t>
        </is>
      </c>
      <c r="B1262" s="47" t="n">
        <v>45994</v>
      </c>
      <c r="C1262" s="46" t="inlineStr">
        <is>
          <t>2025-12</t>
        </is>
      </c>
      <c r="D1262" s="46" t="n">
        <v>2025</v>
      </c>
      <c r="E1262" s="46" t="inlineStr">
        <is>
          <t>P-HB-002</t>
        </is>
      </c>
      <c r="F1262" s="46" t="inlineStr">
        <is>
          <t>C-HB-03</t>
        </is>
      </c>
      <c r="G1262" s="48" t="inlineStr">
        <is>
          <t>멕시코</t>
        </is>
      </c>
      <c r="H1262" s="46" t="inlineStr">
        <is>
          <t>MX</t>
        </is>
      </c>
      <c r="I1262" s="49" t="n">
        <v>190</v>
      </c>
      <c r="J1262" s="46" t="inlineStr">
        <is>
          <t>EA</t>
        </is>
      </c>
      <c r="K1262" s="50" t="n">
        <v>0.42</v>
      </c>
      <c r="L1262" s="50" t="n">
        <v>80212.05</v>
      </c>
      <c r="M1262" s="46" t="inlineStr">
        <is>
          <t>USD</t>
        </is>
      </c>
      <c r="N1262" s="46" t="inlineStr">
        <is>
          <t>FOB</t>
        </is>
      </c>
      <c r="O1262" s="46" t="inlineStr">
        <is>
          <t>N</t>
        </is>
      </c>
      <c r="P1262" s="50" t="n">
        <v>1465.355</v>
      </c>
      <c r="Q1262" s="49">
        <f>IF(OR(L1262="",M1262="",P1262=""),"",L1262*P1262)</f>
        <v/>
      </c>
    </row>
    <row r="1263" ht="15" customHeight="1" s="32">
      <c r="A1263" s="46" t="inlineStr">
        <is>
          <t>R-HB-1262</t>
        </is>
      </c>
      <c r="B1263" s="47" t="n">
        <v>45994</v>
      </c>
      <c r="C1263" s="46" t="inlineStr">
        <is>
          <t>2025-12</t>
        </is>
      </c>
      <c r="D1263" s="46" t="n">
        <v>2025</v>
      </c>
      <c r="E1263" s="46" t="inlineStr">
        <is>
          <t>P-HB-002</t>
        </is>
      </c>
      <c r="F1263" s="46" t="inlineStr">
        <is>
          <t>C-HB-08</t>
        </is>
      </c>
      <c r="G1263" s="48" t="inlineStr">
        <is>
          <t>중국</t>
        </is>
      </c>
      <c r="H1263" s="46" t="inlineStr">
        <is>
          <t>CN</t>
        </is>
      </c>
      <c r="I1263" s="49" t="n">
        <v>1269</v>
      </c>
      <c r="J1263" s="46" t="inlineStr">
        <is>
          <t>EA</t>
        </is>
      </c>
      <c r="K1263" s="50" t="n">
        <v>2.79</v>
      </c>
      <c r="L1263" s="50" t="n">
        <v>562717.12</v>
      </c>
      <c r="M1263" s="46" t="inlineStr">
        <is>
          <t>USD</t>
        </is>
      </c>
      <c r="N1263" s="46" t="inlineStr">
        <is>
          <t>FOB</t>
        </is>
      </c>
      <c r="O1263" s="46" t="inlineStr">
        <is>
          <t>N</t>
        </is>
      </c>
      <c r="P1263" s="50" t="n">
        <v>1465.355</v>
      </c>
      <c r="Q1263" s="49">
        <f>IF(OR(L1263="",M1263="",P1263=""),"",L1263*P1263)</f>
        <v/>
      </c>
    </row>
    <row r="1264" ht="15" customHeight="1" s="32">
      <c r="A1264" s="46" t="inlineStr">
        <is>
          <t>R-HB-1263</t>
        </is>
      </c>
      <c r="B1264" s="47" t="n">
        <v>45995</v>
      </c>
      <c r="C1264" s="46" t="inlineStr">
        <is>
          <t>2025-12</t>
        </is>
      </c>
      <c r="D1264" s="46" t="n">
        <v>2025</v>
      </c>
      <c r="E1264" s="46" t="inlineStr">
        <is>
          <t>P-HB-002</t>
        </is>
      </c>
      <c r="F1264" s="46" t="inlineStr">
        <is>
          <t>C-HB-02</t>
        </is>
      </c>
      <c r="G1264" s="48" t="inlineStr">
        <is>
          <t>미국</t>
        </is>
      </c>
      <c r="H1264" s="46" t="inlineStr">
        <is>
          <t>US</t>
        </is>
      </c>
      <c r="I1264" s="49" t="n">
        <v>551</v>
      </c>
      <c r="J1264" s="46" t="inlineStr">
        <is>
          <t>EA</t>
        </is>
      </c>
      <c r="K1264" s="50" t="n">
        <v>1.21</v>
      </c>
      <c r="L1264" s="50" t="n">
        <v>241600.49</v>
      </c>
      <c r="M1264" s="46" t="inlineStr">
        <is>
          <t>USD</t>
        </is>
      </c>
      <c r="N1264" s="46" t="inlineStr">
        <is>
          <t>FOB</t>
        </is>
      </c>
      <c r="O1264" s="46" t="inlineStr">
        <is>
          <t>N</t>
        </is>
      </c>
      <c r="P1264" s="50" t="n">
        <v>1465.355</v>
      </c>
      <c r="Q1264" s="49">
        <f>IF(OR(L1264="",M1264="",P1264=""),"",L1264*P1264)</f>
        <v/>
      </c>
    </row>
    <row r="1265" ht="15" customHeight="1" s="32">
      <c r="A1265" s="46" t="inlineStr">
        <is>
          <t>R-HB-1264</t>
        </is>
      </c>
      <c r="B1265" s="47" t="n">
        <v>45995</v>
      </c>
      <c r="C1265" s="46" t="inlineStr">
        <is>
          <t>2025-12</t>
        </is>
      </c>
      <c r="D1265" s="46" t="n">
        <v>2025</v>
      </c>
      <c r="E1265" s="46" t="inlineStr">
        <is>
          <t>P-HB-004</t>
        </is>
      </c>
      <c r="F1265" s="46" t="inlineStr">
        <is>
          <t>C-HB-04</t>
        </is>
      </c>
      <c r="G1265" s="48" t="inlineStr">
        <is>
          <t>캐나다</t>
        </is>
      </c>
      <c r="H1265" s="46" t="inlineStr">
        <is>
          <t>CA</t>
        </is>
      </c>
      <c r="I1265" s="49" t="n">
        <v>1549</v>
      </c>
      <c r="J1265" s="46" t="inlineStr">
        <is>
          <t>EA</t>
        </is>
      </c>
      <c r="K1265" s="50" t="n">
        <v>1.7</v>
      </c>
      <c r="L1265" s="50" t="n">
        <v>43985.18</v>
      </c>
      <c r="M1265" s="46" t="inlineStr">
        <is>
          <t>USD</t>
        </is>
      </c>
      <c r="N1265" s="46" t="inlineStr">
        <is>
          <t>FOB</t>
        </is>
      </c>
      <c r="O1265" s="46" t="inlineStr">
        <is>
          <t>N</t>
        </is>
      </c>
      <c r="P1265" s="50" t="n">
        <v>1465.355</v>
      </c>
      <c r="Q1265" s="49">
        <f>IF(OR(L1265="",M1265="",P1265=""),"",L1265*P1265)</f>
        <v/>
      </c>
    </row>
    <row r="1266" ht="15" customHeight="1" s="32">
      <c r="A1266" s="46" t="inlineStr">
        <is>
          <t>R-HB-1265</t>
        </is>
      </c>
      <c r="B1266" s="47" t="n">
        <v>45996</v>
      </c>
      <c r="C1266" s="46" t="inlineStr">
        <is>
          <t>2025-12</t>
        </is>
      </c>
      <c r="D1266" s="46" t="n">
        <v>2025</v>
      </c>
      <c r="E1266" s="46" t="inlineStr">
        <is>
          <t>P-HB-002</t>
        </is>
      </c>
      <c r="F1266" s="46" t="inlineStr">
        <is>
          <t>C-HB-07</t>
        </is>
      </c>
      <c r="G1266" s="48" t="inlineStr">
        <is>
          <t>인도</t>
        </is>
      </c>
      <c r="H1266" s="46" t="inlineStr">
        <is>
          <t>IN</t>
        </is>
      </c>
      <c r="I1266" s="49" t="n">
        <v>526</v>
      </c>
      <c r="J1266" s="46" t="inlineStr">
        <is>
          <t>EA</t>
        </is>
      </c>
      <c r="K1266" s="50" t="n">
        <v>1.16</v>
      </c>
      <c r="L1266" s="50" t="n">
        <v>228904.25</v>
      </c>
      <c r="M1266" s="46" t="inlineStr">
        <is>
          <t>USD</t>
        </is>
      </c>
      <c r="N1266" s="46" t="inlineStr">
        <is>
          <t>FOB</t>
        </is>
      </c>
      <c r="O1266" s="46" t="inlineStr">
        <is>
          <t>N</t>
        </is>
      </c>
      <c r="P1266" s="50" t="n">
        <v>1465.355</v>
      </c>
      <c r="Q1266" s="49">
        <f>IF(OR(L1266="",M1266="",P1266=""),"",L1266*P1266)</f>
        <v/>
      </c>
    </row>
    <row r="1267" ht="15" customHeight="1" s="32">
      <c r="A1267" s="46" t="inlineStr">
        <is>
          <t>R-HB-1266</t>
        </is>
      </c>
      <c r="B1267" s="47" t="n">
        <v>45996</v>
      </c>
      <c r="C1267" s="46" t="inlineStr">
        <is>
          <t>2025-12</t>
        </is>
      </c>
      <c r="D1267" s="46" t="n">
        <v>2025</v>
      </c>
      <c r="E1267" s="46" t="inlineStr">
        <is>
          <t>P-HB-003</t>
        </is>
      </c>
      <c r="F1267" s="46" t="inlineStr">
        <is>
          <t>C-HB-08</t>
        </is>
      </c>
      <c r="G1267" s="48" t="inlineStr">
        <is>
          <t>중국</t>
        </is>
      </c>
      <c r="H1267" s="46" t="inlineStr">
        <is>
          <t>CN</t>
        </is>
      </c>
      <c r="I1267" s="49" t="n">
        <v>57335</v>
      </c>
      <c r="J1267" s="46" t="inlineStr">
        <is>
          <t>EA</t>
        </is>
      </c>
      <c r="K1267" s="50" t="n">
        <v>37.27</v>
      </c>
      <c r="L1267" s="50" t="n">
        <v>494669.3</v>
      </c>
      <c r="M1267" s="46" t="inlineStr">
        <is>
          <t>USD</t>
        </is>
      </c>
      <c r="N1267" s="46" t="inlineStr">
        <is>
          <t>FOB</t>
        </is>
      </c>
      <c r="O1267" s="46" t="inlineStr">
        <is>
          <t>N</t>
        </is>
      </c>
      <c r="P1267" s="50" t="n">
        <v>1465.355</v>
      </c>
      <c r="Q1267" s="49">
        <f>IF(OR(L1267="",M1267="",P1267=""),"",L1267*P1267)</f>
        <v/>
      </c>
    </row>
    <row r="1268" ht="15" customHeight="1" s="32">
      <c r="A1268" s="46" t="inlineStr">
        <is>
          <t>R-HB-1267</t>
        </is>
      </c>
      <c r="B1268" s="47" t="n">
        <v>45997</v>
      </c>
      <c r="C1268" s="46" t="inlineStr">
        <is>
          <t>2025-12</t>
        </is>
      </c>
      <c r="D1268" s="46" t="n">
        <v>2025</v>
      </c>
      <c r="E1268" s="46" t="inlineStr">
        <is>
          <t>P-HB-001</t>
        </is>
      </c>
      <c r="F1268" s="46" t="inlineStr">
        <is>
          <t>C-HB-01</t>
        </is>
      </c>
      <c r="G1268" s="48" t="inlineStr">
        <is>
          <t>미국</t>
        </is>
      </c>
      <c r="H1268" s="46" t="inlineStr">
        <is>
          <t>US</t>
        </is>
      </c>
      <c r="I1268" s="49" t="n">
        <v>156845</v>
      </c>
      <c r="J1268" s="46" t="inlineStr">
        <is>
          <t>EA</t>
        </is>
      </c>
      <c r="K1268" s="50" t="n">
        <v>70.58</v>
      </c>
      <c r="L1268" s="50" t="n">
        <v>982361.54</v>
      </c>
      <c r="M1268" s="46" t="inlineStr">
        <is>
          <t>USD</t>
        </is>
      </c>
      <c r="N1268" s="46" t="inlineStr">
        <is>
          <t>FOB</t>
        </is>
      </c>
      <c r="O1268" s="46" t="inlineStr">
        <is>
          <t>N</t>
        </is>
      </c>
      <c r="P1268" s="50" t="n">
        <v>1465.355</v>
      </c>
      <c r="Q1268" s="49">
        <f>IF(OR(L1268="",M1268="",P1268=""),"",L1268*P1268)</f>
        <v/>
      </c>
    </row>
    <row r="1269" ht="15" customHeight="1" s="32">
      <c r="A1269" s="46" t="inlineStr">
        <is>
          <t>R-HB-1268</t>
        </is>
      </c>
      <c r="B1269" s="47" t="n">
        <v>45997</v>
      </c>
      <c r="C1269" s="46" t="inlineStr">
        <is>
          <t>2025-12</t>
        </is>
      </c>
      <c r="D1269" s="46" t="n">
        <v>2025</v>
      </c>
      <c r="E1269" s="46" t="inlineStr">
        <is>
          <t>P-HB-002</t>
        </is>
      </c>
      <c r="F1269" s="46" t="inlineStr">
        <is>
          <t>C-HB-06</t>
        </is>
      </c>
      <c r="G1269" s="48" t="inlineStr">
        <is>
          <t>베트남</t>
        </is>
      </c>
      <c r="H1269" s="46" t="inlineStr">
        <is>
          <t>VN</t>
        </is>
      </c>
      <c r="I1269" s="49" t="n">
        <v>798</v>
      </c>
      <c r="J1269" s="46" t="inlineStr">
        <is>
          <t>EA</t>
        </is>
      </c>
      <c r="K1269" s="50" t="n">
        <v>1.76</v>
      </c>
      <c r="L1269" s="50" t="n">
        <v>335452.27</v>
      </c>
      <c r="M1269" s="46" t="inlineStr">
        <is>
          <t>USD</t>
        </is>
      </c>
      <c r="N1269" s="46" t="inlineStr">
        <is>
          <t>FOB</t>
        </is>
      </c>
      <c r="O1269" s="46" t="inlineStr">
        <is>
          <t>N</t>
        </is>
      </c>
      <c r="P1269" s="50" t="n">
        <v>1465.355</v>
      </c>
      <c r="Q1269" s="49">
        <f>IF(OR(L1269="",M1269="",P1269=""),"",L1269*P1269)</f>
        <v/>
      </c>
    </row>
    <row r="1270" ht="15" customHeight="1" s="32">
      <c r="A1270" s="46" t="inlineStr">
        <is>
          <t>R-HB-1269</t>
        </is>
      </c>
      <c r="B1270" s="47" t="n">
        <v>45997</v>
      </c>
      <c r="C1270" s="46" t="inlineStr">
        <is>
          <t>2025-12</t>
        </is>
      </c>
      <c r="D1270" s="46" t="n">
        <v>2025</v>
      </c>
      <c r="E1270" s="46" t="inlineStr">
        <is>
          <t>P-HB-003</t>
        </is>
      </c>
      <c r="F1270" s="46" t="inlineStr">
        <is>
          <t>C-HB-09</t>
        </is>
      </c>
      <c r="G1270" s="48" t="inlineStr">
        <is>
          <t>중국</t>
        </is>
      </c>
      <c r="H1270" s="46" t="inlineStr">
        <is>
          <t>CN</t>
        </is>
      </c>
      <c r="I1270" s="49" t="n">
        <v>37155</v>
      </c>
      <c r="J1270" s="46" t="inlineStr">
        <is>
          <t>EA</t>
        </is>
      </c>
      <c r="K1270" s="50" t="n">
        <v>24.15</v>
      </c>
      <c r="L1270" s="50" t="n">
        <v>323028.89</v>
      </c>
      <c r="M1270" s="46" t="inlineStr">
        <is>
          <t>USD</t>
        </is>
      </c>
      <c r="N1270" s="46" t="inlineStr">
        <is>
          <t>FOB</t>
        </is>
      </c>
      <c r="O1270" s="46" t="inlineStr">
        <is>
          <t>N</t>
        </is>
      </c>
      <c r="P1270" s="50" t="n">
        <v>1465.355</v>
      </c>
      <c r="Q1270" s="49">
        <f>IF(OR(L1270="",M1270="",P1270=""),"",L1270*P1270)</f>
        <v/>
      </c>
    </row>
    <row r="1271" ht="15" customHeight="1" s="32">
      <c r="A1271" s="46" t="inlineStr">
        <is>
          <t>R-HB-1270</t>
        </is>
      </c>
      <c r="B1271" s="47" t="n">
        <v>45998</v>
      </c>
      <c r="C1271" s="46" t="inlineStr">
        <is>
          <t>2025-12</t>
        </is>
      </c>
      <c r="D1271" s="46" t="n">
        <v>2025</v>
      </c>
      <c r="E1271" s="46" t="inlineStr">
        <is>
          <t>P-HB-001</t>
        </is>
      </c>
      <c r="F1271" s="46" t="inlineStr">
        <is>
          <t>C-HB-07</t>
        </is>
      </c>
      <c r="G1271" s="48" t="inlineStr">
        <is>
          <t>인도</t>
        </is>
      </c>
      <c r="H1271" s="46" t="inlineStr">
        <is>
          <t>IN</t>
        </is>
      </c>
      <c r="I1271" s="49" t="n">
        <v>83035</v>
      </c>
      <c r="J1271" s="46" t="inlineStr">
        <is>
          <t>EA</t>
        </is>
      </c>
      <c r="K1271" s="50" t="n">
        <v>37.37</v>
      </c>
      <c r="L1271" s="50" t="n">
        <v>504732.94</v>
      </c>
      <c r="M1271" s="46" t="inlineStr">
        <is>
          <t>USD</t>
        </is>
      </c>
      <c r="N1271" s="46" t="inlineStr">
        <is>
          <t>FOB</t>
        </is>
      </c>
      <c r="O1271" s="46" t="inlineStr">
        <is>
          <t>N</t>
        </is>
      </c>
      <c r="P1271" s="50" t="n">
        <v>1465.355</v>
      </c>
      <c r="Q1271" s="49">
        <f>IF(OR(L1271="",M1271="",P1271=""),"",L1271*P1271)</f>
        <v/>
      </c>
    </row>
    <row r="1272" ht="15" customHeight="1" s="32">
      <c r="A1272" s="46" t="inlineStr">
        <is>
          <t>R-HB-1271</t>
        </is>
      </c>
      <c r="B1272" s="47" t="n">
        <v>45999</v>
      </c>
      <c r="C1272" s="46" t="inlineStr">
        <is>
          <t>2025-12</t>
        </is>
      </c>
      <c r="D1272" s="46" t="n">
        <v>2025</v>
      </c>
      <c r="E1272" s="46" t="inlineStr">
        <is>
          <t>P-HB-002</t>
        </is>
      </c>
      <c r="F1272" s="46" t="inlineStr">
        <is>
          <t>C-HB-01</t>
        </is>
      </c>
      <c r="G1272" s="48" t="inlineStr">
        <is>
          <t>미국</t>
        </is>
      </c>
      <c r="H1272" s="46" t="inlineStr">
        <is>
          <t>US</t>
        </is>
      </c>
      <c r="I1272" s="49" t="n">
        <v>1108</v>
      </c>
      <c r="J1272" s="46" t="inlineStr">
        <is>
          <t>EA</t>
        </is>
      </c>
      <c r="K1272" s="50" t="n">
        <v>2.44</v>
      </c>
      <c r="L1272" s="50" t="n">
        <v>464173.47</v>
      </c>
      <c r="M1272" s="46" t="inlineStr">
        <is>
          <t>USD</t>
        </is>
      </c>
      <c r="N1272" s="46" t="inlineStr">
        <is>
          <t>FOB</t>
        </is>
      </c>
      <c r="O1272" s="46" t="inlineStr">
        <is>
          <t>N</t>
        </is>
      </c>
      <c r="P1272" s="50" t="n">
        <v>1465.355</v>
      </c>
      <c r="Q1272" s="49">
        <f>IF(OR(L1272="",M1272="",P1272=""),"",L1272*P1272)</f>
        <v/>
      </c>
    </row>
    <row r="1273" ht="15" customHeight="1" s="32">
      <c r="A1273" s="46" t="inlineStr">
        <is>
          <t>R-HB-1272</t>
        </is>
      </c>
      <c r="B1273" s="47" t="n">
        <v>45999</v>
      </c>
      <c r="C1273" s="46" t="inlineStr">
        <is>
          <t>2025-12</t>
        </is>
      </c>
      <c r="D1273" s="46" t="n">
        <v>2025</v>
      </c>
      <c r="E1273" s="46" t="inlineStr">
        <is>
          <t>P-HB-003</t>
        </is>
      </c>
      <c r="F1273" s="46" t="inlineStr">
        <is>
          <t>C-HB-04</t>
        </is>
      </c>
      <c r="G1273" s="48" t="inlineStr">
        <is>
          <t>캐나다</t>
        </is>
      </c>
      <c r="H1273" s="46" t="inlineStr">
        <is>
          <t>CA</t>
        </is>
      </c>
      <c r="I1273" s="49" t="n">
        <v>4211</v>
      </c>
      <c r="J1273" s="46" t="inlineStr">
        <is>
          <t>EA</t>
        </is>
      </c>
      <c r="K1273" s="50" t="n">
        <v>2.74</v>
      </c>
      <c r="L1273" s="50" t="n">
        <v>36142.66</v>
      </c>
      <c r="M1273" s="46" t="inlineStr">
        <is>
          <t>USD</t>
        </is>
      </c>
      <c r="N1273" s="46" t="inlineStr">
        <is>
          <t>FOB</t>
        </is>
      </c>
      <c r="O1273" s="46" t="inlineStr">
        <is>
          <t>N</t>
        </is>
      </c>
      <c r="P1273" s="50" t="n">
        <v>1465.355</v>
      </c>
      <c r="Q1273" s="49">
        <f>IF(OR(L1273="",M1273="",P1273=""),"",L1273*P1273)</f>
        <v/>
      </c>
    </row>
    <row r="1274" ht="15" customHeight="1" s="32">
      <c r="A1274" s="46" t="inlineStr">
        <is>
          <t>R-HB-1273</t>
        </is>
      </c>
      <c r="B1274" s="47" t="n">
        <v>45999</v>
      </c>
      <c r="C1274" s="46" t="inlineStr">
        <is>
          <t>2025-12</t>
        </is>
      </c>
      <c r="D1274" s="46" t="n">
        <v>2025</v>
      </c>
      <c r="E1274" s="46" t="inlineStr">
        <is>
          <t>P-HB-001</t>
        </is>
      </c>
      <c r="F1274" s="46" t="inlineStr">
        <is>
          <t>C-HB-08</t>
        </is>
      </c>
      <c r="G1274" s="48" t="inlineStr">
        <is>
          <t>중국</t>
        </is>
      </c>
      <c r="H1274" s="46" t="inlineStr">
        <is>
          <t>CN</t>
        </is>
      </c>
      <c r="I1274" s="49" t="n">
        <v>201416</v>
      </c>
      <c r="J1274" s="46" t="inlineStr">
        <is>
          <t>EA</t>
        </is>
      </c>
      <c r="K1274" s="50" t="n">
        <v>90.64</v>
      </c>
      <c r="L1274" s="50" t="n">
        <v>1240112.16</v>
      </c>
      <c r="M1274" s="46" t="inlineStr">
        <is>
          <t>USD</t>
        </is>
      </c>
      <c r="N1274" s="46" t="inlineStr">
        <is>
          <t>FOB</t>
        </is>
      </c>
      <c r="O1274" s="46" t="inlineStr">
        <is>
          <t>N</t>
        </is>
      </c>
      <c r="P1274" s="50" t="n">
        <v>1465.355</v>
      </c>
      <c r="Q1274" s="49">
        <f>IF(OR(L1274="",M1274="",P1274=""),"",L1274*P1274)</f>
        <v/>
      </c>
    </row>
    <row r="1275" ht="15" customHeight="1" s="32">
      <c r="A1275" s="46" t="inlineStr">
        <is>
          <t>R-HB-1274</t>
        </is>
      </c>
      <c r="B1275" s="47" t="n">
        <v>46003</v>
      </c>
      <c r="C1275" s="46" t="inlineStr">
        <is>
          <t>2025-12</t>
        </is>
      </c>
      <c r="D1275" s="46" t="n">
        <v>2025</v>
      </c>
      <c r="E1275" s="46" t="inlineStr">
        <is>
          <t>P-HB-003</t>
        </is>
      </c>
      <c r="F1275" s="46" t="inlineStr">
        <is>
          <t>C-HB-07</t>
        </is>
      </c>
      <c r="G1275" s="48" t="inlineStr">
        <is>
          <t>인도</t>
        </is>
      </c>
      <c r="H1275" s="46" t="inlineStr">
        <is>
          <t>IN</t>
        </is>
      </c>
      <c r="I1275" s="49" t="n">
        <v>20957</v>
      </c>
      <c r="J1275" s="46" t="inlineStr">
        <is>
          <t>EA</t>
        </is>
      </c>
      <c r="K1275" s="50" t="n">
        <v>13.62</v>
      </c>
      <c r="L1275" s="50" t="n">
        <v>189131.25</v>
      </c>
      <c r="M1275" s="46" t="inlineStr">
        <is>
          <t>USD</t>
        </is>
      </c>
      <c r="N1275" s="46" t="inlineStr">
        <is>
          <t>FOB</t>
        </is>
      </c>
      <c r="O1275" s="46" t="inlineStr">
        <is>
          <t>N</t>
        </is>
      </c>
      <c r="P1275" s="50" t="n">
        <v>1465.355</v>
      </c>
      <c r="Q1275" s="49">
        <f>IF(OR(L1275="",M1275="",P1275=""),"",L1275*P1275)</f>
        <v/>
      </c>
    </row>
    <row r="1276" ht="15" customHeight="1" s="32">
      <c r="A1276" s="46" t="inlineStr">
        <is>
          <t>R-HB-1275</t>
        </is>
      </c>
      <c r="B1276" s="47" t="n">
        <v>46005</v>
      </c>
      <c r="C1276" s="46" t="inlineStr">
        <is>
          <t>2025-12</t>
        </is>
      </c>
      <c r="D1276" s="46" t="n">
        <v>2025</v>
      </c>
      <c r="E1276" s="46" t="inlineStr">
        <is>
          <t>P-HB-003</t>
        </is>
      </c>
      <c r="F1276" s="46" t="inlineStr">
        <is>
          <t>C-HB-02</t>
        </is>
      </c>
      <c r="G1276" s="48" t="inlineStr">
        <is>
          <t>미국</t>
        </is>
      </c>
      <c r="H1276" s="46" t="inlineStr">
        <is>
          <t>US</t>
        </is>
      </c>
      <c r="I1276" s="49" t="n">
        <v>26403</v>
      </c>
      <c r="J1276" s="46" t="inlineStr">
        <is>
          <t>EA</t>
        </is>
      </c>
      <c r="K1276" s="50" t="n">
        <v>17.16</v>
      </c>
      <c r="L1276" s="50" t="n">
        <v>226251.33</v>
      </c>
      <c r="M1276" s="46" t="inlineStr">
        <is>
          <t>USD</t>
        </is>
      </c>
      <c r="N1276" s="46" t="inlineStr">
        <is>
          <t>FOB</t>
        </is>
      </c>
      <c r="O1276" s="46" t="inlineStr">
        <is>
          <t>N</t>
        </is>
      </c>
      <c r="P1276" s="50" t="n">
        <v>1465.355</v>
      </c>
      <c r="Q1276" s="49">
        <f>IF(OR(L1276="",M1276="",P1276=""),"",L1276*P1276)</f>
        <v/>
      </c>
    </row>
    <row r="1277" ht="15" customHeight="1" s="32">
      <c r="A1277" s="46" t="inlineStr">
        <is>
          <t>R-HB-1276</t>
        </is>
      </c>
      <c r="B1277" s="47" t="n">
        <v>46005</v>
      </c>
      <c r="C1277" s="46" t="inlineStr">
        <is>
          <t>2025-12</t>
        </is>
      </c>
      <c r="D1277" s="46" t="n">
        <v>2025</v>
      </c>
      <c r="E1277" s="46" t="inlineStr">
        <is>
          <t>P-HB-001</t>
        </is>
      </c>
      <c r="F1277" s="46" t="inlineStr">
        <is>
          <t>C-HB-05</t>
        </is>
      </c>
      <c r="G1277" s="48" t="inlineStr">
        <is>
          <t>독일</t>
        </is>
      </c>
      <c r="H1277" s="46" t="inlineStr">
        <is>
          <t>DE</t>
        </is>
      </c>
      <c r="I1277" s="49" t="n">
        <v>138282</v>
      </c>
      <c r="J1277" s="46" t="inlineStr">
        <is>
          <t>EA</t>
        </is>
      </c>
      <c r="K1277" s="50" t="n">
        <v>62.23</v>
      </c>
      <c r="L1277" s="50" t="n">
        <v>901912.76</v>
      </c>
      <c r="M1277" s="46" t="inlineStr">
        <is>
          <t>USD</t>
        </is>
      </c>
      <c r="N1277" s="46" t="inlineStr">
        <is>
          <t>FOB</t>
        </is>
      </c>
      <c r="O1277" s="46" t="inlineStr">
        <is>
          <t>N</t>
        </is>
      </c>
      <c r="P1277" s="50" t="n">
        <v>1465.355</v>
      </c>
      <c r="Q1277" s="49">
        <f>IF(OR(L1277="",M1277="",P1277=""),"",L1277*P1277)</f>
        <v/>
      </c>
    </row>
    <row r="1278" ht="15" customHeight="1" s="32">
      <c r="A1278" s="46" t="inlineStr">
        <is>
          <t>R-HB-1277</t>
        </is>
      </c>
      <c r="B1278" s="47" t="n">
        <v>46005</v>
      </c>
      <c r="C1278" s="46" t="inlineStr">
        <is>
          <t>2025-12</t>
        </is>
      </c>
      <c r="D1278" s="46" t="n">
        <v>2025</v>
      </c>
      <c r="E1278" s="46" t="inlineStr">
        <is>
          <t>P-HB-002</t>
        </is>
      </c>
      <c r="F1278" s="46" t="inlineStr">
        <is>
          <t>C-HB-05</t>
        </is>
      </c>
      <c r="G1278" s="48" t="inlineStr">
        <is>
          <t>독일</t>
        </is>
      </c>
      <c r="H1278" s="46" t="inlineStr">
        <is>
          <t>DE</t>
        </is>
      </c>
      <c r="I1278" s="49" t="n">
        <v>936</v>
      </c>
      <c r="J1278" s="46" t="inlineStr">
        <is>
          <t>EA</t>
        </is>
      </c>
      <c r="K1278" s="50" t="n">
        <v>2.06</v>
      </c>
      <c r="L1278" s="50" t="n">
        <v>406367.06</v>
      </c>
      <c r="M1278" s="46" t="inlineStr">
        <is>
          <t>USD</t>
        </is>
      </c>
      <c r="N1278" s="46" t="inlineStr">
        <is>
          <t>FOB</t>
        </is>
      </c>
      <c r="O1278" s="46" t="inlineStr">
        <is>
          <t>N</t>
        </is>
      </c>
      <c r="P1278" s="50" t="n">
        <v>1465.355</v>
      </c>
      <c r="Q1278" s="49">
        <f>IF(OR(L1278="",M1278="",P1278=""),"",L1278*P1278)</f>
        <v/>
      </c>
    </row>
    <row r="1279" ht="15" customHeight="1" s="32">
      <c r="A1279" s="46" t="inlineStr">
        <is>
          <t>R-HB-1278</t>
        </is>
      </c>
      <c r="B1279" s="47" t="n">
        <v>46005</v>
      </c>
      <c r="C1279" s="46" t="inlineStr">
        <is>
          <t>2025-12</t>
        </is>
      </c>
      <c r="D1279" s="46" t="n">
        <v>2025</v>
      </c>
      <c r="E1279" s="46" t="inlineStr">
        <is>
          <t>P-HB-004</t>
        </is>
      </c>
      <c r="F1279" s="46" t="inlineStr">
        <is>
          <t>C-HB-05</t>
        </is>
      </c>
      <c r="G1279" s="48" t="inlineStr">
        <is>
          <t>독일</t>
        </is>
      </c>
      <c r="H1279" s="46" t="inlineStr">
        <is>
          <t>DE</t>
        </is>
      </c>
      <c r="I1279" s="49" t="n">
        <v>14145</v>
      </c>
      <c r="J1279" s="46" t="inlineStr">
        <is>
          <t>EA</t>
        </is>
      </c>
      <c r="K1279" s="50" t="n">
        <v>15.56</v>
      </c>
      <c r="L1279" s="50" t="n">
        <v>400267.79</v>
      </c>
      <c r="M1279" s="46" t="inlineStr">
        <is>
          <t>USD</t>
        </is>
      </c>
      <c r="N1279" s="46" t="inlineStr">
        <is>
          <t>FOB</t>
        </is>
      </c>
      <c r="O1279" s="46" t="inlineStr">
        <is>
          <t>N</t>
        </is>
      </c>
      <c r="P1279" s="50" t="n">
        <v>1465.355</v>
      </c>
      <c r="Q1279" s="49">
        <f>IF(OR(L1279="",M1279="",P1279=""),"",L1279*P1279)</f>
        <v/>
      </c>
    </row>
    <row r="1280" ht="15" customHeight="1" s="32">
      <c r="A1280" s="46" t="inlineStr">
        <is>
          <t>R-HB-1279</t>
        </is>
      </c>
      <c r="B1280" s="47" t="n">
        <v>46007</v>
      </c>
      <c r="C1280" s="46" t="inlineStr">
        <is>
          <t>2025-12</t>
        </is>
      </c>
      <c r="D1280" s="46" t="n">
        <v>2025</v>
      </c>
      <c r="E1280" s="46" t="inlineStr">
        <is>
          <t>P-HB-002</t>
        </is>
      </c>
      <c r="F1280" s="46" t="inlineStr">
        <is>
          <t>C-HB-09</t>
        </is>
      </c>
      <c r="G1280" s="48" t="inlineStr">
        <is>
          <t>중국</t>
        </is>
      </c>
      <c r="H1280" s="46" t="inlineStr">
        <is>
          <t>CN</t>
        </is>
      </c>
      <c r="I1280" s="49" t="n">
        <v>769</v>
      </c>
      <c r="J1280" s="46" t="inlineStr">
        <is>
          <t>EA</t>
        </is>
      </c>
      <c r="K1280" s="50" t="n">
        <v>1.69</v>
      </c>
      <c r="L1280" s="50" t="n">
        <v>325059.42</v>
      </c>
      <c r="M1280" s="46" t="inlineStr">
        <is>
          <t>USD</t>
        </is>
      </c>
      <c r="N1280" s="46" t="inlineStr">
        <is>
          <t>FOB</t>
        </is>
      </c>
      <c r="O1280" s="46" t="inlineStr">
        <is>
          <t>N</t>
        </is>
      </c>
      <c r="P1280" s="50" t="n">
        <v>1465.355</v>
      </c>
      <c r="Q1280" s="49">
        <f>IF(OR(L1280="",M1280="",P1280=""),"",L1280*P1280)</f>
        <v/>
      </c>
    </row>
    <row r="1281" ht="15" customHeight="1" s="32">
      <c r="A1281" s="46" t="inlineStr">
        <is>
          <t>R-HB-1280</t>
        </is>
      </c>
      <c r="B1281" s="47" t="n">
        <v>46007</v>
      </c>
      <c r="C1281" s="46" t="inlineStr">
        <is>
          <t>2025-12</t>
        </is>
      </c>
      <c r="D1281" s="46" t="n">
        <v>2025</v>
      </c>
      <c r="E1281" s="46" t="inlineStr">
        <is>
          <t>P-HB-004</t>
        </is>
      </c>
      <c r="F1281" s="46" t="inlineStr">
        <is>
          <t>C-HB-09</t>
        </is>
      </c>
      <c r="G1281" s="48" t="inlineStr">
        <is>
          <t>중국</t>
        </is>
      </c>
      <c r="H1281" s="46" t="inlineStr">
        <is>
          <t>CN</t>
        </is>
      </c>
      <c r="I1281" s="49" t="n">
        <v>13280</v>
      </c>
      <c r="J1281" s="46" t="inlineStr">
        <is>
          <t>EA</t>
        </is>
      </c>
      <c r="K1281" s="50" t="n">
        <v>14.61</v>
      </c>
      <c r="L1281" s="50" t="n">
        <v>386413.08</v>
      </c>
      <c r="M1281" s="46" t="inlineStr">
        <is>
          <t>USD</t>
        </is>
      </c>
      <c r="N1281" s="46" t="inlineStr">
        <is>
          <t>FOB</t>
        </is>
      </c>
      <c r="O1281" s="46" t="inlineStr">
        <is>
          <t>N</t>
        </is>
      </c>
      <c r="P1281" s="50" t="n">
        <v>1465.355</v>
      </c>
      <c r="Q1281" s="49">
        <f>IF(OR(L1281="",M1281="",P1281=""),"",L1281*P1281)</f>
        <v/>
      </c>
    </row>
    <row r="1282" ht="15" customHeight="1" s="32">
      <c r="A1282" s="46" t="inlineStr">
        <is>
          <t>R-HB-1281</t>
        </is>
      </c>
      <c r="B1282" s="47" t="n">
        <v>46010</v>
      </c>
      <c r="C1282" s="46" t="inlineStr">
        <is>
          <t>2025-12</t>
        </is>
      </c>
      <c r="D1282" s="46" t="n">
        <v>2025</v>
      </c>
      <c r="E1282" s="46" t="inlineStr">
        <is>
          <t>P-HB-003</t>
        </is>
      </c>
      <c r="F1282" s="46" t="inlineStr">
        <is>
          <t>C-HB-01</t>
        </is>
      </c>
      <c r="G1282" s="48" t="inlineStr">
        <is>
          <t>미국</t>
        </is>
      </c>
      <c r="H1282" s="46" t="inlineStr">
        <is>
          <t>US</t>
        </is>
      </c>
      <c r="I1282" s="49" t="n">
        <v>45354</v>
      </c>
      <c r="J1282" s="46" t="inlineStr">
        <is>
          <t>EA</t>
        </is>
      </c>
      <c r="K1282" s="50" t="n">
        <v>29.48</v>
      </c>
      <c r="L1282" s="50" t="n">
        <v>390811.96</v>
      </c>
      <c r="M1282" s="46" t="inlineStr">
        <is>
          <t>USD</t>
        </is>
      </c>
      <c r="N1282" s="46" t="inlineStr">
        <is>
          <t>FOB</t>
        </is>
      </c>
      <c r="O1282" s="46" t="inlineStr">
        <is>
          <t>N</t>
        </is>
      </c>
      <c r="P1282" s="50" t="n">
        <v>1465.355</v>
      </c>
      <c r="Q1282" s="49">
        <f>IF(OR(L1282="",M1282="",P1282=""),"",L1282*P1282)</f>
        <v/>
      </c>
    </row>
    <row r="1283" ht="15" customHeight="1" s="32">
      <c r="A1283" s="46" t="inlineStr">
        <is>
          <t>R-HB-1282</t>
        </is>
      </c>
      <c r="B1283" s="47" t="n">
        <v>46010</v>
      </c>
      <c r="C1283" s="46" t="inlineStr">
        <is>
          <t>2025-12</t>
        </is>
      </c>
      <c r="D1283" s="46" t="n">
        <v>2025</v>
      </c>
      <c r="E1283" s="46" t="inlineStr">
        <is>
          <t>P-HB-004</t>
        </is>
      </c>
      <c r="F1283" s="46" t="inlineStr">
        <is>
          <t>C-HB-02</t>
        </is>
      </c>
      <c r="G1283" s="48" t="inlineStr">
        <is>
          <t>미국</t>
        </is>
      </c>
      <c r="H1283" s="46" t="inlineStr">
        <is>
          <t>US</t>
        </is>
      </c>
      <c r="I1283" s="49" t="n">
        <v>8685</v>
      </c>
      <c r="J1283" s="46" t="inlineStr">
        <is>
          <t>EA</t>
        </is>
      </c>
      <c r="K1283" s="50" t="n">
        <v>9.550000000000001</v>
      </c>
      <c r="L1283" s="50" t="n">
        <v>248152.94</v>
      </c>
      <c r="M1283" s="46" t="inlineStr">
        <is>
          <t>USD</t>
        </is>
      </c>
      <c r="N1283" s="46" t="inlineStr">
        <is>
          <t>FOB</t>
        </is>
      </c>
      <c r="O1283" s="46" t="inlineStr">
        <is>
          <t>N</t>
        </is>
      </c>
      <c r="P1283" s="50" t="n">
        <v>1465.355</v>
      </c>
      <c r="Q1283" s="49">
        <f>IF(OR(L1283="",M1283="",P1283=""),"",L1283*P1283)</f>
        <v/>
      </c>
    </row>
    <row r="1284" ht="15" customHeight="1" s="32">
      <c r="A1284" s="46" t="inlineStr">
        <is>
          <t>R-HB-1283</t>
        </is>
      </c>
      <c r="B1284" s="47" t="n">
        <v>46010</v>
      </c>
      <c r="C1284" s="46" t="inlineStr">
        <is>
          <t>2025-12</t>
        </is>
      </c>
      <c r="D1284" s="46" t="n">
        <v>2025</v>
      </c>
      <c r="E1284" s="46" t="inlineStr">
        <is>
          <t>P-HB-001</t>
        </is>
      </c>
      <c r="F1284" s="46" t="inlineStr">
        <is>
          <t>C-HB-06</t>
        </is>
      </c>
      <c r="G1284" s="48" t="inlineStr">
        <is>
          <t>베트남</t>
        </is>
      </c>
      <c r="H1284" s="46" t="inlineStr">
        <is>
          <t>VN</t>
        </is>
      </c>
      <c r="I1284" s="49" t="n">
        <v>122808</v>
      </c>
      <c r="J1284" s="46" t="inlineStr">
        <is>
          <t>EA</t>
        </is>
      </c>
      <c r="K1284" s="50" t="n">
        <v>55.26</v>
      </c>
      <c r="L1284" s="50" t="n">
        <v>762211.87</v>
      </c>
      <c r="M1284" s="46" t="inlineStr">
        <is>
          <t>USD</t>
        </is>
      </c>
      <c r="N1284" s="46" t="inlineStr">
        <is>
          <t>FOB</t>
        </is>
      </c>
      <c r="O1284" s="46" t="inlineStr">
        <is>
          <t>N</t>
        </is>
      </c>
      <c r="P1284" s="50" t="n">
        <v>1465.355</v>
      </c>
      <c r="Q1284" s="49">
        <f>IF(OR(L1284="",M1284="",P1284=""),"",L1284*P1284)</f>
        <v/>
      </c>
    </row>
    <row r="1285" ht="15" customHeight="1" s="32">
      <c r="A1285" s="46" t="inlineStr">
        <is>
          <t>R-HB-1284</t>
        </is>
      </c>
      <c r="B1285" s="47" t="n">
        <v>46011</v>
      </c>
      <c r="C1285" s="46" t="inlineStr">
        <is>
          <t>2025-12</t>
        </is>
      </c>
      <c r="D1285" s="46" t="n">
        <v>2025</v>
      </c>
      <c r="E1285" s="46" t="inlineStr">
        <is>
          <t>P-HB-001</t>
        </is>
      </c>
      <c r="F1285" s="46" t="inlineStr">
        <is>
          <t>C-HB-02</t>
        </is>
      </c>
      <c r="G1285" s="48" t="inlineStr">
        <is>
          <t>미국</t>
        </is>
      </c>
      <c r="H1285" s="46" t="inlineStr">
        <is>
          <t>US</t>
        </is>
      </c>
      <c r="I1285" s="49" t="n">
        <v>95629</v>
      </c>
      <c r="J1285" s="46" t="inlineStr">
        <is>
          <t>EA</t>
        </is>
      </c>
      <c r="K1285" s="50" t="n">
        <v>43.03</v>
      </c>
      <c r="L1285" s="50" t="n">
        <v>613718.88</v>
      </c>
      <c r="M1285" s="46" t="inlineStr">
        <is>
          <t>USD</t>
        </is>
      </c>
      <c r="N1285" s="46" t="inlineStr">
        <is>
          <t>FOB</t>
        </is>
      </c>
      <c r="O1285" s="46" t="inlineStr">
        <is>
          <t>N</t>
        </is>
      </c>
      <c r="P1285" s="50" t="n">
        <v>1465.355</v>
      </c>
      <c r="Q1285" s="49">
        <f>IF(OR(L1285="",M1285="",P1285=""),"",L1285*P1285)</f>
        <v/>
      </c>
    </row>
    <row r="1286" ht="15" customHeight="1" s="32">
      <c r="A1286" s="46" t="inlineStr">
        <is>
          <t>R-HB-1285</t>
        </is>
      </c>
      <c r="B1286" s="47" t="n">
        <v>46011</v>
      </c>
      <c r="C1286" s="46" t="inlineStr">
        <is>
          <t>2025-12</t>
        </is>
      </c>
      <c r="D1286" s="46" t="n">
        <v>2025</v>
      </c>
      <c r="E1286" s="46" t="inlineStr">
        <is>
          <t>P-HB-004</t>
        </is>
      </c>
      <c r="F1286" s="46" t="inlineStr">
        <is>
          <t>C-HB-03</t>
        </is>
      </c>
      <c r="G1286" s="48" t="inlineStr">
        <is>
          <t>멕시코</t>
        </is>
      </c>
      <c r="H1286" s="46" t="inlineStr">
        <is>
          <t>MX</t>
        </is>
      </c>
      <c r="I1286" s="49" t="n">
        <v>3048</v>
      </c>
      <c r="J1286" s="46" t="inlineStr">
        <is>
          <t>EA</t>
        </is>
      </c>
      <c r="K1286" s="50" t="n">
        <v>3.35</v>
      </c>
      <c r="L1286" s="50" t="n">
        <v>87874.42999999999</v>
      </c>
      <c r="M1286" s="46" t="inlineStr">
        <is>
          <t>USD</t>
        </is>
      </c>
      <c r="N1286" s="46" t="inlineStr">
        <is>
          <t>FOB</t>
        </is>
      </c>
      <c r="O1286" s="46" t="inlineStr">
        <is>
          <t>N</t>
        </is>
      </c>
      <c r="P1286" s="50" t="n">
        <v>1465.355</v>
      </c>
      <c r="Q1286" s="49">
        <f>IF(OR(L1286="",M1286="",P1286=""),"",L1286*P1286)</f>
        <v/>
      </c>
    </row>
    <row r="1287" ht="15" customHeight="1" s="32">
      <c r="A1287" s="46" t="inlineStr">
        <is>
          <t>R-HB-1286</t>
        </is>
      </c>
      <c r="B1287" s="47" t="n">
        <v>46011</v>
      </c>
      <c r="C1287" s="46" t="inlineStr">
        <is>
          <t>2025-12</t>
        </is>
      </c>
      <c r="D1287" s="46" t="n">
        <v>2025</v>
      </c>
      <c r="E1287" s="46" t="inlineStr">
        <is>
          <t>P-HB-004</t>
        </is>
      </c>
      <c r="F1287" s="46" t="inlineStr">
        <is>
          <t>C-HB-07</t>
        </is>
      </c>
      <c r="G1287" s="48" t="inlineStr">
        <is>
          <t>인도</t>
        </is>
      </c>
      <c r="H1287" s="46" t="inlineStr">
        <is>
          <t>IN</t>
        </is>
      </c>
      <c r="I1287" s="49" t="n">
        <v>8026</v>
      </c>
      <c r="J1287" s="46" t="inlineStr">
        <is>
          <t>EA</t>
        </is>
      </c>
      <c r="K1287" s="50" t="n">
        <v>8.83</v>
      </c>
      <c r="L1287" s="50" t="n">
        <v>232472.63</v>
      </c>
      <c r="M1287" s="46" t="inlineStr">
        <is>
          <t>USD</t>
        </is>
      </c>
      <c r="N1287" s="46" t="inlineStr">
        <is>
          <t>FOB</t>
        </is>
      </c>
      <c r="O1287" s="46" t="inlineStr">
        <is>
          <t>N</t>
        </is>
      </c>
      <c r="P1287" s="50" t="n">
        <v>1465.355</v>
      </c>
      <c r="Q1287" s="49">
        <f>IF(OR(L1287="",M1287="",P1287=""),"",L1287*P1287)</f>
        <v/>
      </c>
    </row>
    <row r="1288" ht="15" customHeight="1" s="32">
      <c r="A1288" s="46" t="inlineStr">
        <is>
          <t>R-HB-1287</t>
        </is>
      </c>
      <c r="B1288" s="47" t="n">
        <v>46012</v>
      </c>
      <c r="C1288" s="46" t="inlineStr">
        <is>
          <t>2025-12</t>
        </is>
      </c>
      <c r="D1288" s="46" t="n">
        <v>2025</v>
      </c>
      <c r="E1288" s="46" t="inlineStr">
        <is>
          <t>P-HB-001</t>
        </is>
      </c>
      <c r="F1288" s="46" t="inlineStr">
        <is>
          <t>C-HB-04</t>
        </is>
      </c>
      <c r="G1288" s="48" t="inlineStr">
        <is>
          <t>캐나다</t>
        </is>
      </c>
      <c r="H1288" s="46" t="inlineStr">
        <is>
          <t>CA</t>
        </is>
      </c>
      <c r="I1288" s="49" t="n">
        <v>14525</v>
      </c>
      <c r="J1288" s="46" t="inlineStr">
        <is>
          <t>EA</t>
        </is>
      </c>
      <c r="K1288" s="50" t="n">
        <v>6.54</v>
      </c>
      <c r="L1288" s="50" t="n">
        <v>91419.34</v>
      </c>
      <c r="M1288" s="46" t="inlineStr">
        <is>
          <t>USD</t>
        </is>
      </c>
      <c r="N1288" s="46" t="inlineStr">
        <is>
          <t>FOB</t>
        </is>
      </c>
      <c r="O1288" s="46" t="inlineStr">
        <is>
          <t>N</t>
        </is>
      </c>
      <c r="P1288" s="50" t="n">
        <v>1465.355</v>
      </c>
      <c r="Q1288" s="49">
        <f>IF(OR(L1288="",M1288="",P1288=""),"",L1288*P1288)</f>
        <v/>
      </c>
    </row>
    <row r="1289" ht="15" customHeight="1" s="32">
      <c r="A1289" s="46" t="inlineStr">
        <is>
          <t>R-HB-1288</t>
        </is>
      </c>
      <c r="B1289" s="47" t="n">
        <v>46012</v>
      </c>
      <c r="C1289" s="46" t="inlineStr">
        <is>
          <t>2025-12</t>
        </is>
      </c>
      <c r="D1289" s="46" t="n">
        <v>2025</v>
      </c>
      <c r="E1289" s="46" t="inlineStr">
        <is>
          <t>P-HB-002</t>
        </is>
      </c>
      <c r="F1289" s="46" t="inlineStr">
        <is>
          <t>C-HB-04</t>
        </is>
      </c>
      <c r="G1289" s="48" t="inlineStr">
        <is>
          <t>캐나다</t>
        </is>
      </c>
      <c r="H1289" s="46" t="inlineStr">
        <is>
          <t>CA</t>
        </is>
      </c>
      <c r="I1289" s="49" t="n">
        <v>104</v>
      </c>
      <c r="J1289" s="46" t="inlineStr">
        <is>
          <t>EA</t>
        </is>
      </c>
      <c r="K1289" s="50" t="n">
        <v>0.23</v>
      </c>
      <c r="L1289" s="50" t="n">
        <v>43584.85</v>
      </c>
      <c r="M1289" s="46" t="inlineStr">
        <is>
          <t>USD</t>
        </is>
      </c>
      <c r="N1289" s="46" t="inlineStr">
        <is>
          <t>FOB</t>
        </is>
      </c>
      <c r="O1289" s="46" t="inlineStr">
        <is>
          <t>N</t>
        </is>
      </c>
      <c r="P1289" s="50" t="n">
        <v>1465.355</v>
      </c>
      <c r="Q1289" s="49">
        <f>IF(OR(L1289="",M1289="",P1289=""),"",L1289*P1289)</f>
        <v/>
      </c>
    </row>
    <row r="1290" ht="15" customHeight="1" s="32">
      <c r="A1290" s="46" t="inlineStr">
        <is>
          <t>R-HB-1289</t>
        </is>
      </c>
      <c r="B1290" s="47" t="n">
        <v>46012</v>
      </c>
      <c r="C1290" s="46" t="inlineStr">
        <is>
          <t>2025-12</t>
        </is>
      </c>
      <c r="D1290" s="46" t="n">
        <v>2025</v>
      </c>
      <c r="E1290" s="46" t="inlineStr">
        <is>
          <t>P-HB-003</t>
        </is>
      </c>
      <c r="F1290" s="46" t="inlineStr">
        <is>
          <t>C-HB-05</t>
        </is>
      </c>
      <c r="G1290" s="48" t="inlineStr">
        <is>
          <t>독일</t>
        </is>
      </c>
      <c r="H1290" s="46" t="inlineStr">
        <is>
          <t>DE</t>
        </is>
      </c>
      <c r="I1290" s="49" t="n">
        <v>38265</v>
      </c>
      <c r="J1290" s="46" t="inlineStr">
        <is>
          <t>EA</t>
        </is>
      </c>
      <c r="K1290" s="50" t="n">
        <v>24.87</v>
      </c>
      <c r="L1290" s="50" t="n">
        <v>347183.02</v>
      </c>
      <c r="M1290" s="46" t="inlineStr">
        <is>
          <t>USD</t>
        </is>
      </c>
      <c r="N1290" s="46" t="inlineStr">
        <is>
          <t>FOB</t>
        </is>
      </c>
      <c r="O1290" s="46" t="inlineStr">
        <is>
          <t>N</t>
        </is>
      </c>
      <c r="P1290" s="50" t="n">
        <v>1465.355</v>
      </c>
      <c r="Q1290" s="49">
        <f>IF(OR(L1290="",M1290="",P1290=""),"",L1290*P1290)</f>
        <v/>
      </c>
    </row>
    <row r="1291" ht="15" customHeight="1" s="32">
      <c r="A1291" s="46" t="inlineStr">
        <is>
          <t>R-HB-1290</t>
        </is>
      </c>
      <c r="B1291" s="47" t="n">
        <v>46012</v>
      </c>
      <c r="C1291" s="46" t="inlineStr">
        <is>
          <t>2025-12</t>
        </is>
      </c>
      <c r="D1291" s="46" t="n">
        <v>2025</v>
      </c>
      <c r="E1291" s="46" t="inlineStr">
        <is>
          <t>P-HB-004</t>
        </is>
      </c>
      <c r="F1291" s="46" t="inlineStr">
        <is>
          <t>C-HB-08</t>
        </is>
      </c>
      <c r="G1291" s="48" t="inlineStr">
        <is>
          <t>중국</t>
        </is>
      </c>
      <c r="H1291" s="46" t="inlineStr">
        <is>
          <t>CN</t>
        </is>
      </c>
      <c r="I1291" s="49" t="n">
        <v>20288</v>
      </c>
      <c r="J1291" s="46" t="inlineStr">
        <is>
          <t>EA</t>
        </is>
      </c>
      <c r="K1291" s="50" t="n">
        <v>22.32</v>
      </c>
      <c r="L1291" s="50" t="n">
        <v>556588.4300000001</v>
      </c>
      <c r="M1291" s="46" t="inlineStr">
        <is>
          <t>USD</t>
        </is>
      </c>
      <c r="N1291" s="46" t="inlineStr">
        <is>
          <t>FOB</t>
        </is>
      </c>
      <c r="O1291" s="46" t="inlineStr">
        <is>
          <t>N</t>
        </is>
      </c>
      <c r="P1291" s="50" t="n">
        <v>1465.355</v>
      </c>
      <c r="Q1291" s="49">
        <f>IF(OR(L1291="",M1291="",P1291=""),"",L1291*P1291)</f>
        <v/>
      </c>
    </row>
    <row r="1292" ht="15" customHeight="1" s="32">
      <c r="A1292" s="46" t="inlineStr">
        <is>
          <t>R-HB-1291</t>
        </is>
      </c>
      <c r="B1292" s="47" t="n">
        <v>46015</v>
      </c>
      <c r="C1292" s="46" t="inlineStr">
        <is>
          <t>2025-12</t>
        </is>
      </c>
      <c r="D1292" s="46" t="n">
        <v>2025</v>
      </c>
      <c r="E1292" s="46" t="inlineStr">
        <is>
          <t>P-HB-001</t>
        </is>
      </c>
      <c r="F1292" s="46" t="inlineStr">
        <is>
          <t>C-HB-03</t>
        </is>
      </c>
      <c r="G1292" s="48" t="inlineStr">
        <is>
          <t>멕시코</t>
        </is>
      </c>
      <c r="H1292" s="46" t="inlineStr">
        <is>
          <t>MX</t>
        </is>
      </c>
      <c r="I1292" s="49" t="n">
        <v>31041</v>
      </c>
      <c r="J1292" s="46" t="inlineStr">
        <is>
          <t>EA</t>
        </is>
      </c>
      <c r="K1292" s="50" t="n">
        <v>13.97</v>
      </c>
      <c r="L1292" s="50" t="n">
        <v>194616.67</v>
      </c>
      <c r="M1292" s="46" t="inlineStr">
        <is>
          <t>USD</t>
        </is>
      </c>
      <c r="N1292" s="46" t="inlineStr">
        <is>
          <t>FOB</t>
        </is>
      </c>
      <c r="O1292" s="46" t="inlineStr">
        <is>
          <t>N</t>
        </is>
      </c>
      <c r="P1292" s="50" t="n">
        <v>1465.355</v>
      </c>
      <c r="Q1292" s="49">
        <f>IF(OR(L1292="",M1292="",P1292=""),"",L1292*P1292)</f>
        <v/>
      </c>
    </row>
    <row r="1293" ht="15" customHeight="1" s="32">
      <c r="A1293" s="46" t="inlineStr">
        <is>
          <t>R-HB-1292</t>
        </is>
      </c>
      <c r="B1293" s="47" t="n">
        <v>46015</v>
      </c>
      <c r="C1293" s="46" t="inlineStr">
        <is>
          <t>2025-12</t>
        </is>
      </c>
      <c r="D1293" s="46" t="n">
        <v>2025</v>
      </c>
      <c r="E1293" s="46" t="inlineStr">
        <is>
          <t>P-HB-003</t>
        </is>
      </c>
      <c r="F1293" s="46" t="inlineStr">
        <is>
          <t>C-HB-03</t>
        </is>
      </c>
      <c r="G1293" s="48" t="inlineStr">
        <is>
          <t>멕시코</t>
        </is>
      </c>
      <c r="H1293" s="46" t="inlineStr">
        <is>
          <t>MX</t>
        </is>
      </c>
      <c r="I1293" s="49" t="n">
        <v>8648</v>
      </c>
      <c r="J1293" s="46" t="inlineStr">
        <is>
          <t>EA</t>
        </is>
      </c>
      <c r="K1293" s="50" t="n">
        <v>5.62</v>
      </c>
      <c r="L1293" s="50" t="n">
        <v>76817.92999999999</v>
      </c>
      <c r="M1293" s="46" t="inlineStr">
        <is>
          <t>USD</t>
        </is>
      </c>
      <c r="N1293" s="46" t="inlineStr">
        <is>
          <t>FOB</t>
        </is>
      </c>
      <c r="O1293" s="46" t="inlineStr">
        <is>
          <t>N</t>
        </is>
      </c>
      <c r="P1293" s="50" t="n">
        <v>1465.355</v>
      </c>
      <c r="Q1293" s="49">
        <f>IF(OR(L1293="",M1293="",P1293=""),"",L1293*P1293)</f>
        <v/>
      </c>
    </row>
    <row r="1294" ht="15" customHeight="1" s="32">
      <c r="A1294" s="46" t="inlineStr">
        <is>
          <t>R-HB-1293</t>
        </is>
      </c>
      <c r="B1294" s="47" t="n">
        <v>46016</v>
      </c>
      <c r="C1294" s="46" t="inlineStr">
        <is>
          <t>2025-12</t>
        </is>
      </c>
      <c r="D1294" s="46" t="n">
        <v>2025</v>
      </c>
      <c r="E1294" s="46" t="inlineStr">
        <is>
          <t>P-HB-004</t>
        </is>
      </c>
      <c r="F1294" s="46" t="inlineStr">
        <is>
          <t>C-HB-01</t>
        </is>
      </c>
      <c r="G1294" s="48" t="inlineStr">
        <is>
          <t>미국</t>
        </is>
      </c>
      <c r="H1294" s="46" t="inlineStr">
        <is>
          <t>US</t>
        </is>
      </c>
      <c r="I1294" s="49" t="n">
        <v>17584</v>
      </c>
      <c r="J1294" s="46" t="inlineStr">
        <is>
          <t>EA</t>
        </is>
      </c>
      <c r="K1294" s="50" t="n">
        <v>19.34</v>
      </c>
      <c r="L1294" s="50" t="n">
        <v>494438.9</v>
      </c>
      <c r="M1294" s="46" t="inlineStr">
        <is>
          <t>USD</t>
        </is>
      </c>
      <c r="N1294" s="46" t="inlineStr">
        <is>
          <t>FOB</t>
        </is>
      </c>
      <c r="O1294" s="46" t="inlineStr">
        <is>
          <t>N</t>
        </is>
      </c>
      <c r="P1294" s="50" t="n">
        <v>1465.355</v>
      </c>
      <c r="Q1294" s="49">
        <f>IF(OR(L1294="",M1294="",P1294=""),"",L1294*P1294)</f>
        <v/>
      </c>
    </row>
    <row r="1295" ht="15" customHeight="1" s="32">
      <c r="A1295" s="46" t="inlineStr">
        <is>
          <t>R-HB-1294</t>
        </is>
      </c>
      <c r="B1295" s="47" t="n">
        <v>46017</v>
      </c>
      <c r="C1295" s="46" t="inlineStr">
        <is>
          <t>2025-12</t>
        </is>
      </c>
      <c r="D1295" s="46" t="n">
        <v>2025</v>
      </c>
      <c r="E1295" s="46" t="inlineStr">
        <is>
          <t>P-HB-004</t>
        </is>
      </c>
      <c r="F1295" s="46" t="inlineStr">
        <is>
          <t>C-HB-06</t>
        </is>
      </c>
      <c r="G1295" s="48" t="inlineStr">
        <is>
          <t>베트남</t>
        </is>
      </c>
      <c r="H1295" s="46" t="inlineStr">
        <is>
          <t>VN</t>
        </is>
      </c>
      <c r="I1295" s="49" t="n">
        <v>13369</v>
      </c>
      <c r="J1295" s="46" t="inlineStr">
        <is>
          <t>EA</t>
        </is>
      </c>
      <c r="K1295" s="50" t="n">
        <v>14.71</v>
      </c>
      <c r="L1295" s="50" t="n">
        <v>362574.51</v>
      </c>
      <c r="M1295" s="46" t="inlineStr">
        <is>
          <t>USD</t>
        </is>
      </c>
      <c r="N1295" s="46" t="inlineStr">
        <is>
          <t>FOB</t>
        </is>
      </c>
      <c r="O1295" s="46" t="inlineStr">
        <is>
          <t>N</t>
        </is>
      </c>
      <c r="P1295" s="50" t="n">
        <v>1465.355</v>
      </c>
      <c r="Q1295" s="49">
        <f>IF(OR(L1295="",M1295="",P1295=""),"",L1295*P1295)</f>
        <v/>
      </c>
    </row>
    <row r="1296" ht="15" customHeight="1" s="32">
      <c r="A1296" s="46" t="inlineStr">
        <is>
          <t>R-HB-1295</t>
        </is>
      </c>
      <c r="B1296" s="47" t="n">
        <v>46017</v>
      </c>
      <c r="C1296" s="46" t="inlineStr">
        <is>
          <t>2025-12</t>
        </is>
      </c>
      <c r="D1296" s="46" t="n">
        <v>2025</v>
      </c>
      <c r="E1296" s="46" t="inlineStr">
        <is>
          <t>P-HB-001</t>
        </is>
      </c>
      <c r="F1296" s="46" t="inlineStr">
        <is>
          <t>C-HB-09</t>
        </is>
      </c>
      <c r="G1296" s="48" t="inlineStr">
        <is>
          <t>중국</t>
        </is>
      </c>
      <c r="H1296" s="46" t="inlineStr">
        <is>
          <t>CN</t>
        </is>
      </c>
      <c r="I1296" s="49" t="n">
        <v>129718</v>
      </c>
      <c r="J1296" s="46" t="inlineStr">
        <is>
          <t>EA</t>
        </is>
      </c>
      <c r="K1296" s="50" t="n">
        <v>58.37</v>
      </c>
      <c r="L1296" s="50" t="n">
        <v>845993.65</v>
      </c>
      <c r="M1296" s="46" t="inlineStr">
        <is>
          <t>USD</t>
        </is>
      </c>
      <c r="N1296" s="46" t="inlineStr">
        <is>
          <t>FOB</t>
        </is>
      </c>
      <c r="O1296" s="46" t="inlineStr">
        <is>
          <t>N</t>
        </is>
      </c>
      <c r="P1296" s="50" t="n">
        <v>1465.355</v>
      </c>
      <c r="Q1296" s="49">
        <f>IF(OR(L1296="",M1296="",P1296=""),"",L1296*P1296)</f>
        <v/>
      </c>
    </row>
    <row r="1297" ht="15" customHeight="1" s="32">
      <c r="A1297" s="46" t="inlineStr">
        <is>
          <t>R-HB-1296</t>
        </is>
      </c>
      <c r="B1297" s="47" t="n">
        <v>46018</v>
      </c>
      <c r="C1297" s="46" t="inlineStr">
        <is>
          <t>2025-12</t>
        </is>
      </c>
      <c r="D1297" s="46" t="n">
        <v>2025</v>
      </c>
      <c r="E1297" s="46" t="inlineStr">
        <is>
          <t>P-HB-003</t>
        </is>
      </c>
      <c r="F1297" s="46" t="inlineStr">
        <is>
          <t>C-HB-06</t>
        </is>
      </c>
      <c r="G1297" s="48" t="inlineStr">
        <is>
          <t>베트남</t>
        </is>
      </c>
      <c r="H1297" s="46" t="inlineStr">
        <is>
          <t>VN</t>
        </is>
      </c>
      <c r="I1297" s="49" t="n">
        <v>36095</v>
      </c>
      <c r="J1297" s="46" t="inlineStr">
        <is>
          <t>EA</t>
        </is>
      </c>
      <c r="K1297" s="50" t="n">
        <v>23.46</v>
      </c>
      <c r="L1297" s="50" t="n">
        <v>319636</v>
      </c>
      <c r="M1297" s="46" t="inlineStr">
        <is>
          <t>USD</t>
        </is>
      </c>
      <c r="N1297" s="46" t="inlineStr">
        <is>
          <t>FOB</t>
        </is>
      </c>
      <c r="O1297" s="46" t="inlineStr">
        <is>
          <t>N</t>
        </is>
      </c>
      <c r="P1297" s="50" t="n">
        <v>1465.355</v>
      </c>
      <c r="Q1297" s="49">
        <f>IF(OR(L1297="",M1297="",P1297=""),"",L1297*P1297)</f>
        <v/>
      </c>
    </row>
  </sheetData>
  <autoFilter ref="A1:Q129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2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1" min="1" max="2"/>
    <col width="9" customWidth="1" style="31" min="3" max="3"/>
    <col width="12" customWidth="1" style="31" min="4" max="4"/>
    <col width="11" customWidth="1" style="31" min="5" max="5"/>
    <col width="18" customWidth="1" style="31" min="6" max="6"/>
    <col width="11" customWidth="1" style="31" min="7" max="8"/>
    <col width="14" customWidth="1" style="32" min="9" max="9"/>
    <col width="14" customWidth="1" style="32" min="10" max="10"/>
    <col width="14" customWidth="1" style="32" min="11" max="11"/>
  </cols>
  <sheetData>
    <row r="1" ht="15" customHeight="1" s="32">
      <c r="A1" s="39" t="inlineStr">
        <is>
          <t>물류ID</t>
        </is>
      </c>
      <c r="B1" s="39" t="inlineStr">
        <is>
          <t>실적ID</t>
        </is>
      </c>
      <c r="C1" s="39" t="inlineStr">
        <is>
          <t>운송수단</t>
        </is>
      </c>
      <c r="D1" s="39" t="inlineStr">
        <is>
          <t>출발지</t>
        </is>
      </c>
      <c r="E1" s="39" t="inlineStr">
        <is>
          <t>출발지코드</t>
        </is>
      </c>
      <c r="F1" s="39" t="inlineStr">
        <is>
          <t>도착지</t>
        </is>
      </c>
      <c r="G1" s="39" t="inlineStr">
        <is>
          <t>도착지코드</t>
        </is>
      </c>
      <c r="H1" s="39" t="inlineStr">
        <is>
          <t>선적일</t>
        </is>
      </c>
      <c r="I1" s="51" t="inlineStr">
        <is>
          <t>예정도착일</t>
        </is>
      </c>
      <c r="J1" s="51" t="inlineStr">
        <is>
          <t>실제도착일</t>
        </is>
      </c>
      <c r="K1" s="51" t="inlineStr">
        <is>
          <t>운임(USD)</t>
        </is>
      </c>
    </row>
    <row r="2" ht="15" customHeight="1" s="32">
      <c r="A2" s="46" t="inlineStr">
        <is>
          <t>L-HB-0001</t>
        </is>
      </c>
      <c r="B2" s="46" t="inlineStr">
        <is>
          <t>R-HB-0001</t>
        </is>
      </c>
      <c r="C2" s="48" t="inlineStr">
        <is>
          <t>항공</t>
        </is>
      </c>
      <c r="D2" s="48" t="inlineStr">
        <is>
          <t>인천공항</t>
        </is>
      </c>
      <c r="E2" s="46" t="inlineStr">
        <is>
          <t>ICN</t>
        </is>
      </c>
      <c r="F2" s="48" t="inlineStr">
        <is>
          <t>하노이공항</t>
        </is>
      </c>
      <c r="G2" s="46" t="inlineStr">
        <is>
          <t>HAN</t>
        </is>
      </c>
      <c r="H2" s="47" t="n">
        <v>44929</v>
      </c>
      <c r="I2" s="52" t="n">
        <v>44932</v>
      </c>
      <c r="J2" s="52" t="n">
        <v>44932</v>
      </c>
      <c r="K2" s="53" t="n">
        <v>214.46</v>
      </c>
    </row>
    <row r="3" ht="15" customHeight="1" s="32">
      <c r="A3" s="46" t="inlineStr">
        <is>
          <t>L-HB-0002</t>
        </is>
      </c>
      <c r="B3" s="46" t="inlineStr">
        <is>
          <t>R-HB-0002</t>
        </is>
      </c>
      <c r="C3" s="48" t="inlineStr">
        <is>
          <t>항공</t>
        </is>
      </c>
      <c r="D3" s="48" t="inlineStr">
        <is>
          <t>인천공항</t>
        </is>
      </c>
      <c r="E3" s="46" t="inlineStr">
        <is>
          <t>ICN</t>
        </is>
      </c>
      <c r="F3" s="48" t="inlineStr">
        <is>
          <t>충칭공항</t>
        </is>
      </c>
      <c r="G3" s="46" t="inlineStr">
        <is>
          <t>CKG</t>
        </is>
      </c>
      <c r="H3" s="47" t="n">
        <v>44929</v>
      </c>
      <c r="I3" s="52" t="n">
        <v>44932</v>
      </c>
      <c r="J3" s="52" t="n">
        <v>44932</v>
      </c>
      <c r="K3" s="53" t="n">
        <v>135</v>
      </c>
    </row>
    <row r="4" ht="15" customHeight="1" s="32">
      <c r="A4" s="46" t="inlineStr">
        <is>
          <t>L-HB-0003</t>
        </is>
      </c>
      <c r="B4" s="46" t="inlineStr">
        <is>
          <t>R-HB-0003</t>
        </is>
      </c>
      <c r="C4" s="48" t="inlineStr">
        <is>
          <t>항공</t>
        </is>
      </c>
      <c r="D4" s="48" t="inlineStr">
        <is>
          <t>인천공항</t>
        </is>
      </c>
      <c r="E4" s="46" t="inlineStr">
        <is>
          <t>ICN</t>
        </is>
      </c>
      <c r="F4" s="48" t="inlineStr">
        <is>
          <t>프랑크푸르트공항</t>
        </is>
      </c>
      <c r="G4" s="46" t="inlineStr">
        <is>
          <t>FRA</t>
        </is>
      </c>
      <c r="H4" s="47" t="n">
        <v>44931</v>
      </c>
      <c r="I4" s="52" t="n">
        <v>44934</v>
      </c>
      <c r="J4" s="52" t="n">
        <v>44934</v>
      </c>
      <c r="K4" s="53" t="n">
        <v>135</v>
      </c>
    </row>
    <row r="5" ht="15" customHeight="1" s="32">
      <c r="A5" s="46" t="inlineStr">
        <is>
          <t>L-HB-0004</t>
        </is>
      </c>
      <c r="B5" s="46" t="inlineStr">
        <is>
          <t>R-HB-0004</t>
        </is>
      </c>
      <c r="C5" s="48" t="inlineStr">
        <is>
          <t>항공</t>
        </is>
      </c>
      <c r="D5" s="48" t="inlineStr">
        <is>
          <t>인천공항</t>
        </is>
      </c>
      <c r="E5" s="46" t="inlineStr">
        <is>
          <t>ICN</t>
        </is>
      </c>
      <c r="F5" s="48" t="inlineStr">
        <is>
          <t>선전공항</t>
        </is>
      </c>
      <c r="G5" s="46" t="inlineStr">
        <is>
          <t>SZX</t>
        </is>
      </c>
      <c r="H5" s="47" t="n">
        <v>44931</v>
      </c>
      <c r="I5" s="52" t="n">
        <v>44933</v>
      </c>
      <c r="J5" s="52" t="n">
        <v>44933</v>
      </c>
      <c r="K5" s="53" t="n">
        <v>135</v>
      </c>
    </row>
    <row r="6" ht="15" customHeight="1" s="32">
      <c r="A6" s="46" t="inlineStr">
        <is>
          <t>L-HB-0005</t>
        </is>
      </c>
      <c r="B6" s="46" t="inlineStr">
        <is>
          <t>R-HB-0005</t>
        </is>
      </c>
      <c r="C6" s="48" t="inlineStr">
        <is>
          <t>항공</t>
        </is>
      </c>
      <c r="D6" s="48" t="inlineStr">
        <is>
          <t>인천공항</t>
        </is>
      </c>
      <c r="E6" s="46" t="inlineStr">
        <is>
          <t>ICN</t>
        </is>
      </c>
      <c r="F6" s="48" t="inlineStr">
        <is>
          <t>하노이공항</t>
        </is>
      </c>
      <c r="G6" s="46" t="inlineStr">
        <is>
          <t>HAN</t>
        </is>
      </c>
      <c r="H6" s="47" t="n">
        <v>44932</v>
      </c>
      <c r="I6" s="52" t="n">
        <v>44933</v>
      </c>
      <c r="J6" s="52" t="n">
        <v>44933</v>
      </c>
      <c r="K6" s="53" t="n">
        <v>135</v>
      </c>
    </row>
    <row r="7" ht="15" customHeight="1" s="32">
      <c r="A7" s="46" t="inlineStr">
        <is>
          <t>L-HB-0006</t>
        </is>
      </c>
      <c r="B7" s="46" t="inlineStr">
        <is>
          <t>R-HB-0006</t>
        </is>
      </c>
      <c r="C7" s="48" t="inlineStr">
        <is>
          <t>항공</t>
        </is>
      </c>
      <c r="D7" s="48" t="inlineStr">
        <is>
          <t>인천공항</t>
        </is>
      </c>
      <c r="E7" s="46" t="inlineStr">
        <is>
          <t>ICN</t>
        </is>
      </c>
      <c r="F7" s="48" t="inlineStr">
        <is>
          <t>로스앤젤레스공항</t>
        </is>
      </c>
      <c r="G7" s="46" t="inlineStr">
        <is>
          <t>LAX</t>
        </is>
      </c>
      <c r="H7" s="47" t="n">
        <v>44933</v>
      </c>
      <c r="I7" s="52" t="n">
        <v>44935</v>
      </c>
      <c r="J7" s="52" t="n">
        <v>44935</v>
      </c>
      <c r="K7" s="53" t="n">
        <v>275.71</v>
      </c>
    </row>
    <row r="8" ht="15" customHeight="1" s="32">
      <c r="A8" s="46" t="inlineStr">
        <is>
          <t>L-HB-0007</t>
        </is>
      </c>
      <c r="B8" s="46" t="inlineStr">
        <is>
          <t>R-HB-0007</t>
        </is>
      </c>
      <c r="C8" s="48" t="inlineStr">
        <is>
          <t>항공</t>
        </is>
      </c>
      <c r="D8" s="48" t="inlineStr">
        <is>
          <t>인천공항</t>
        </is>
      </c>
      <c r="E8" s="46" t="inlineStr">
        <is>
          <t>ICN</t>
        </is>
      </c>
      <c r="F8" s="48" t="inlineStr">
        <is>
          <t>프랑크푸르트공항</t>
        </is>
      </c>
      <c r="G8" s="46" t="inlineStr">
        <is>
          <t>FRA</t>
        </is>
      </c>
      <c r="H8" s="47" t="n">
        <v>44933</v>
      </c>
      <c r="I8" s="52" t="n">
        <v>44936</v>
      </c>
      <c r="J8" s="52" t="n">
        <v>44936</v>
      </c>
      <c r="K8" s="53" t="n">
        <v>237.83</v>
      </c>
    </row>
    <row r="9" ht="15" customHeight="1" s="32">
      <c r="A9" s="46" t="inlineStr">
        <is>
          <t>L-HB-0008</t>
        </is>
      </c>
      <c r="B9" s="46" t="inlineStr">
        <is>
          <t>R-HB-0008</t>
        </is>
      </c>
      <c r="C9" s="48" t="inlineStr">
        <is>
          <t>항공</t>
        </is>
      </c>
      <c r="D9" s="48" t="inlineStr">
        <is>
          <t>인천공항</t>
        </is>
      </c>
      <c r="E9" s="46" t="inlineStr">
        <is>
          <t>ICN</t>
        </is>
      </c>
      <c r="F9" s="48" t="inlineStr">
        <is>
          <t>델리공항</t>
        </is>
      </c>
      <c r="G9" s="46" t="inlineStr">
        <is>
          <t>DEL</t>
        </is>
      </c>
      <c r="H9" s="47" t="n">
        <v>44933</v>
      </c>
      <c r="I9" s="52" t="n">
        <v>44935</v>
      </c>
      <c r="J9" s="52" t="n">
        <v>44935</v>
      </c>
      <c r="K9" s="53" t="n">
        <v>135</v>
      </c>
    </row>
    <row r="10" ht="15" customHeight="1" s="32">
      <c r="A10" s="46" t="inlineStr">
        <is>
          <t>L-HB-0009</t>
        </is>
      </c>
      <c r="B10" s="46" t="inlineStr">
        <is>
          <t>R-HB-0009</t>
        </is>
      </c>
      <c r="C10" s="48" t="inlineStr">
        <is>
          <t>항공</t>
        </is>
      </c>
      <c r="D10" s="48" t="inlineStr">
        <is>
          <t>인천공항</t>
        </is>
      </c>
      <c r="E10" s="46" t="inlineStr">
        <is>
          <t>ICN</t>
        </is>
      </c>
      <c r="F10" s="48" t="inlineStr">
        <is>
          <t>선전공항</t>
        </is>
      </c>
      <c r="G10" s="46" t="inlineStr">
        <is>
          <t>SZX</t>
        </is>
      </c>
      <c r="H10" s="47" t="n">
        <v>44934</v>
      </c>
      <c r="I10" s="52" t="n">
        <v>44937</v>
      </c>
      <c r="J10" s="52" t="n">
        <v>44937</v>
      </c>
      <c r="K10" s="53" t="n">
        <v>294.15</v>
      </c>
    </row>
    <row r="11" ht="15" customHeight="1" s="32">
      <c r="A11" s="46" t="inlineStr">
        <is>
          <t>L-HB-0010</t>
        </is>
      </c>
      <c r="B11" s="46" t="inlineStr">
        <is>
          <t>R-HB-0010</t>
        </is>
      </c>
      <c r="C11" s="48" t="inlineStr">
        <is>
          <t>해상</t>
        </is>
      </c>
      <c r="D11" s="48" t="inlineStr">
        <is>
          <t>부산항</t>
        </is>
      </c>
      <c r="E11" s="46" t="inlineStr">
        <is>
          <t>KRPUS</t>
        </is>
      </c>
      <c r="F11" s="48" t="inlineStr">
        <is>
          <t>상하이항</t>
        </is>
      </c>
      <c r="G11" s="46" t="inlineStr">
        <is>
          <t>CNSHA</t>
        </is>
      </c>
      <c r="H11" s="47" t="n">
        <v>44935</v>
      </c>
      <c r="I11" s="52" t="n">
        <v>44939</v>
      </c>
      <c r="J11" s="52" t="n">
        <v>44939</v>
      </c>
      <c r="K11" s="53" t="n">
        <v>530</v>
      </c>
    </row>
    <row r="12" ht="15" customHeight="1" s="32">
      <c r="A12" s="46" t="inlineStr">
        <is>
          <t>L-HB-0011</t>
        </is>
      </c>
      <c r="B12" s="46" t="inlineStr">
        <is>
          <t>R-HB-0011</t>
        </is>
      </c>
      <c r="C12" s="48" t="inlineStr">
        <is>
          <t>항공</t>
        </is>
      </c>
      <c r="D12" s="48" t="inlineStr">
        <is>
          <t>인천공항</t>
        </is>
      </c>
      <c r="E12" s="46" t="inlineStr">
        <is>
          <t>ICN</t>
        </is>
      </c>
      <c r="F12" s="48" t="inlineStr">
        <is>
          <t>토론토공항</t>
        </is>
      </c>
      <c r="G12" s="46" t="inlineStr">
        <is>
          <t>YYZ</t>
        </is>
      </c>
      <c r="H12" s="47" t="n">
        <v>44936</v>
      </c>
      <c r="I12" s="52" t="n">
        <v>44941</v>
      </c>
      <c r="J12" s="52" t="n">
        <v>44941</v>
      </c>
      <c r="K12" s="53" t="n">
        <v>135</v>
      </c>
    </row>
    <row r="13" ht="15" customHeight="1" s="32">
      <c r="A13" s="46" t="inlineStr">
        <is>
          <t>L-HB-0012</t>
        </is>
      </c>
      <c r="B13" s="46" t="inlineStr">
        <is>
          <t>R-HB-0012</t>
        </is>
      </c>
      <c r="C13" s="48" t="inlineStr">
        <is>
          <t>항공</t>
        </is>
      </c>
      <c r="D13" s="48" t="inlineStr">
        <is>
          <t>인천공항</t>
        </is>
      </c>
      <c r="E13" s="46" t="inlineStr">
        <is>
          <t>ICN</t>
        </is>
      </c>
      <c r="F13" s="48" t="inlineStr">
        <is>
          <t>로스앤젤레스공항</t>
        </is>
      </c>
      <c r="G13" s="46" t="inlineStr">
        <is>
          <t>LAX</t>
        </is>
      </c>
      <c r="H13" s="47" t="n">
        <v>44937</v>
      </c>
      <c r="I13" s="52" t="n">
        <v>44939</v>
      </c>
      <c r="J13" s="52" t="n">
        <v>44938</v>
      </c>
      <c r="K13" s="53" t="n">
        <v>135</v>
      </c>
    </row>
    <row r="14" ht="15" customHeight="1" s="32">
      <c r="A14" s="46" t="inlineStr">
        <is>
          <t>L-HB-0013</t>
        </is>
      </c>
      <c r="B14" s="46" t="inlineStr">
        <is>
          <t>R-HB-0013</t>
        </is>
      </c>
      <c r="C14" s="48" t="inlineStr">
        <is>
          <t>항공</t>
        </is>
      </c>
      <c r="D14" s="48" t="inlineStr">
        <is>
          <t>인천공항</t>
        </is>
      </c>
      <c r="E14" s="46" t="inlineStr">
        <is>
          <t>ICN</t>
        </is>
      </c>
      <c r="F14" s="48" t="inlineStr">
        <is>
          <t>시애틀공항</t>
        </is>
      </c>
      <c r="G14" s="46" t="inlineStr">
        <is>
          <t>SEA</t>
        </is>
      </c>
      <c r="H14" s="47" t="n">
        <v>44937</v>
      </c>
      <c r="I14" s="52" t="n">
        <v>44940</v>
      </c>
      <c r="J14" s="52" t="n">
        <v>44939</v>
      </c>
      <c r="K14" s="53" t="n">
        <v>152.23</v>
      </c>
    </row>
    <row r="15" ht="15" customHeight="1" s="32">
      <c r="A15" s="46" t="inlineStr">
        <is>
          <t>L-HB-0014</t>
        </is>
      </c>
      <c r="B15" s="46" t="inlineStr">
        <is>
          <t>R-HB-0014</t>
        </is>
      </c>
      <c r="C15" s="48" t="inlineStr">
        <is>
          <t>항공</t>
        </is>
      </c>
      <c r="D15" s="48" t="inlineStr">
        <is>
          <t>인천공항</t>
        </is>
      </c>
      <c r="E15" s="46" t="inlineStr">
        <is>
          <t>ICN</t>
        </is>
      </c>
      <c r="F15" s="48" t="inlineStr">
        <is>
          <t>하노이공항</t>
        </is>
      </c>
      <c r="G15" s="46" t="inlineStr">
        <is>
          <t>HAN</t>
        </is>
      </c>
      <c r="H15" s="47" t="n">
        <v>44939</v>
      </c>
      <c r="I15" s="52" t="n">
        <v>44942</v>
      </c>
      <c r="J15" s="52" t="n">
        <v>44942</v>
      </c>
      <c r="K15" s="53" t="n">
        <v>135</v>
      </c>
    </row>
    <row r="16" ht="15" customHeight="1" s="32">
      <c r="A16" s="46" t="inlineStr">
        <is>
          <t>L-HB-0015</t>
        </is>
      </c>
      <c r="B16" s="46" t="inlineStr">
        <is>
          <t>R-HB-0015</t>
        </is>
      </c>
      <c r="C16" s="48" t="inlineStr">
        <is>
          <t>항공</t>
        </is>
      </c>
      <c r="D16" s="48" t="inlineStr">
        <is>
          <t>인천공항</t>
        </is>
      </c>
      <c r="E16" s="46" t="inlineStr">
        <is>
          <t>ICN</t>
        </is>
      </c>
      <c r="F16" s="48" t="inlineStr">
        <is>
          <t>델리공항</t>
        </is>
      </c>
      <c r="G16" s="46" t="inlineStr">
        <is>
          <t>DEL</t>
        </is>
      </c>
      <c r="H16" s="47" t="n">
        <v>44939</v>
      </c>
      <c r="I16" s="52" t="n">
        <v>44943</v>
      </c>
      <c r="J16" s="52" t="n">
        <v>44943</v>
      </c>
      <c r="K16" s="53" t="n">
        <v>135</v>
      </c>
    </row>
    <row r="17" ht="15" customHeight="1" s="32">
      <c r="A17" s="46" t="inlineStr">
        <is>
          <t>L-HB-0016</t>
        </is>
      </c>
      <c r="B17" s="46" t="inlineStr">
        <is>
          <t>R-HB-0016</t>
        </is>
      </c>
      <c r="C17" s="48" t="inlineStr">
        <is>
          <t>항공</t>
        </is>
      </c>
      <c r="D17" s="48" t="inlineStr">
        <is>
          <t>인천공항</t>
        </is>
      </c>
      <c r="E17" s="46" t="inlineStr">
        <is>
          <t>ICN</t>
        </is>
      </c>
      <c r="F17" s="48" t="inlineStr">
        <is>
          <t>시애틀공항</t>
        </is>
      </c>
      <c r="G17" s="46" t="inlineStr">
        <is>
          <t>SEA</t>
        </is>
      </c>
      <c r="H17" s="47" t="n">
        <v>44940</v>
      </c>
      <c r="I17" s="52" t="n">
        <v>44943</v>
      </c>
      <c r="J17" s="52" t="n">
        <v>44943</v>
      </c>
      <c r="K17" s="53" t="n">
        <v>240.68</v>
      </c>
    </row>
    <row r="18" ht="15" customHeight="1" s="32">
      <c r="A18" s="46" t="inlineStr">
        <is>
          <t>L-HB-0017</t>
        </is>
      </c>
      <c r="B18" s="46" t="inlineStr">
        <is>
          <t>R-HB-0017</t>
        </is>
      </c>
      <c r="C18" s="48" t="inlineStr">
        <is>
          <t>항공</t>
        </is>
      </c>
      <c r="D18" s="48" t="inlineStr">
        <is>
          <t>인천공항</t>
        </is>
      </c>
      <c r="E18" s="46" t="inlineStr">
        <is>
          <t>ICN</t>
        </is>
      </c>
      <c r="F18" s="48" t="inlineStr">
        <is>
          <t>토론토공항</t>
        </is>
      </c>
      <c r="G18" s="46" t="inlineStr">
        <is>
          <t>YYZ</t>
        </is>
      </c>
      <c r="H18" s="47" t="n">
        <v>44940</v>
      </c>
      <c r="I18" s="52" t="n">
        <v>44944</v>
      </c>
      <c r="J18" s="52" t="n">
        <v>44944</v>
      </c>
      <c r="K18" s="53" t="n">
        <v>135</v>
      </c>
    </row>
    <row r="19" ht="15" customHeight="1" s="32">
      <c r="A19" s="46" t="inlineStr">
        <is>
          <t>L-HB-0018</t>
        </is>
      </c>
      <c r="B19" s="46" t="inlineStr">
        <is>
          <t>R-HB-0018</t>
        </is>
      </c>
      <c r="C19" s="48" t="inlineStr">
        <is>
          <t>항공</t>
        </is>
      </c>
      <c r="D19" s="48" t="inlineStr">
        <is>
          <t>인천공항</t>
        </is>
      </c>
      <c r="E19" s="46" t="inlineStr">
        <is>
          <t>ICN</t>
        </is>
      </c>
      <c r="F19" s="48" t="inlineStr">
        <is>
          <t>과달라하라공항</t>
        </is>
      </c>
      <c r="G19" s="46" t="inlineStr">
        <is>
          <t>GDL</t>
        </is>
      </c>
      <c r="H19" s="47" t="n">
        <v>44941</v>
      </c>
      <c r="I19" s="52" t="n">
        <v>44946</v>
      </c>
      <c r="J19" s="52" t="n">
        <v>44945</v>
      </c>
      <c r="K19" s="53" t="n">
        <v>135</v>
      </c>
    </row>
    <row r="20" ht="15" customHeight="1" s="32">
      <c r="A20" s="46" t="inlineStr">
        <is>
          <t>L-HB-0019</t>
        </is>
      </c>
      <c r="B20" s="46" t="inlineStr">
        <is>
          <t>R-HB-0019</t>
        </is>
      </c>
      <c r="C20" s="48" t="inlineStr">
        <is>
          <t>항공</t>
        </is>
      </c>
      <c r="D20" s="48" t="inlineStr">
        <is>
          <t>인천공항</t>
        </is>
      </c>
      <c r="E20" s="46" t="inlineStr">
        <is>
          <t>ICN</t>
        </is>
      </c>
      <c r="F20" s="48" t="inlineStr">
        <is>
          <t>과달라하라공항</t>
        </is>
      </c>
      <c r="G20" s="46" t="inlineStr">
        <is>
          <t>GDL</t>
        </is>
      </c>
      <c r="H20" s="47" t="n">
        <v>44942</v>
      </c>
      <c r="I20" s="52" t="n">
        <v>44947</v>
      </c>
      <c r="J20" s="52" t="n">
        <v>44947</v>
      </c>
      <c r="K20" s="53" t="n">
        <v>135</v>
      </c>
    </row>
    <row r="21" ht="15" customHeight="1" s="32">
      <c r="A21" s="46" t="inlineStr">
        <is>
          <t>L-HB-0020</t>
        </is>
      </c>
      <c r="B21" s="46" t="inlineStr">
        <is>
          <t>R-HB-0020</t>
        </is>
      </c>
      <c r="C21" s="48" t="inlineStr">
        <is>
          <t>항공</t>
        </is>
      </c>
      <c r="D21" s="48" t="inlineStr">
        <is>
          <t>인천공항</t>
        </is>
      </c>
      <c r="E21" s="46" t="inlineStr">
        <is>
          <t>ICN</t>
        </is>
      </c>
      <c r="F21" s="48" t="inlineStr">
        <is>
          <t>프랑크푸르트공항</t>
        </is>
      </c>
      <c r="G21" s="46" t="inlineStr">
        <is>
          <t>FRA</t>
        </is>
      </c>
      <c r="H21" s="47" t="n">
        <v>44942</v>
      </c>
      <c r="I21" s="52" t="n">
        <v>44946</v>
      </c>
      <c r="J21" s="52" t="n">
        <v>44945</v>
      </c>
      <c r="K21" s="53" t="n">
        <v>146.13</v>
      </c>
    </row>
    <row r="22" ht="15" customHeight="1" s="32">
      <c r="A22" s="46" t="inlineStr">
        <is>
          <t>L-HB-0021</t>
        </is>
      </c>
      <c r="B22" s="46" t="inlineStr">
        <is>
          <t>R-HB-0021</t>
        </is>
      </c>
      <c r="C22" s="48" t="inlineStr">
        <is>
          <t>해상</t>
        </is>
      </c>
      <c r="D22" s="48" t="inlineStr">
        <is>
          <t>부산항</t>
        </is>
      </c>
      <c r="E22" s="46" t="inlineStr">
        <is>
          <t>KRPUS</t>
        </is>
      </c>
      <c r="F22" s="48" t="inlineStr">
        <is>
          <t>하이퐁항</t>
        </is>
      </c>
      <c r="G22" s="46" t="inlineStr">
        <is>
          <t>VNHPH</t>
        </is>
      </c>
      <c r="H22" s="47" t="n">
        <v>44942</v>
      </c>
      <c r="I22" s="52" t="n">
        <v>44952</v>
      </c>
      <c r="J22" s="52" t="n">
        <v>44952</v>
      </c>
      <c r="K22" s="53" t="n">
        <v>530</v>
      </c>
    </row>
    <row r="23" ht="15" customHeight="1" s="32">
      <c r="A23" s="46" t="inlineStr">
        <is>
          <t>L-HB-0022</t>
        </is>
      </c>
      <c r="B23" s="46" t="inlineStr">
        <is>
          <t>R-HB-0022</t>
        </is>
      </c>
      <c r="C23" s="48" t="inlineStr">
        <is>
          <t>항공</t>
        </is>
      </c>
      <c r="D23" s="48" t="inlineStr">
        <is>
          <t>인천공항</t>
        </is>
      </c>
      <c r="E23" s="46" t="inlineStr">
        <is>
          <t>ICN</t>
        </is>
      </c>
      <c r="F23" s="48" t="inlineStr">
        <is>
          <t>델리공항</t>
        </is>
      </c>
      <c r="G23" s="46" t="inlineStr">
        <is>
          <t>DEL</t>
        </is>
      </c>
      <c r="H23" s="47" t="n">
        <v>44943</v>
      </c>
      <c r="I23" s="52" t="n">
        <v>44946</v>
      </c>
      <c r="J23" s="52" t="n">
        <v>44946</v>
      </c>
      <c r="K23" s="53" t="n">
        <v>135</v>
      </c>
    </row>
    <row r="24" ht="15" customHeight="1" s="32">
      <c r="A24" s="46" t="inlineStr">
        <is>
          <t>L-HB-0023</t>
        </is>
      </c>
      <c r="B24" s="46" t="inlineStr">
        <is>
          <t>R-HB-0023</t>
        </is>
      </c>
      <c r="C24" s="48" t="inlineStr">
        <is>
          <t>항공</t>
        </is>
      </c>
      <c r="D24" s="48" t="inlineStr">
        <is>
          <t>인천공항</t>
        </is>
      </c>
      <c r="E24" s="46" t="inlineStr">
        <is>
          <t>ICN</t>
        </is>
      </c>
      <c r="F24" s="48" t="inlineStr">
        <is>
          <t>시애틀공항</t>
        </is>
      </c>
      <c r="G24" s="46" t="inlineStr">
        <is>
          <t>SEA</t>
        </is>
      </c>
      <c r="H24" s="47" t="n">
        <v>44944</v>
      </c>
      <c r="I24" s="52" t="n">
        <v>44946</v>
      </c>
      <c r="J24" s="52" t="n">
        <v>44946</v>
      </c>
      <c r="K24" s="53" t="n">
        <v>135</v>
      </c>
    </row>
    <row r="25" ht="15" customHeight="1" s="32">
      <c r="A25" s="46" t="inlineStr">
        <is>
          <t>L-HB-0024</t>
        </is>
      </c>
      <c r="B25" s="46" t="inlineStr">
        <is>
          <t>R-HB-0024</t>
        </is>
      </c>
      <c r="C25" s="48" t="inlineStr">
        <is>
          <t>항공</t>
        </is>
      </c>
      <c r="D25" s="48" t="inlineStr">
        <is>
          <t>인천공항</t>
        </is>
      </c>
      <c r="E25" s="46" t="inlineStr">
        <is>
          <t>ICN</t>
        </is>
      </c>
      <c r="F25" s="48" t="inlineStr">
        <is>
          <t>충칭공항</t>
        </is>
      </c>
      <c r="G25" s="46" t="inlineStr">
        <is>
          <t>CKG</t>
        </is>
      </c>
      <c r="H25" s="47" t="n">
        <v>44944</v>
      </c>
      <c r="I25" s="52" t="n">
        <v>44946</v>
      </c>
      <c r="J25" s="52" t="n">
        <v>44946</v>
      </c>
      <c r="K25" s="53" t="n">
        <v>135</v>
      </c>
    </row>
    <row r="26" ht="15" customHeight="1" s="32">
      <c r="A26" s="46" t="inlineStr">
        <is>
          <t>L-HB-0025</t>
        </is>
      </c>
      <c r="B26" s="46" t="inlineStr">
        <is>
          <t>R-HB-0025</t>
        </is>
      </c>
      <c r="C26" s="48" t="inlineStr">
        <is>
          <t>항공</t>
        </is>
      </c>
      <c r="D26" s="48" t="inlineStr">
        <is>
          <t>인천공항</t>
        </is>
      </c>
      <c r="E26" s="46" t="inlineStr">
        <is>
          <t>ICN</t>
        </is>
      </c>
      <c r="F26" s="48" t="inlineStr">
        <is>
          <t>선전공항</t>
        </is>
      </c>
      <c r="G26" s="46" t="inlineStr">
        <is>
          <t>SZX</t>
        </is>
      </c>
      <c r="H26" s="47" t="n">
        <v>44945</v>
      </c>
      <c r="I26" s="52" t="n">
        <v>44947</v>
      </c>
      <c r="J26" s="52" t="n">
        <v>44947</v>
      </c>
      <c r="K26" s="53" t="n">
        <v>135</v>
      </c>
    </row>
    <row r="27" ht="15" customHeight="1" s="32">
      <c r="A27" s="46" t="inlineStr">
        <is>
          <t>L-HB-0026</t>
        </is>
      </c>
      <c r="B27" s="46" t="inlineStr">
        <is>
          <t>R-HB-0026</t>
        </is>
      </c>
      <c r="C27" s="48" t="inlineStr">
        <is>
          <t>항공</t>
        </is>
      </c>
      <c r="D27" s="48" t="inlineStr">
        <is>
          <t>인천공항</t>
        </is>
      </c>
      <c r="E27" s="46" t="inlineStr">
        <is>
          <t>ICN</t>
        </is>
      </c>
      <c r="F27" s="48" t="inlineStr">
        <is>
          <t>과달라하라공항</t>
        </is>
      </c>
      <c r="G27" s="46" t="inlineStr">
        <is>
          <t>GDL</t>
        </is>
      </c>
      <c r="H27" s="47" t="n">
        <v>44946</v>
      </c>
      <c r="I27" s="52" t="n">
        <v>44950</v>
      </c>
      <c r="J27" s="52" t="n">
        <v>44950</v>
      </c>
      <c r="K27" s="53" t="n">
        <v>135</v>
      </c>
    </row>
    <row r="28" ht="15" customHeight="1" s="32">
      <c r="A28" s="46" t="inlineStr">
        <is>
          <t>L-HB-0027</t>
        </is>
      </c>
      <c r="B28" s="46" t="inlineStr">
        <is>
          <t>R-HB-0027</t>
        </is>
      </c>
      <c r="C28" s="48" t="inlineStr">
        <is>
          <t>해상</t>
        </is>
      </c>
      <c r="D28" s="48" t="inlineStr">
        <is>
          <t>부산항</t>
        </is>
      </c>
      <c r="E28" s="46" t="inlineStr">
        <is>
          <t>KRPUS</t>
        </is>
      </c>
      <c r="F28" s="48" t="inlineStr">
        <is>
          <t>서커우항</t>
        </is>
      </c>
      <c r="G28" s="46" t="inlineStr">
        <is>
          <t>CNSHK</t>
        </is>
      </c>
      <c r="H28" s="47" t="n">
        <v>44946</v>
      </c>
      <c r="I28" s="52" t="n">
        <v>44953</v>
      </c>
      <c r="J28" s="52" t="n">
        <v>44953</v>
      </c>
      <c r="K28" s="53" t="n">
        <v>530</v>
      </c>
    </row>
    <row r="29" ht="15" customHeight="1" s="32">
      <c r="A29" s="46" t="inlineStr">
        <is>
          <t>L-HB-0028</t>
        </is>
      </c>
      <c r="B29" s="46" t="inlineStr">
        <is>
          <t>R-HB-0028</t>
        </is>
      </c>
      <c r="C29" s="48" t="inlineStr">
        <is>
          <t>항공</t>
        </is>
      </c>
      <c r="D29" s="48" t="inlineStr">
        <is>
          <t>인천공항</t>
        </is>
      </c>
      <c r="E29" s="46" t="inlineStr">
        <is>
          <t>ICN</t>
        </is>
      </c>
      <c r="F29" s="48" t="inlineStr">
        <is>
          <t>로스앤젤레스공항</t>
        </is>
      </c>
      <c r="G29" s="46" t="inlineStr">
        <is>
          <t>LAX</t>
        </is>
      </c>
      <c r="H29" s="47" t="n">
        <v>44947</v>
      </c>
      <c r="I29" s="52" t="n">
        <v>44950</v>
      </c>
      <c r="J29" s="52" t="n">
        <v>44950</v>
      </c>
      <c r="K29" s="53" t="n">
        <v>418.26</v>
      </c>
    </row>
    <row r="30" ht="15" customHeight="1" s="32">
      <c r="A30" s="46" t="inlineStr">
        <is>
          <t>L-HB-0029</t>
        </is>
      </c>
      <c r="B30" s="46" t="inlineStr">
        <is>
          <t>R-HB-0029</t>
        </is>
      </c>
      <c r="C30" s="48" t="inlineStr">
        <is>
          <t>항공</t>
        </is>
      </c>
      <c r="D30" s="48" t="inlineStr">
        <is>
          <t>인천공항</t>
        </is>
      </c>
      <c r="E30" s="46" t="inlineStr">
        <is>
          <t>ICN</t>
        </is>
      </c>
      <c r="F30" s="48" t="inlineStr">
        <is>
          <t>과달라하라공항</t>
        </is>
      </c>
      <c r="G30" s="46" t="inlineStr">
        <is>
          <t>GDL</t>
        </is>
      </c>
      <c r="H30" s="47" t="n">
        <v>44947</v>
      </c>
      <c r="I30" s="52" t="n">
        <v>44950</v>
      </c>
      <c r="J30" s="52" t="n">
        <v>44950</v>
      </c>
      <c r="K30" s="53" t="n">
        <v>135</v>
      </c>
    </row>
    <row r="31" ht="15" customHeight="1" s="32">
      <c r="A31" s="46" t="inlineStr">
        <is>
          <t>L-HB-0030</t>
        </is>
      </c>
      <c r="B31" s="46" t="inlineStr">
        <is>
          <t>R-HB-0030</t>
        </is>
      </c>
      <c r="C31" s="48" t="inlineStr">
        <is>
          <t>항공</t>
        </is>
      </c>
      <c r="D31" s="48" t="inlineStr">
        <is>
          <t>인천공항</t>
        </is>
      </c>
      <c r="E31" s="46" t="inlineStr">
        <is>
          <t>ICN</t>
        </is>
      </c>
      <c r="F31" s="48" t="inlineStr">
        <is>
          <t>델리공항</t>
        </is>
      </c>
      <c r="G31" s="46" t="inlineStr">
        <is>
          <t>DEL</t>
        </is>
      </c>
      <c r="H31" s="47" t="n">
        <v>44947</v>
      </c>
      <c r="I31" s="52" t="n">
        <v>44950</v>
      </c>
      <c r="J31" s="52" t="n">
        <v>44950</v>
      </c>
      <c r="K31" s="53" t="n">
        <v>184.74</v>
      </c>
    </row>
    <row r="32" ht="15" customHeight="1" s="32">
      <c r="A32" s="46" t="inlineStr">
        <is>
          <t>L-HB-0031</t>
        </is>
      </c>
      <c r="B32" s="46" t="inlineStr">
        <is>
          <t>R-HB-0031</t>
        </is>
      </c>
      <c r="C32" s="48" t="inlineStr">
        <is>
          <t>항공</t>
        </is>
      </c>
      <c r="D32" s="48" t="inlineStr">
        <is>
          <t>인천공항</t>
        </is>
      </c>
      <c r="E32" s="46" t="inlineStr">
        <is>
          <t>ICN</t>
        </is>
      </c>
      <c r="F32" s="48" t="inlineStr">
        <is>
          <t>프랑크푸르트공항</t>
        </is>
      </c>
      <c r="G32" s="46" t="inlineStr">
        <is>
          <t>FRA</t>
        </is>
      </c>
      <c r="H32" s="47" t="n">
        <v>44948</v>
      </c>
      <c r="I32" s="52" t="n">
        <v>44952</v>
      </c>
      <c r="J32" s="52" t="n">
        <v>44951</v>
      </c>
      <c r="K32" s="53" t="n">
        <v>408.17</v>
      </c>
    </row>
    <row r="33" ht="15" customHeight="1" s="32">
      <c r="A33" s="46" t="inlineStr">
        <is>
          <t>L-HB-0032</t>
        </is>
      </c>
      <c r="B33" s="46" t="inlineStr">
        <is>
          <t>R-HB-0032</t>
        </is>
      </c>
      <c r="C33" s="48" t="inlineStr">
        <is>
          <t>항공</t>
        </is>
      </c>
      <c r="D33" s="48" t="inlineStr">
        <is>
          <t>인천공항</t>
        </is>
      </c>
      <c r="E33" s="46" t="inlineStr">
        <is>
          <t>ICN</t>
        </is>
      </c>
      <c r="F33" s="48" t="inlineStr">
        <is>
          <t>충칭공항</t>
        </is>
      </c>
      <c r="G33" s="46" t="inlineStr">
        <is>
          <t>CKG</t>
        </is>
      </c>
      <c r="H33" s="47" t="n">
        <v>44948</v>
      </c>
      <c r="I33" s="52" t="n">
        <v>44951</v>
      </c>
      <c r="J33" s="52" t="n">
        <v>44951</v>
      </c>
      <c r="K33" s="53" t="n">
        <v>209.39</v>
      </c>
    </row>
    <row r="34" ht="15" customHeight="1" s="32">
      <c r="A34" s="46" t="inlineStr">
        <is>
          <t>L-HB-0033</t>
        </is>
      </c>
      <c r="B34" s="46" t="inlineStr">
        <is>
          <t>R-HB-0033</t>
        </is>
      </c>
      <c r="C34" s="48" t="inlineStr">
        <is>
          <t>항공</t>
        </is>
      </c>
      <c r="D34" s="48" t="inlineStr">
        <is>
          <t>인천공항</t>
        </is>
      </c>
      <c r="E34" s="46" t="inlineStr">
        <is>
          <t>ICN</t>
        </is>
      </c>
      <c r="F34" s="48" t="inlineStr">
        <is>
          <t>토론토공항</t>
        </is>
      </c>
      <c r="G34" s="46" t="inlineStr">
        <is>
          <t>YYZ</t>
        </is>
      </c>
      <c r="H34" s="47" t="n">
        <v>44951</v>
      </c>
      <c r="I34" s="52" t="n">
        <v>44954</v>
      </c>
      <c r="J34" s="52" t="n">
        <v>44954</v>
      </c>
      <c r="K34" s="53" t="n">
        <v>135</v>
      </c>
    </row>
    <row r="35" ht="15" customHeight="1" s="32">
      <c r="A35" s="46" t="inlineStr">
        <is>
          <t>L-HB-0034</t>
        </is>
      </c>
      <c r="B35" s="46" t="inlineStr">
        <is>
          <t>R-HB-0034</t>
        </is>
      </c>
      <c r="C35" s="48" t="inlineStr">
        <is>
          <t>항공</t>
        </is>
      </c>
      <c r="D35" s="48" t="inlineStr">
        <is>
          <t>인천공항</t>
        </is>
      </c>
      <c r="E35" s="46" t="inlineStr">
        <is>
          <t>ICN</t>
        </is>
      </c>
      <c r="F35" s="48" t="inlineStr">
        <is>
          <t>토론토공항</t>
        </is>
      </c>
      <c r="G35" s="46" t="inlineStr">
        <is>
          <t>YYZ</t>
        </is>
      </c>
      <c r="H35" s="47" t="n">
        <v>44951</v>
      </c>
      <c r="I35" s="52" t="n">
        <v>44954</v>
      </c>
      <c r="J35" s="52" t="n">
        <v>44954</v>
      </c>
      <c r="K35" s="53" t="n">
        <v>135</v>
      </c>
    </row>
    <row r="36" ht="15" customHeight="1" s="32">
      <c r="A36" s="46" t="inlineStr">
        <is>
          <t>L-HB-0035</t>
        </is>
      </c>
      <c r="B36" s="46" t="inlineStr">
        <is>
          <t>R-HB-0035</t>
        </is>
      </c>
      <c r="C36" s="48" t="inlineStr">
        <is>
          <t>항공</t>
        </is>
      </c>
      <c r="D36" s="48" t="inlineStr">
        <is>
          <t>인천공항</t>
        </is>
      </c>
      <c r="E36" s="46" t="inlineStr">
        <is>
          <t>ICN</t>
        </is>
      </c>
      <c r="F36" s="48" t="inlineStr">
        <is>
          <t>로스앤젤레스공항</t>
        </is>
      </c>
      <c r="G36" s="46" t="inlineStr">
        <is>
          <t>LAX</t>
        </is>
      </c>
      <c r="H36" s="47" t="n">
        <v>44952</v>
      </c>
      <c r="I36" s="52" t="n">
        <v>44955</v>
      </c>
      <c r="J36" s="52" t="n">
        <v>44955</v>
      </c>
      <c r="K36" s="53" t="n">
        <v>164.76</v>
      </c>
    </row>
    <row r="37" ht="15" customHeight="1" s="32">
      <c r="A37" s="46" t="inlineStr">
        <is>
          <t>L-HB-0036</t>
        </is>
      </c>
      <c r="B37" s="46" t="inlineStr">
        <is>
          <t>R-HB-0036</t>
        </is>
      </c>
      <c r="C37" s="48" t="inlineStr">
        <is>
          <t>항공</t>
        </is>
      </c>
      <c r="D37" s="48" t="inlineStr">
        <is>
          <t>인천공항</t>
        </is>
      </c>
      <c r="E37" s="46" t="inlineStr">
        <is>
          <t>ICN</t>
        </is>
      </c>
      <c r="F37" s="48" t="inlineStr">
        <is>
          <t>시애틀공항</t>
        </is>
      </c>
      <c r="G37" s="46" t="inlineStr">
        <is>
          <t>SEA</t>
        </is>
      </c>
      <c r="H37" s="47" t="n">
        <v>44952</v>
      </c>
      <c r="I37" s="52" t="n">
        <v>44956</v>
      </c>
      <c r="J37" s="52" t="n">
        <v>44956</v>
      </c>
      <c r="K37" s="53" t="n">
        <v>135</v>
      </c>
    </row>
    <row r="38" ht="15" customHeight="1" s="32">
      <c r="A38" s="46" t="inlineStr">
        <is>
          <t>L-HB-0037</t>
        </is>
      </c>
      <c r="B38" s="46" t="inlineStr">
        <is>
          <t>R-HB-0037</t>
        </is>
      </c>
      <c r="C38" s="48" t="inlineStr">
        <is>
          <t>항공</t>
        </is>
      </c>
      <c r="D38" s="48" t="inlineStr">
        <is>
          <t>인천공항</t>
        </is>
      </c>
      <c r="E38" s="46" t="inlineStr">
        <is>
          <t>ICN</t>
        </is>
      </c>
      <c r="F38" s="48" t="inlineStr">
        <is>
          <t>하노이공항</t>
        </is>
      </c>
      <c r="G38" s="46" t="inlineStr">
        <is>
          <t>HAN</t>
        </is>
      </c>
      <c r="H38" s="47" t="n">
        <v>44961</v>
      </c>
      <c r="I38" s="52" t="n">
        <v>44963</v>
      </c>
      <c r="J38" s="52" t="n">
        <v>44963</v>
      </c>
      <c r="K38" s="53" t="n">
        <v>135</v>
      </c>
    </row>
    <row r="39" ht="15" customHeight="1" s="32">
      <c r="A39" s="46" t="inlineStr">
        <is>
          <t>L-HB-0038</t>
        </is>
      </c>
      <c r="B39" s="46" t="inlineStr">
        <is>
          <t>R-HB-0038</t>
        </is>
      </c>
      <c r="C39" s="48" t="inlineStr">
        <is>
          <t>항공</t>
        </is>
      </c>
      <c r="D39" s="48" t="inlineStr">
        <is>
          <t>인천공항</t>
        </is>
      </c>
      <c r="E39" s="46" t="inlineStr">
        <is>
          <t>ICN</t>
        </is>
      </c>
      <c r="F39" s="48" t="inlineStr">
        <is>
          <t>과달라하라공항</t>
        </is>
      </c>
      <c r="G39" s="46" t="inlineStr">
        <is>
          <t>GDL</t>
        </is>
      </c>
      <c r="H39" s="47" t="n">
        <v>44962</v>
      </c>
      <c r="I39" s="52" t="n">
        <v>44965</v>
      </c>
      <c r="J39" s="52" t="n">
        <v>44965</v>
      </c>
      <c r="K39" s="53" t="n">
        <v>135</v>
      </c>
    </row>
    <row r="40" ht="15" customHeight="1" s="32">
      <c r="A40" s="46" t="inlineStr">
        <is>
          <t>L-HB-0039</t>
        </is>
      </c>
      <c r="B40" s="46" t="inlineStr">
        <is>
          <t>R-HB-0039</t>
        </is>
      </c>
      <c r="C40" s="48" t="inlineStr">
        <is>
          <t>항공</t>
        </is>
      </c>
      <c r="D40" s="48" t="inlineStr">
        <is>
          <t>인천공항</t>
        </is>
      </c>
      <c r="E40" s="46" t="inlineStr">
        <is>
          <t>ICN</t>
        </is>
      </c>
      <c r="F40" s="48" t="inlineStr">
        <is>
          <t>토론토공항</t>
        </is>
      </c>
      <c r="G40" s="46" t="inlineStr">
        <is>
          <t>YYZ</t>
        </is>
      </c>
      <c r="H40" s="47" t="n">
        <v>44962</v>
      </c>
      <c r="I40" s="52" t="n">
        <v>44966</v>
      </c>
      <c r="J40" s="52" t="n">
        <v>44966</v>
      </c>
      <c r="K40" s="53" t="n">
        <v>135</v>
      </c>
    </row>
    <row r="41" ht="15" customHeight="1" s="32">
      <c r="A41" s="46" t="inlineStr">
        <is>
          <t>L-HB-0040</t>
        </is>
      </c>
      <c r="B41" s="46" t="inlineStr">
        <is>
          <t>R-HB-0040</t>
        </is>
      </c>
      <c r="C41" s="48" t="inlineStr">
        <is>
          <t>항공</t>
        </is>
      </c>
      <c r="D41" s="48" t="inlineStr">
        <is>
          <t>인천공항</t>
        </is>
      </c>
      <c r="E41" s="46" t="inlineStr">
        <is>
          <t>ICN</t>
        </is>
      </c>
      <c r="F41" s="48" t="inlineStr">
        <is>
          <t>충칭공항</t>
        </is>
      </c>
      <c r="G41" s="46" t="inlineStr">
        <is>
          <t>CKG</t>
        </is>
      </c>
      <c r="H41" s="47" t="n">
        <v>44962</v>
      </c>
      <c r="I41" s="52" t="n">
        <v>44963</v>
      </c>
      <c r="J41" s="52" t="n">
        <v>44963</v>
      </c>
      <c r="K41" s="53" t="n">
        <v>192.98</v>
      </c>
    </row>
    <row r="42" ht="15" customHeight="1" s="32">
      <c r="A42" s="46" t="inlineStr">
        <is>
          <t>L-HB-0041</t>
        </is>
      </c>
      <c r="B42" s="46" t="inlineStr">
        <is>
          <t>R-HB-0041</t>
        </is>
      </c>
      <c r="C42" s="48" t="inlineStr">
        <is>
          <t>항공</t>
        </is>
      </c>
      <c r="D42" s="48" t="inlineStr">
        <is>
          <t>인천공항</t>
        </is>
      </c>
      <c r="E42" s="46" t="inlineStr">
        <is>
          <t>ICN</t>
        </is>
      </c>
      <c r="F42" s="48" t="inlineStr">
        <is>
          <t>프랑크푸르트공항</t>
        </is>
      </c>
      <c r="G42" s="46" t="inlineStr">
        <is>
          <t>FRA</t>
        </is>
      </c>
      <c r="H42" s="47" t="n">
        <v>44963</v>
      </c>
      <c r="I42" s="52" t="n">
        <v>44966</v>
      </c>
      <c r="J42" s="52" t="n">
        <v>44966</v>
      </c>
      <c r="K42" s="53" t="n">
        <v>260.22</v>
      </c>
    </row>
    <row r="43" ht="15" customHeight="1" s="32">
      <c r="A43" s="46" t="inlineStr">
        <is>
          <t>L-HB-0042</t>
        </is>
      </c>
      <c r="B43" s="46" t="inlineStr">
        <is>
          <t>R-HB-0042</t>
        </is>
      </c>
      <c r="C43" s="48" t="inlineStr">
        <is>
          <t>항공</t>
        </is>
      </c>
      <c r="D43" s="48" t="inlineStr">
        <is>
          <t>인천공항</t>
        </is>
      </c>
      <c r="E43" s="46" t="inlineStr">
        <is>
          <t>ICN</t>
        </is>
      </c>
      <c r="F43" s="48" t="inlineStr">
        <is>
          <t>하노이공항</t>
        </is>
      </c>
      <c r="G43" s="46" t="inlineStr">
        <is>
          <t>HAN</t>
        </is>
      </c>
      <c r="H43" s="47" t="n">
        <v>44963</v>
      </c>
      <c r="I43" s="52" t="n">
        <v>44965</v>
      </c>
      <c r="J43" s="52" t="n">
        <v>44967</v>
      </c>
      <c r="K43" s="53" t="n">
        <v>135</v>
      </c>
    </row>
    <row r="44" ht="15" customHeight="1" s="32">
      <c r="A44" s="46" t="inlineStr">
        <is>
          <t>L-HB-0043</t>
        </is>
      </c>
      <c r="B44" s="46" t="inlineStr">
        <is>
          <t>R-HB-0043</t>
        </is>
      </c>
      <c r="C44" s="48" t="inlineStr">
        <is>
          <t>항공</t>
        </is>
      </c>
      <c r="D44" s="48" t="inlineStr">
        <is>
          <t>인천공항</t>
        </is>
      </c>
      <c r="E44" s="46" t="inlineStr">
        <is>
          <t>ICN</t>
        </is>
      </c>
      <c r="F44" s="48" t="inlineStr">
        <is>
          <t>토론토공항</t>
        </is>
      </c>
      <c r="G44" s="46" t="inlineStr">
        <is>
          <t>YYZ</t>
        </is>
      </c>
      <c r="H44" s="47" t="n">
        <v>44965</v>
      </c>
      <c r="I44" s="52" t="n">
        <v>44969</v>
      </c>
      <c r="J44" s="52" t="n">
        <v>44969</v>
      </c>
      <c r="K44" s="53" t="n">
        <v>135</v>
      </c>
    </row>
    <row r="45" ht="15" customHeight="1" s="32">
      <c r="A45" s="46" t="inlineStr">
        <is>
          <t>L-HB-0044</t>
        </is>
      </c>
      <c r="B45" s="46" t="inlineStr">
        <is>
          <t>R-HB-0044</t>
        </is>
      </c>
      <c r="C45" s="48" t="inlineStr">
        <is>
          <t>항공</t>
        </is>
      </c>
      <c r="D45" s="48" t="inlineStr">
        <is>
          <t>인천공항</t>
        </is>
      </c>
      <c r="E45" s="46" t="inlineStr">
        <is>
          <t>ICN</t>
        </is>
      </c>
      <c r="F45" s="48" t="inlineStr">
        <is>
          <t>델리공항</t>
        </is>
      </c>
      <c r="G45" s="46" t="inlineStr">
        <is>
          <t>DEL</t>
        </is>
      </c>
      <c r="H45" s="47" t="n">
        <v>44965</v>
      </c>
      <c r="I45" s="52" t="n">
        <v>44967</v>
      </c>
      <c r="J45" s="52" t="n">
        <v>44967</v>
      </c>
      <c r="K45" s="53" t="n">
        <v>135</v>
      </c>
    </row>
    <row r="46" ht="15" customHeight="1" s="32">
      <c r="A46" s="46" t="inlineStr">
        <is>
          <t>L-HB-0045</t>
        </is>
      </c>
      <c r="B46" s="46" t="inlineStr">
        <is>
          <t>R-HB-0045</t>
        </is>
      </c>
      <c r="C46" s="48" t="inlineStr">
        <is>
          <t>항공</t>
        </is>
      </c>
      <c r="D46" s="48" t="inlineStr">
        <is>
          <t>인천공항</t>
        </is>
      </c>
      <c r="E46" s="46" t="inlineStr">
        <is>
          <t>ICN</t>
        </is>
      </c>
      <c r="F46" s="48" t="inlineStr">
        <is>
          <t>시애틀공항</t>
        </is>
      </c>
      <c r="G46" s="46" t="inlineStr">
        <is>
          <t>SEA</t>
        </is>
      </c>
      <c r="H46" s="47" t="n">
        <v>44966</v>
      </c>
      <c r="I46" s="52" t="n">
        <v>44969</v>
      </c>
      <c r="J46" s="52" t="n">
        <v>44968</v>
      </c>
      <c r="K46" s="53" t="n">
        <v>164.09</v>
      </c>
    </row>
    <row r="47" ht="15" customHeight="1" s="32">
      <c r="A47" s="46" t="inlineStr">
        <is>
          <t>L-HB-0046</t>
        </is>
      </c>
      <c r="B47" s="46" t="inlineStr">
        <is>
          <t>R-HB-0046</t>
        </is>
      </c>
      <c r="C47" s="48" t="inlineStr">
        <is>
          <t>항공</t>
        </is>
      </c>
      <c r="D47" s="48" t="inlineStr">
        <is>
          <t>인천공항</t>
        </is>
      </c>
      <c r="E47" s="46" t="inlineStr">
        <is>
          <t>ICN</t>
        </is>
      </c>
      <c r="F47" s="48" t="inlineStr">
        <is>
          <t>선전공항</t>
        </is>
      </c>
      <c r="G47" s="46" t="inlineStr">
        <is>
          <t>SZX</t>
        </is>
      </c>
      <c r="H47" s="47" t="n">
        <v>44966</v>
      </c>
      <c r="I47" s="52" t="n">
        <v>44968</v>
      </c>
      <c r="J47" s="52" t="n">
        <v>44968</v>
      </c>
      <c r="K47" s="53" t="n">
        <v>284.52</v>
      </c>
    </row>
    <row r="48" ht="15" customHeight="1" s="32">
      <c r="A48" s="46" t="inlineStr">
        <is>
          <t>L-HB-0047</t>
        </is>
      </c>
      <c r="B48" s="46" t="inlineStr">
        <is>
          <t>R-HB-0047</t>
        </is>
      </c>
      <c r="C48" s="48" t="inlineStr">
        <is>
          <t>해상</t>
        </is>
      </c>
      <c r="D48" s="48" t="inlineStr">
        <is>
          <t>부산항</t>
        </is>
      </c>
      <c r="E48" s="46" t="inlineStr">
        <is>
          <t>KRPUS</t>
        </is>
      </c>
      <c r="F48" s="48" t="inlineStr">
        <is>
          <t>서커우항</t>
        </is>
      </c>
      <c r="G48" s="46" t="inlineStr">
        <is>
          <t>CNSHK</t>
        </is>
      </c>
      <c r="H48" s="47" t="n">
        <v>44966</v>
      </c>
      <c r="I48" s="52" t="n">
        <v>44972</v>
      </c>
      <c r="J48" s="52" t="n">
        <v>44972</v>
      </c>
      <c r="K48" s="53" t="n">
        <v>530</v>
      </c>
    </row>
    <row r="49" ht="15" customHeight="1" s="32">
      <c r="A49" s="46" t="inlineStr">
        <is>
          <t>L-HB-0048</t>
        </is>
      </c>
      <c r="B49" s="46" t="inlineStr">
        <is>
          <t>R-HB-0048</t>
        </is>
      </c>
      <c r="C49" s="48" t="inlineStr">
        <is>
          <t>항공</t>
        </is>
      </c>
      <c r="D49" s="48" t="inlineStr">
        <is>
          <t>인천공항</t>
        </is>
      </c>
      <c r="E49" s="46" t="inlineStr">
        <is>
          <t>ICN</t>
        </is>
      </c>
      <c r="F49" s="48" t="inlineStr">
        <is>
          <t>시애틀공항</t>
        </is>
      </c>
      <c r="G49" s="46" t="inlineStr">
        <is>
          <t>SEA</t>
        </is>
      </c>
      <c r="H49" s="47" t="n">
        <v>44967</v>
      </c>
      <c r="I49" s="52" t="n">
        <v>44970</v>
      </c>
      <c r="J49" s="52" t="n">
        <v>44970</v>
      </c>
      <c r="K49" s="53" t="n">
        <v>253.22</v>
      </c>
    </row>
    <row r="50" ht="15" customHeight="1" s="32">
      <c r="A50" s="46" t="inlineStr">
        <is>
          <t>L-HB-0049</t>
        </is>
      </c>
      <c r="B50" s="46" t="inlineStr">
        <is>
          <t>R-HB-0049</t>
        </is>
      </c>
      <c r="C50" s="48" t="inlineStr">
        <is>
          <t>항공</t>
        </is>
      </c>
      <c r="D50" s="48" t="inlineStr">
        <is>
          <t>인천공항</t>
        </is>
      </c>
      <c r="E50" s="46" t="inlineStr">
        <is>
          <t>ICN</t>
        </is>
      </c>
      <c r="F50" s="48" t="inlineStr">
        <is>
          <t>로스앤젤레스공항</t>
        </is>
      </c>
      <c r="G50" s="46" t="inlineStr">
        <is>
          <t>LAX</t>
        </is>
      </c>
      <c r="H50" s="47" t="n">
        <v>44969</v>
      </c>
      <c r="I50" s="52" t="n">
        <v>44972</v>
      </c>
      <c r="J50" s="52" t="n">
        <v>44972</v>
      </c>
      <c r="K50" s="53" t="n">
        <v>135</v>
      </c>
    </row>
    <row r="51" ht="15" customHeight="1" s="32">
      <c r="A51" s="46" t="inlineStr">
        <is>
          <t>L-HB-0050</t>
        </is>
      </c>
      <c r="B51" s="46" t="inlineStr">
        <is>
          <t>R-HB-0050</t>
        </is>
      </c>
      <c r="C51" s="48" t="inlineStr">
        <is>
          <t>항공</t>
        </is>
      </c>
      <c r="D51" s="48" t="inlineStr">
        <is>
          <t>인천공항</t>
        </is>
      </c>
      <c r="E51" s="46" t="inlineStr">
        <is>
          <t>ICN</t>
        </is>
      </c>
      <c r="F51" s="48" t="inlineStr">
        <is>
          <t>델리공항</t>
        </is>
      </c>
      <c r="G51" s="46" t="inlineStr">
        <is>
          <t>DEL</t>
        </is>
      </c>
      <c r="H51" s="47" t="n">
        <v>44969</v>
      </c>
      <c r="I51" s="52" t="n">
        <v>44973</v>
      </c>
      <c r="J51" s="52" t="n">
        <v>44973</v>
      </c>
      <c r="K51" s="53" t="n">
        <v>135</v>
      </c>
    </row>
    <row r="52" ht="15" customHeight="1" s="32">
      <c r="A52" s="46" t="inlineStr">
        <is>
          <t>L-HB-0051</t>
        </is>
      </c>
      <c r="B52" s="46" t="inlineStr">
        <is>
          <t>R-HB-0051</t>
        </is>
      </c>
      <c r="C52" s="48" t="inlineStr">
        <is>
          <t>항공</t>
        </is>
      </c>
      <c r="D52" s="48" t="inlineStr">
        <is>
          <t>인천공항</t>
        </is>
      </c>
      <c r="E52" s="46" t="inlineStr">
        <is>
          <t>ICN</t>
        </is>
      </c>
      <c r="F52" s="48" t="inlineStr">
        <is>
          <t>하노이공항</t>
        </is>
      </c>
      <c r="G52" s="46" t="inlineStr">
        <is>
          <t>HAN</t>
        </is>
      </c>
      <c r="H52" s="47" t="n">
        <v>44970</v>
      </c>
      <c r="I52" s="52" t="n">
        <v>44972</v>
      </c>
      <c r="J52" s="52" t="n">
        <v>44972</v>
      </c>
      <c r="K52" s="53" t="n">
        <v>222.63</v>
      </c>
    </row>
    <row r="53" ht="15" customHeight="1" s="32">
      <c r="A53" s="46" t="inlineStr">
        <is>
          <t>L-HB-0052</t>
        </is>
      </c>
      <c r="B53" s="46" t="inlineStr">
        <is>
          <t>R-HB-0052</t>
        </is>
      </c>
      <c r="C53" s="48" t="inlineStr">
        <is>
          <t>항공</t>
        </is>
      </c>
      <c r="D53" s="48" t="inlineStr">
        <is>
          <t>인천공항</t>
        </is>
      </c>
      <c r="E53" s="46" t="inlineStr">
        <is>
          <t>ICN</t>
        </is>
      </c>
      <c r="F53" s="48" t="inlineStr">
        <is>
          <t>델리공항</t>
        </is>
      </c>
      <c r="G53" s="46" t="inlineStr">
        <is>
          <t>DEL</t>
        </is>
      </c>
      <c r="H53" s="47" t="n">
        <v>44970</v>
      </c>
      <c r="I53" s="52" t="n">
        <v>44973</v>
      </c>
      <c r="J53" s="52" t="n">
        <v>44973</v>
      </c>
      <c r="K53" s="53" t="n">
        <v>177.4</v>
      </c>
    </row>
    <row r="54" ht="15" customHeight="1" s="32">
      <c r="A54" s="46" t="inlineStr">
        <is>
          <t>L-HB-0053</t>
        </is>
      </c>
      <c r="B54" s="46" t="inlineStr">
        <is>
          <t>R-HB-0053</t>
        </is>
      </c>
      <c r="C54" s="48" t="inlineStr">
        <is>
          <t>항공</t>
        </is>
      </c>
      <c r="D54" s="48" t="inlineStr">
        <is>
          <t>인천공항</t>
        </is>
      </c>
      <c r="E54" s="46" t="inlineStr">
        <is>
          <t>ICN</t>
        </is>
      </c>
      <c r="F54" s="48" t="inlineStr">
        <is>
          <t>델리공항</t>
        </is>
      </c>
      <c r="G54" s="46" t="inlineStr">
        <is>
          <t>DEL</t>
        </is>
      </c>
      <c r="H54" s="47" t="n">
        <v>44970</v>
      </c>
      <c r="I54" s="52" t="n">
        <v>44973</v>
      </c>
      <c r="J54" s="52" t="n">
        <v>44973</v>
      </c>
      <c r="K54" s="53" t="n">
        <v>135</v>
      </c>
    </row>
    <row r="55" ht="15" customHeight="1" s="32">
      <c r="A55" s="46" t="inlineStr">
        <is>
          <t>L-HB-0054</t>
        </is>
      </c>
      <c r="B55" s="46" t="inlineStr">
        <is>
          <t>R-HB-0054</t>
        </is>
      </c>
      <c r="C55" s="48" t="inlineStr">
        <is>
          <t>항공</t>
        </is>
      </c>
      <c r="D55" s="48" t="inlineStr">
        <is>
          <t>인천공항</t>
        </is>
      </c>
      <c r="E55" s="46" t="inlineStr">
        <is>
          <t>ICN</t>
        </is>
      </c>
      <c r="F55" s="48" t="inlineStr">
        <is>
          <t>과달라하라공항</t>
        </is>
      </c>
      <c r="G55" s="46" t="inlineStr">
        <is>
          <t>GDL</t>
        </is>
      </c>
      <c r="H55" s="47" t="n">
        <v>44971</v>
      </c>
      <c r="I55" s="52" t="n">
        <v>44975</v>
      </c>
      <c r="J55" s="52" t="n">
        <v>44976</v>
      </c>
      <c r="K55" s="53" t="n">
        <v>135</v>
      </c>
    </row>
    <row r="56" ht="15" customHeight="1" s="32">
      <c r="A56" s="46" t="inlineStr">
        <is>
          <t>L-HB-0055</t>
        </is>
      </c>
      <c r="B56" s="46" t="inlineStr">
        <is>
          <t>R-HB-0055</t>
        </is>
      </c>
      <c r="C56" s="48" t="inlineStr">
        <is>
          <t>항공</t>
        </is>
      </c>
      <c r="D56" s="48" t="inlineStr">
        <is>
          <t>인천공항</t>
        </is>
      </c>
      <c r="E56" s="46" t="inlineStr">
        <is>
          <t>ICN</t>
        </is>
      </c>
      <c r="F56" s="48" t="inlineStr">
        <is>
          <t>로스앤젤레스공항</t>
        </is>
      </c>
      <c r="G56" s="46" t="inlineStr">
        <is>
          <t>LAX</t>
        </is>
      </c>
      <c r="H56" s="47" t="n">
        <v>44973</v>
      </c>
      <c r="I56" s="52" t="n">
        <v>44976</v>
      </c>
      <c r="J56" s="52" t="n">
        <v>44976</v>
      </c>
      <c r="K56" s="53" t="n">
        <v>224.81</v>
      </c>
    </row>
    <row r="57" ht="15" customHeight="1" s="32">
      <c r="A57" s="46" t="inlineStr">
        <is>
          <t>L-HB-0056</t>
        </is>
      </c>
      <c r="B57" s="46" t="inlineStr">
        <is>
          <t>R-HB-0056</t>
        </is>
      </c>
      <c r="C57" s="48" t="inlineStr">
        <is>
          <t>항공</t>
        </is>
      </c>
      <c r="D57" s="48" t="inlineStr">
        <is>
          <t>인천공항</t>
        </is>
      </c>
      <c r="E57" s="46" t="inlineStr">
        <is>
          <t>ICN</t>
        </is>
      </c>
      <c r="F57" s="48" t="inlineStr">
        <is>
          <t>시애틀공항</t>
        </is>
      </c>
      <c r="G57" s="46" t="inlineStr">
        <is>
          <t>SEA</t>
        </is>
      </c>
      <c r="H57" s="47" t="n">
        <v>44973</v>
      </c>
      <c r="I57" s="52" t="n">
        <v>44975</v>
      </c>
      <c r="J57" s="52" t="n">
        <v>44975</v>
      </c>
      <c r="K57" s="53" t="n">
        <v>135</v>
      </c>
    </row>
    <row r="58" ht="15" customHeight="1" s="32">
      <c r="A58" s="46" t="inlineStr">
        <is>
          <t>L-HB-0057</t>
        </is>
      </c>
      <c r="B58" s="46" t="inlineStr">
        <is>
          <t>R-HB-0057</t>
        </is>
      </c>
      <c r="C58" s="48" t="inlineStr">
        <is>
          <t>항공</t>
        </is>
      </c>
      <c r="D58" s="48" t="inlineStr">
        <is>
          <t>인천공항</t>
        </is>
      </c>
      <c r="E58" s="46" t="inlineStr">
        <is>
          <t>ICN</t>
        </is>
      </c>
      <c r="F58" s="48" t="inlineStr">
        <is>
          <t>로스앤젤레스공항</t>
        </is>
      </c>
      <c r="G58" s="46" t="inlineStr">
        <is>
          <t>LAX</t>
        </is>
      </c>
      <c r="H58" s="47" t="n">
        <v>44975</v>
      </c>
      <c r="I58" s="52" t="n">
        <v>44978</v>
      </c>
      <c r="J58" s="52" t="n">
        <v>44977</v>
      </c>
      <c r="K58" s="53" t="n">
        <v>149.7</v>
      </c>
    </row>
    <row r="59" ht="15" customHeight="1" s="32">
      <c r="A59" s="46" t="inlineStr">
        <is>
          <t>L-HB-0058</t>
        </is>
      </c>
      <c r="B59" s="46" t="inlineStr">
        <is>
          <t>R-HB-0058</t>
        </is>
      </c>
      <c r="C59" s="48" t="inlineStr">
        <is>
          <t>항공</t>
        </is>
      </c>
      <c r="D59" s="48" t="inlineStr">
        <is>
          <t>인천공항</t>
        </is>
      </c>
      <c r="E59" s="46" t="inlineStr">
        <is>
          <t>ICN</t>
        </is>
      </c>
      <c r="F59" s="48" t="inlineStr">
        <is>
          <t>시애틀공항</t>
        </is>
      </c>
      <c r="G59" s="46" t="inlineStr">
        <is>
          <t>SEA</t>
        </is>
      </c>
      <c r="H59" s="47" t="n">
        <v>44975</v>
      </c>
      <c r="I59" s="52" t="n">
        <v>44979</v>
      </c>
      <c r="J59" s="52" t="n">
        <v>44979</v>
      </c>
      <c r="K59" s="53" t="n">
        <v>135</v>
      </c>
    </row>
    <row r="60" ht="15" customHeight="1" s="32">
      <c r="A60" s="46" t="inlineStr">
        <is>
          <t>L-HB-0059</t>
        </is>
      </c>
      <c r="B60" s="46" t="inlineStr">
        <is>
          <t>R-HB-0059</t>
        </is>
      </c>
      <c r="C60" s="48" t="inlineStr">
        <is>
          <t>항공</t>
        </is>
      </c>
      <c r="D60" s="48" t="inlineStr">
        <is>
          <t>인천공항</t>
        </is>
      </c>
      <c r="E60" s="46" t="inlineStr">
        <is>
          <t>ICN</t>
        </is>
      </c>
      <c r="F60" s="48" t="inlineStr">
        <is>
          <t>토론토공항</t>
        </is>
      </c>
      <c r="G60" s="46" t="inlineStr">
        <is>
          <t>YYZ</t>
        </is>
      </c>
      <c r="H60" s="47" t="n">
        <v>44975</v>
      </c>
      <c r="I60" s="52" t="n">
        <v>44979</v>
      </c>
      <c r="J60" s="52" t="n">
        <v>44979</v>
      </c>
      <c r="K60" s="53" t="n">
        <v>135</v>
      </c>
    </row>
    <row r="61" ht="15" customHeight="1" s="32">
      <c r="A61" s="46" t="inlineStr">
        <is>
          <t>L-HB-0060</t>
        </is>
      </c>
      <c r="B61" s="46" t="inlineStr">
        <is>
          <t>R-HB-0060</t>
        </is>
      </c>
      <c r="C61" s="48" t="inlineStr">
        <is>
          <t>항공</t>
        </is>
      </c>
      <c r="D61" s="48" t="inlineStr">
        <is>
          <t>인천공항</t>
        </is>
      </c>
      <c r="E61" s="46" t="inlineStr">
        <is>
          <t>ICN</t>
        </is>
      </c>
      <c r="F61" s="48" t="inlineStr">
        <is>
          <t>충칭공항</t>
        </is>
      </c>
      <c r="G61" s="46" t="inlineStr">
        <is>
          <t>CKG</t>
        </is>
      </c>
      <c r="H61" s="47" t="n">
        <v>44975</v>
      </c>
      <c r="I61" s="52" t="n">
        <v>44976</v>
      </c>
      <c r="J61" s="52" t="n">
        <v>44975</v>
      </c>
      <c r="K61" s="53" t="n">
        <v>135</v>
      </c>
    </row>
    <row r="62" ht="15" customHeight="1" s="32">
      <c r="A62" s="46" t="inlineStr">
        <is>
          <t>L-HB-0061</t>
        </is>
      </c>
      <c r="B62" s="46" t="inlineStr">
        <is>
          <t>R-HB-0061</t>
        </is>
      </c>
      <c r="C62" s="48" t="inlineStr">
        <is>
          <t>항공</t>
        </is>
      </c>
      <c r="D62" s="48" t="inlineStr">
        <is>
          <t>인천공항</t>
        </is>
      </c>
      <c r="E62" s="46" t="inlineStr">
        <is>
          <t>ICN</t>
        </is>
      </c>
      <c r="F62" s="48" t="inlineStr">
        <is>
          <t>프랑크푸르트공항</t>
        </is>
      </c>
      <c r="G62" s="46" t="inlineStr">
        <is>
          <t>FRA</t>
        </is>
      </c>
      <c r="H62" s="47" t="n">
        <v>44976</v>
      </c>
      <c r="I62" s="52" t="n">
        <v>44979</v>
      </c>
      <c r="J62" s="52" t="n">
        <v>44979</v>
      </c>
      <c r="K62" s="53" t="n">
        <v>448.36</v>
      </c>
    </row>
    <row r="63" ht="15" customHeight="1" s="32">
      <c r="A63" s="46" t="inlineStr">
        <is>
          <t>L-HB-0062</t>
        </is>
      </c>
      <c r="B63" s="46" t="inlineStr">
        <is>
          <t>R-HB-0062</t>
        </is>
      </c>
      <c r="C63" s="48" t="inlineStr">
        <is>
          <t>해상</t>
        </is>
      </c>
      <c r="D63" s="48" t="inlineStr">
        <is>
          <t>부산항</t>
        </is>
      </c>
      <c r="E63" s="46" t="inlineStr">
        <is>
          <t>KRPUS</t>
        </is>
      </c>
      <c r="F63" s="48" t="inlineStr">
        <is>
          <t>상하이항</t>
        </is>
      </c>
      <c r="G63" s="46" t="inlineStr">
        <is>
          <t>CNSHA</t>
        </is>
      </c>
      <c r="H63" s="47" t="n">
        <v>44976</v>
      </c>
      <c r="I63" s="52" t="n">
        <v>44981</v>
      </c>
      <c r="J63" s="52" t="n">
        <v>44981</v>
      </c>
      <c r="K63" s="53" t="n">
        <v>530</v>
      </c>
    </row>
    <row r="64" ht="15" customHeight="1" s="32">
      <c r="A64" s="46" t="inlineStr">
        <is>
          <t>L-HB-0063</t>
        </is>
      </c>
      <c r="B64" s="46" t="inlineStr">
        <is>
          <t>R-HB-0063</t>
        </is>
      </c>
      <c r="C64" s="48" t="inlineStr">
        <is>
          <t>항공</t>
        </is>
      </c>
      <c r="D64" s="48" t="inlineStr">
        <is>
          <t>인천공항</t>
        </is>
      </c>
      <c r="E64" s="46" t="inlineStr">
        <is>
          <t>ICN</t>
        </is>
      </c>
      <c r="F64" s="48" t="inlineStr">
        <is>
          <t>토론토공항</t>
        </is>
      </c>
      <c r="G64" s="46" t="inlineStr">
        <is>
          <t>YYZ</t>
        </is>
      </c>
      <c r="H64" s="47" t="n">
        <v>44977</v>
      </c>
      <c r="I64" s="52" t="n">
        <v>44980</v>
      </c>
      <c r="J64" s="52" t="n">
        <v>44980</v>
      </c>
      <c r="K64" s="53" t="n">
        <v>135</v>
      </c>
    </row>
    <row r="65" ht="15" customHeight="1" s="32">
      <c r="A65" s="46" t="inlineStr">
        <is>
          <t>L-HB-0064</t>
        </is>
      </c>
      <c r="B65" s="46" t="inlineStr">
        <is>
          <t>R-HB-0064</t>
        </is>
      </c>
      <c r="C65" s="48" t="inlineStr">
        <is>
          <t>항공</t>
        </is>
      </c>
      <c r="D65" s="48" t="inlineStr">
        <is>
          <t>인천공항</t>
        </is>
      </c>
      <c r="E65" s="46" t="inlineStr">
        <is>
          <t>ICN</t>
        </is>
      </c>
      <c r="F65" s="48" t="inlineStr">
        <is>
          <t>프랑크푸르트공항</t>
        </is>
      </c>
      <c r="G65" s="46" t="inlineStr">
        <is>
          <t>FRA</t>
        </is>
      </c>
      <c r="H65" s="47" t="n">
        <v>44977</v>
      </c>
      <c r="I65" s="52" t="n">
        <v>44981</v>
      </c>
      <c r="J65" s="52" t="n">
        <v>44980</v>
      </c>
      <c r="K65" s="53" t="n">
        <v>163.94</v>
      </c>
    </row>
    <row r="66" ht="15" customHeight="1" s="32">
      <c r="A66" s="46" t="inlineStr">
        <is>
          <t>L-HB-0065</t>
        </is>
      </c>
      <c r="B66" s="46" t="inlineStr">
        <is>
          <t>R-HB-0065</t>
        </is>
      </c>
      <c r="C66" s="48" t="inlineStr">
        <is>
          <t>항공</t>
        </is>
      </c>
      <c r="D66" s="48" t="inlineStr">
        <is>
          <t>인천공항</t>
        </is>
      </c>
      <c r="E66" s="46" t="inlineStr">
        <is>
          <t>ICN</t>
        </is>
      </c>
      <c r="F66" s="48" t="inlineStr">
        <is>
          <t>로스앤젤레스공항</t>
        </is>
      </c>
      <c r="G66" s="46" t="inlineStr">
        <is>
          <t>LAX</t>
        </is>
      </c>
      <c r="H66" s="47" t="n">
        <v>44978</v>
      </c>
      <c r="I66" s="52" t="n">
        <v>44982</v>
      </c>
      <c r="J66" s="52" t="n">
        <v>44982</v>
      </c>
      <c r="K66" s="53" t="n">
        <v>382.82</v>
      </c>
    </row>
    <row r="67" ht="15" customHeight="1" s="32">
      <c r="A67" s="46" t="inlineStr">
        <is>
          <t>L-HB-0066</t>
        </is>
      </c>
      <c r="B67" s="46" t="inlineStr">
        <is>
          <t>R-HB-0066</t>
        </is>
      </c>
      <c r="C67" s="48" t="inlineStr">
        <is>
          <t>항공</t>
        </is>
      </c>
      <c r="D67" s="48" t="inlineStr">
        <is>
          <t>인천공항</t>
        </is>
      </c>
      <c r="E67" s="46" t="inlineStr">
        <is>
          <t>ICN</t>
        </is>
      </c>
      <c r="F67" s="48" t="inlineStr">
        <is>
          <t>과달라하라공항</t>
        </is>
      </c>
      <c r="G67" s="46" t="inlineStr">
        <is>
          <t>GDL</t>
        </is>
      </c>
      <c r="H67" s="47" t="n">
        <v>44980</v>
      </c>
      <c r="I67" s="52" t="n">
        <v>44983</v>
      </c>
      <c r="J67" s="52" t="n">
        <v>44983</v>
      </c>
      <c r="K67" s="53" t="n">
        <v>135</v>
      </c>
    </row>
    <row r="68" ht="15" customHeight="1" s="32">
      <c r="A68" s="46" t="inlineStr">
        <is>
          <t>L-HB-0067</t>
        </is>
      </c>
      <c r="B68" s="46" t="inlineStr">
        <is>
          <t>R-HB-0067</t>
        </is>
      </c>
      <c r="C68" s="48" t="inlineStr">
        <is>
          <t>항공</t>
        </is>
      </c>
      <c r="D68" s="48" t="inlineStr">
        <is>
          <t>인천공항</t>
        </is>
      </c>
      <c r="E68" s="46" t="inlineStr">
        <is>
          <t>ICN</t>
        </is>
      </c>
      <c r="F68" s="48" t="inlineStr">
        <is>
          <t>선전공항</t>
        </is>
      </c>
      <c r="G68" s="46" t="inlineStr">
        <is>
          <t>SZX</t>
        </is>
      </c>
      <c r="H68" s="47" t="n">
        <v>44980</v>
      </c>
      <c r="I68" s="52" t="n">
        <v>44983</v>
      </c>
      <c r="J68" s="52" t="n">
        <v>44983</v>
      </c>
      <c r="K68" s="53" t="n">
        <v>135</v>
      </c>
    </row>
    <row r="69" ht="15" customHeight="1" s="32">
      <c r="A69" s="46" t="inlineStr">
        <is>
          <t>L-HB-0068</t>
        </is>
      </c>
      <c r="B69" s="46" t="inlineStr">
        <is>
          <t>R-HB-0068</t>
        </is>
      </c>
      <c r="C69" s="48" t="inlineStr">
        <is>
          <t>항공</t>
        </is>
      </c>
      <c r="D69" s="48" t="inlineStr">
        <is>
          <t>인천공항</t>
        </is>
      </c>
      <c r="E69" s="46" t="inlineStr">
        <is>
          <t>ICN</t>
        </is>
      </c>
      <c r="F69" s="48" t="inlineStr">
        <is>
          <t>선전공항</t>
        </is>
      </c>
      <c r="G69" s="46" t="inlineStr">
        <is>
          <t>SZX</t>
        </is>
      </c>
      <c r="H69" s="47" t="n">
        <v>44981</v>
      </c>
      <c r="I69" s="52" t="n">
        <v>44983</v>
      </c>
      <c r="J69" s="52" t="n">
        <v>44983</v>
      </c>
      <c r="K69" s="53" t="n">
        <v>135</v>
      </c>
    </row>
    <row r="70" ht="15" customHeight="1" s="32">
      <c r="A70" s="46" t="inlineStr">
        <is>
          <t>L-HB-0069</t>
        </is>
      </c>
      <c r="B70" s="46" t="inlineStr">
        <is>
          <t>R-HB-0069</t>
        </is>
      </c>
      <c r="C70" s="48" t="inlineStr">
        <is>
          <t>항공</t>
        </is>
      </c>
      <c r="D70" s="48" t="inlineStr">
        <is>
          <t>인천공항</t>
        </is>
      </c>
      <c r="E70" s="46" t="inlineStr">
        <is>
          <t>ICN</t>
        </is>
      </c>
      <c r="F70" s="48" t="inlineStr">
        <is>
          <t>충칭공항</t>
        </is>
      </c>
      <c r="G70" s="46" t="inlineStr">
        <is>
          <t>CKG</t>
        </is>
      </c>
      <c r="H70" s="47" t="n">
        <v>44982</v>
      </c>
      <c r="I70" s="52" t="n">
        <v>44985</v>
      </c>
      <c r="J70" s="52" t="n">
        <v>44984</v>
      </c>
      <c r="K70" s="53" t="n">
        <v>135</v>
      </c>
    </row>
    <row r="71" ht="15" customHeight="1" s="32">
      <c r="A71" s="46" t="inlineStr">
        <is>
          <t>L-HB-0070</t>
        </is>
      </c>
      <c r="B71" s="46" t="inlineStr">
        <is>
          <t>R-HB-0070</t>
        </is>
      </c>
      <c r="C71" s="48" t="inlineStr">
        <is>
          <t>해상</t>
        </is>
      </c>
      <c r="D71" s="48" t="inlineStr">
        <is>
          <t>부산항</t>
        </is>
      </c>
      <c r="E71" s="46" t="inlineStr">
        <is>
          <t>KRPUS</t>
        </is>
      </c>
      <c r="F71" s="48" t="inlineStr">
        <is>
          <t>하이퐁항</t>
        </is>
      </c>
      <c r="G71" s="46" t="inlineStr">
        <is>
          <t>VNHPH</t>
        </is>
      </c>
      <c r="H71" s="47" t="n">
        <v>44983</v>
      </c>
      <c r="I71" s="52" t="n">
        <v>44993</v>
      </c>
      <c r="J71" s="52" t="n">
        <v>44991</v>
      </c>
      <c r="K71" s="53" t="n">
        <v>530</v>
      </c>
    </row>
    <row r="72" ht="15" customHeight="1" s="32">
      <c r="A72" s="46" t="inlineStr">
        <is>
          <t>L-HB-0071</t>
        </is>
      </c>
      <c r="B72" s="46" t="inlineStr">
        <is>
          <t>R-HB-0071</t>
        </is>
      </c>
      <c r="C72" s="48" t="inlineStr">
        <is>
          <t>항공</t>
        </is>
      </c>
      <c r="D72" s="48" t="inlineStr">
        <is>
          <t>인천공항</t>
        </is>
      </c>
      <c r="E72" s="46" t="inlineStr">
        <is>
          <t>ICN</t>
        </is>
      </c>
      <c r="F72" s="48" t="inlineStr">
        <is>
          <t>과달라하라공항</t>
        </is>
      </c>
      <c r="G72" s="46" t="inlineStr">
        <is>
          <t>GDL</t>
        </is>
      </c>
      <c r="H72" s="47" t="n">
        <v>44984</v>
      </c>
      <c r="I72" s="52" t="n">
        <v>44989</v>
      </c>
      <c r="J72" s="52" t="n">
        <v>44989</v>
      </c>
      <c r="K72" s="53" t="n">
        <v>135</v>
      </c>
    </row>
    <row r="73" ht="15" customHeight="1" s="32">
      <c r="A73" s="46" t="inlineStr">
        <is>
          <t>L-HB-0072</t>
        </is>
      </c>
      <c r="B73" s="46" t="inlineStr">
        <is>
          <t>R-HB-0072</t>
        </is>
      </c>
      <c r="C73" s="48" t="inlineStr">
        <is>
          <t>항공</t>
        </is>
      </c>
      <c r="D73" s="48" t="inlineStr">
        <is>
          <t>인천공항</t>
        </is>
      </c>
      <c r="E73" s="46" t="inlineStr">
        <is>
          <t>ICN</t>
        </is>
      </c>
      <c r="F73" s="48" t="inlineStr">
        <is>
          <t>프랑크푸르트공항</t>
        </is>
      </c>
      <c r="G73" s="46" t="inlineStr">
        <is>
          <t>FRA</t>
        </is>
      </c>
      <c r="H73" s="47" t="n">
        <v>44984</v>
      </c>
      <c r="I73" s="52" t="n">
        <v>44988</v>
      </c>
      <c r="J73" s="52" t="n">
        <v>44988</v>
      </c>
      <c r="K73" s="53" t="n">
        <v>135</v>
      </c>
    </row>
    <row r="74" ht="15" customHeight="1" s="32">
      <c r="A74" s="46" t="inlineStr">
        <is>
          <t>L-HB-0073</t>
        </is>
      </c>
      <c r="B74" s="46" t="inlineStr">
        <is>
          <t>R-HB-0073</t>
        </is>
      </c>
      <c r="C74" s="48" t="inlineStr">
        <is>
          <t>항공</t>
        </is>
      </c>
      <c r="D74" s="48" t="inlineStr">
        <is>
          <t>인천공항</t>
        </is>
      </c>
      <c r="E74" s="46" t="inlineStr">
        <is>
          <t>ICN</t>
        </is>
      </c>
      <c r="F74" s="48" t="inlineStr">
        <is>
          <t>시애틀공항</t>
        </is>
      </c>
      <c r="G74" s="46" t="inlineStr">
        <is>
          <t>SEA</t>
        </is>
      </c>
      <c r="H74" s="47" t="n">
        <v>44988</v>
      </c>
      <c r="I74" s="52" t="n">
        <v>44990</v>
      </c>
      <c r="J74" s="52" t="n">
        <v>44990</v>
      </c>
      <c r="K74" s="53" t="n">
        <v>139.13</v>
      </c>
    </row>
    <row r="75" ht="15" customHeight="1" s="32">
      <c r="A75" s="46" t="inlineStr">
        <is>
          <t>L-HB-0074</t>
        </is>
      </c>
      <c r="B75" s="46" t="inlineStr">
        <is>
          <t>R-HB-0074</t>
        </is>
      </c>
      <c r="C75" s="48" t="inlineStr">
        <is>
          <t>항공</t>
        </is>
      </c>
      <c r="D75" s="48" t="inlineStr">
        <is>
          <t>인천공항</t>
        </is>
      </c>
      <c r="E75" s="46" t="inlineStr">
        <is>
          <t>ICN</t>
        </is>
      </c>
      <c r="F75" s="48" t="inlineStr">
        <is>
          <t>토론토공항</t>
        </is>
      </c>
      <c r="G75" s="46" t="inlineStr">
        <is>
          <t>YYZ</t>
        </is>
      </c>
      <c r="H75" s="47" t="n">
        <v>44988</v>
      </c>
      <c r="I75" s="52" t="n">
        <v>44993</v>
      </c>
      <c r="J75" s="52" t="n">
        <v>44993</v>
      </c>
      <c r="K75" s="53" t="n">
        <v>135</v>
      </c>
    </row>
    <row r="76" ht="15" customHeight="1" s="32">
      <c r="A76" s="46" t="inlineStr">
        <is>
          <t>L-HB-0075</t>
        </is>
      </c>
      <c r="B76" s="46" t="inlineStr">
        <is>
          <t>R-HB-0075</t>
        </is>
      </c>
      <c r="C76" s="48" t="inlineStr">
        <is>
          <t>항공</t>
        </is>
      </c>
      <c r="D76" s="48" t="inlineStr">
        <is>
          <t>인천공항</t>
        </is>
      </c>
      <c r="E76" s="46" t="inlineStr">
        <is>
          <t>ICN</t>
        </is>
      </c>
      <c r="F76" s="48" t="inlineStr">
        <is>
          <t>선전공항</t>
        </is>
      </c>
      <c r="G76" s="46" t="inlineStr">
        <is>
          <t>SZX</t>
        </is>
      </c>
      <c r="H76" s="47" t="n">
        <v>44988</v>
      </c>
      <c r="I76" s="52" t="n">
        <v>44990</v>
      </c>
      <c r="J76" s="52" t="n">
        <v>44990</v>
      </c>
      <c r="K76" s="53" t="n">
        <v>245.2</v>
      </c>
    </row>
    <row r="77" ht="15" customHeight="1" s="32">
      <c r="A77" s="46" t="inlineStr">
        <is>
          <t>L-HB-0076</t>
        </is>
      </c>
      <c r="B77" s="46" t="inlineStr">
        <is>
          <t>R-HB-0076</t>
        </is>
      </c>
      <c r="C77" s="48" t="inlineStr">
        <is>
          <t>항공</t>
        </is>
      </c>
      <c r="D77" s="48" t="inlineStr">
        <is>
          <t>인천공항</t>
        </is>
      </c>
      <c r="E77" s="46" t="inlineStr">
        <is>
          <t>ICN</t>
        </is>
      </c>
      <c r="F77" s="48" t="inlineStr">
        <is>
          <t>충칭공항</t>
        </is>
      </c>
      <c r="G77" s="46" t="inlineStr">
        <is>
          <t>CKG</t>
        </is>
      </c>
      <c r="H77" s="47" t="n">
        <v>44990</v>
      </c>
      <c r="I77" s="52" t="n">
        <v>44991</v>
      </c>
      <c r="J77" s="52" t="n">
        <v>44992</v>
      </c>
      <c r="K77" s="53" t="n">
        <v>197.87</v>
      </c>
    </row>
    <row r="78" ht="15" customHeight="1" s="32">
      <c r="A78" s="46" t="inlineStr">
        <is>
          <t>L-HB-0077</t>
        </is>
      </c>
      <c r="B78" s="46" t="inlineStr">
        <is>
          <t>R-HB-0077</t>
        </is>
      </c>
      <c r="C78" s="48" t="inlineStr">
        <is>
          <t>항공</t>
        </is>
      </c>
      <c r="D78" s="48" t="inlineStr">
        <is>
          <t>인천공항</t>
        </is>
      </c>
      <c r="E78" s="46" t="inlineStr">
        <is>
          <t>ICN</t>
        </is>
      </c>
      <c r="F78" s="48" t="inlineStr">
        <is>
          <t>토론토공항</t>
        </is>
      </c>
      <c r="G78" s="46" t="inlineStr">
        <is>
          <t>YYZ</t>
        </is>
      </c>
      <c r="H78" s="47" t="n">
        <v>44991</v>
      </c>
      <c r="I78" s="52" t="n">
        <v>44996</v>
      </c>
      <c r="J78" s="52" t="n">
        <v>44996</v>
      </c>
      <c r="K78" s="53" t="n">
        <v>135</v>
      </c>
    </row>
    <row r="79" ht="15" customHeight="1" s="32">
      <c r="A79" s="46" t="inlineStr">
        <is>
          <t>L-HB-0078</t>
        </is>
      </c>
      <c r="B79" s="46" t="inlineStr">
        <is>
          <t>R-HB-0078</t>
        </is>
      </c>
      <c r="C79" s="48" t="inlineStr">
        <is>
          <t>항공</t>
        </is>
      </c>
      <c r="D79" s="48" t="inlineStr">
        <is>
          <t>인천공항</t>
        </is>
      </c>
      <c r="E79" s="46" t="inlineStr">
        <is>
          <t>ICN</t>
        </is>
      </c>
      <c r="F79" s="48" t="inlineStr">
        <is>
          <t>로스앤젤레스공항</t>
        </is>
      </c>
      <c r="G79" s="46" t="inlineStr">
        <is>
          <t>LAX</t>
        </is>
      </c>
      <c r="H79" s="47" t="n">
        <v>44992</v>
      </c>
      <c r="I79" s="52" t="n">
        <v>44994</v>
      </c>
      <c r="J79" s="52" t="n">
        <v>44994</v>
      </c>
      <c r="K79" s="53" t="n">
        <v>148.37</v>
      </c>
    </row>
    <row r="80" ht="15" customHeight="1" s="32">
      <c r="A80" s="46" t="inlineStr">
        <is>
          <t>L-HB-0079</t>
        </is>
      </c>
      <c r="B80" s="46" t="inlineStr">
        <is>
          <t>R-HB-0079</t>
        </is>
      </c>
      <c r="C80" s="48" t="inlineStr">
        <is>
          <t>항공</t>
        </is>
      </c>
      <c r="D80" s="48" t="inlineStr">
        <is>
          <t>인천공항</t>
        </is>
      </c>
      <c r="E80" s="46" t="inlineStr">
        <is>
          <t>ICN</t>
        </is>
      </c>
      <c r="F80" s="48" t="inlineStr">
        <is>
          <t>델리공항</t>
        </is>
      </c>
      <c r="G80" s="46" t="inlineStr">
        <is>
          <t>DEL</t>
        </is>
      </c>
      <c r="H80" s="47" t="n">
        <v>44992</v>
      </c>
      <c r="I80" s="52" t="n">
        <v>44994</v>
      </c>
      <c r="J80" s="52" t="n">
        <v>44996</v>
      </c>
      <c r="K80" s="53" t="n">
        <v>135</v>
      </c>
    </row>
    <row r="81" ht="15" customHeight="1" s="32">
      <c r="A81" s="46" t="inlineStr">
        <is>
          <t>L-HB-0080</t>
        </is>
      </c>
      <c r="B81" s="46" t="inlineStr">
        <is>
          <t>R-HB-0080</t>
        </is>
      </c>
      <c r="C81" s="48" t="inlineStr">
        <is>
          <t>항공</t>
        </is>
      </c>
      <c r="D81" s="48" t="inlineStr">
        <is>
          <t>인천공항</t>
        </is>
      </c>
      <c r="E81" s="46" t="inlineStr">
        <is>
          <t>ICN</t>
        </is>
      </c>
      <c r="F81" s="48" t="inlineStr">
        <is>
          <t>충칭공항</t>
        </is>
      </c>
      <c r="G81" s="46" t="inlineStr">
        <is>
          <t>CKG</t>
        </is>
      </c>
      <c r="H81" s="47" t="n">
        <v>44993</v>
      </c>
      <c r="I81" s="52" t="n">
        <v>44995</v>
      </c>
      <c r="J81" s="52" t="n">
        <v>44994</v>
      </c>
      <c r="K81" s="53" t="n">
        <v>135</v>
      </c>
    </row>
    <row r="82" ht="15" customHeight="1" s="32">
      <c r="A82" s="46" t="inlineStr">
        <is>
          <t>L-HB-0081</t>
        </is>
      </c>
      <c r="B82" s="46" t="inlineStr">
        <is>
          <t>R-HB-0081</t>
        </is>
      </c>
      <c r="C82" s="48" t="inlineStr">
        <is>
          <t>항공</t>
        </is>
      </c>
      <c r="D82" s="48" t="inlineStr">
        <is>
          <t>인천공항</t>
        </is>
      </c>
      <c r="E82" s="46" t="inlineStr">
        <is>
          <t>ICN</t>
        </is>
      </c>
      <c r="F82" s="48" t="inlineStr">
        <is>
          <t>과달라하라공항</t>
        </is>
      </c>
      <c r="G82" s="46" t="inlineStr">
        <is>
          <t>GDL</t>
        </is>
      </c>
      <c r="H82" s="47" t="n">
        <v>44994</v>
      </c>
      <c r="I82" s="52" t="n">
        <v>44998</v>
      </c>
      <c r="J82" s="52" t="n">
        <v>44997</v>
      </c>
      <c r="K82" s="53" t="n">
        <v>135</v>
      </c>
    </row>
    <row r="83" ht="15" customHeight="1" s="32">
      <c r="A83" s="46" t="inlineStr">
        <is>
          <t>L-HB-0082</t>
        </is>
      </c>
      <c r="B83" s="46" t="inlineStr">
        <is>
          <t>R-HB-0082</t>
        </is>
      </c>
      <c r="C83" s="48" t="inlineStr">
        <is>
          <t>항공</t>
        </is>
      </c>
      <c r="D83" s="48" t="inlineStr">
        <is>
          <t>인천공항</t>
        </is>
      </c>
      <c r="E83" s="46" t="inlineStr">
        <is>
          <t>ICN</t>
        </is>
      </c>
      <c r="F83" s="48" t="inlineStr">
        <is>
          <t>델리공항</t>
        </is>
      </c>
      <c r="G83" s="46" t="inlineStr">
        <is>
          <t>DEL</t>
        </is>
      </c>
      <c r="H83" s="47" t="n">
        <v>44994</v>
      </c>
      <c r="I83" s="52" t="n">
        <v>44996</v>
      </c>
      <c r="J83" s="52" t="n">
        <v>44996</v>
      </c>
      <c r="K83" s="53" t="n">
        <v>135</v>
      </c>
    </row>
    <row r="84" ht="15" customHeight="1" s="32">
      <c r="A84" s="46" t="inlineStr">
        <is>
          <t>L-HB-0083</t>
        </is>
      </c>
      <c r="B84" s="46" t="inlineStr">
        <is>
          <t>R-HB-0083</t>
        </is>
      </c>
      <c r="C84" s="48" t="inlineStr">
        <is>
          <t>항공</t>
        </is>
      </c>
      <c r="D84" s="48" t="inlineStr">
        <is>
          <t>인천공항</t>
        </is>
      </c>
      <c r="E84" s="46" t="inlineStr">
        <is>
          <t>ICN</t>
        </is>
      </c>
      <c r="F84" s="48" t="inlineStr">
        <is>
          <t>충칭공항</t>
        </is>
      </c>
      <c r="G84" s="46" t="inlineStr">
        <is>
          <t>CKG</t>
        </is>
      </c>
      <c r="H84" s="47" t="n">
        <v>44996</v>
      </c>
      <c r="I84" s="52" t="n">
        <v>44999</v>
      </c>
      <c r="J84" s="52" t="n">
        <v>44999</v>
      </c>
      <c r="K84" s="53" t="n">
        <v>135</v>
      </c>
    </row>
    <row r="85" ht="15" customHeight="1" s="32">
      <c r="A85" s="46" t="inlineStr">
        <is>
          <t>L-HB-0084</t>
        </is>
      </c>
      <c r="B85" s="46" t="inlineStr">
        <is>
          <t>R-HB-0084</t>
        </is>
      </c>
      <c r="C85" s="48" t="inlineStr">
        <is>
          <t>항공</t>
        </is>
      </c>
      <c r="D85" s="48" t="inlineStr">
        <is>
          <t>인천공항</t>
        </is>
      </c>
      <c r="E85" s="46" t="inlineStr">
        <is>
          <t>ICN</t>
        </is>
      </c>
      <c r="F85" s="48" t="inlineStr">
        <is>
          <t>로스앤젤레스공항</t>
        </is>
      </c>
      <c r="G85" s="46" t="inlineStr">
        <is>
          <t>LAX</t>
        </is>
      </c>
      <c r="H85" s="47" t="n">
        <v>44998</v>
      </c>
      <c r="I85" s="52" t="n">
        <v>45000</v>
      </c>
      <c r="J85" s="52" t="n">
        <v>45000</v>
      </c>
      <c r="K85" s="53" t="n">
        <v>135</v>
      </c>
    </row>
    <row r="86" ht="15" customHeight="1" s="32">
      <c r="A86" s="46" t="inlineStr">
        <is>
          <t>L-HB-0085</t>
        </is>
      </c>
      <c r="B86" s="46" t="inlineStr">
        <is>
          <t>R-HB-0085</t>
        </is>
      </c>
      <c r="C86" s="48" t="inlineStr">
        <is>
          <t>항공</t>
        </is>
      </c>
      <c r="D86" s="48" t="inlineStr">
        <is>
          <t>인천공항</t>
        </is>
      </c>
      <c r="E86" s="46" t="inlineStr">
        <is>
          <t>ICN</t>
        </is>
      </c>
      <c r="F86" s="48" t="inlineStr">
        <is>
          <t>프랑크푸르트공항</t>
        </is>
      </c>
      <c r="G86" s="46" t="inlineStr">
        <is>
          <t>FRA</t>
        </is>
      </c>
      <c r="H86" s="47" t="n">
        <v>44998</v>
      </c>
      <c r="I86" s="52" t="n">
        <v>45001</v>
      </c>
      <c r="J86" s="52" t="n">
        <v>45003</v>
      </c>
      <c r="K86" s="53" t="n">
        <v>432.08</v>
      </c>
    </row>
    <row r="87" ht="15" customHeight="1" s="32">
      <c r="A87" s="46" t="inlineStr">
        <is>
          <t>L-HB-0086</t>
        </is>
      </c>
      <c r="B87" s="46" t="inlineStr">
        <is>
          <t>R-HB-0086</t>
        </is>
      </c>
      <c r="C87" s="48" t="inlineStr">
        <is>
          <t>항공</t>
        </is>
      </c>
      <c r="D87" s="48" t="inlineStr">
        <is>
          <t>인천공항</t>
        </is>
      </c>
      <c r="E87" s="46" t="inlineStr">
        <is>
          <t>ICN</t>
        </is>
      </c>
      <c r="F87" s="48" t="inlineStr">
        <is>
          <t>하노이공항</t>
        </is>
      </c>
      <c r="G87" s="46" t="inlineStr">
        <is>
          <t>HAN</t>
        </is>
      </c>
      <c r="H87" s="47" t="n">
        <v>44998</v>
      </c>
      <c r="I87" s="52" t="n">
        <v>45001</v>
      </c>
      <c r="J87" s="52" t="n">
        <v>45001</v>
      </c>
      <c r="K87" s="53" t="n">
        <v>135</v>
      </c>
    </row>
    <row r="88" ht="15" customHeight="1" s="32">
      <c r="A88" s="46" t="inlineStr">
        <is>
          <t>L-HB-0087</t>
        </is>
      </c>
      <c r="B88" s="46" t="inlineStr">
        <is>
          <t>R-HB-0087</t>
        </is>
      </c>
      <c r="C88" s="48" t="inlineStr">
        <is>
          <t>항공</t>
        </is>
      </c>
      <c r="D88" s="48" t="inlineStr">
        <is>
          <t>인천공항</t>
        </is>
      </c>
      <c r="E88" s="46" t="inlineStr">
        <is>
          <t>ICN</t>
        </is>
      </c>
      <c r="F88" s="48" t="inlineStr">
        <is>
          <t>델리공항</t>
        </is>
      </c>
      <c r="G88" s="46" t="inlineStr">
        <is>
          <t>DEL</t>
        </is>
      </c>
      <c r="H88" s="47" t="n">
        <v>44998</v>
      </c>
      <c r="I88" s="52" t="n">
        <v>45002</v>
      </c>
      <c r="J88" s="52" t="n">
        <v>45002</v>
      </c>
      <c r="K88" s="53" t="n">
        <v>135</v>
      </c>
    </row>
    <row r="89" ht="15" customHeight="1" s="32">
      <c r="A89" s="46" t="inlineStr">
        <is>
          <t>L-HB-0088</t>
        </is>
      </c>
      <c r="B89" s="46" t="inlineStr">
        <is>
          <t>R-HB-0088</t>
        </is>
      </c>
      <c r="C89" s="48" t="inlineStr">
        <is>
          <t>항공</t>
        </is>
      </c>
      <c r="D89" s="48" t="inlineStr">
        <is>
          <t>인천공항</t>
        </is>
      </c>
      <c r="E89" s="46" t="inlineStr">
        <is>
          <t>ICN</t>
        </is>
      </c>
      <c r="F89" s="48" t="inlineStr">
        <is>
          <t>로스앤젤레스공항</t>
        </is>
      </c>
      <c r="G89" s="46" t="inlineStr">
        <is>
          <t>LAX</t>
        </is>
      </c>
      <c r="H89" s="47" t="n">
        <v>44999</v>
      </c>
      <c r="I89" s="52" t="n">
        <v>45002</v>
      </c>
      <c r="J89" s="52" t="n">
        <v>45002</v>
      </c>
      <c r="K89" s="53" t="n">
        <v>437.2</v>
      </c>
    </row>
    <row r="90" ht="15" customHeight="1" s="32">
      <c r="A90" s="46" t="inlineStr">
        <is>
          <t>L-HB-0089</t>
        </is>
      </c>
      <c r="B90" s="46" t="inlineStr">
        <is>
          <t>R-HB-0089</t>
        </is>
      </c>
      <c r="C90" s="48" t="inlineStr">
        <is>
          <t>항공</t>
        </is>
      </c>
      <c r="D90" s="48" t="inlineStr">
        <is>
          <t>인천공항</t>
        </is>
      </c>
      <c r="E90" s="46" t="inlineStr">
        <is>
          <t>ICN</t>
        </is>
      </c>
      <c r="F90" s="48" t="inlineStr">
        <is>
          <t>시애틀공항</t>
        </is>
      </c>
      <c r="G90" s="46" t="inlineStr">
        <is>
          <t>SEA</t>
        </is>
      </c>
      <c r="H90" s="47" t="n">
        <v>45000</v>
      </c>
      <c r="I90" s="52" t="n">
        <v>45003</v>
      </c>
      <c r="J90" s="52" t="n">
        <v>45003</v>
      </c>
      <c r="K90" s="53" t="n">
        <v>235.2</v>
      </c>
    </row>
    <row r="91" ht="15" customHeight="1" s="32">
      <c r="A91" s="46" t="inlineStr">
        <is>
          <t>L-HB-0090</t>
        </is>
      </c>
      <c r="B91" s="46" t="inlineStr">
        <is>
          <t>R-HB-0090</t>
        </is>
      </c>
      <c r="C91" s="48" t="inlineStr">
        <is>
          <t>항공</t>
        </is>
      </c>
      <c r="D91" s="48" t="inlineStr">
        <is>
          <t>인천공항</t>
        </is>
      </c>
      <c r="E91" s="46" t="inlineStr">
        <is>
          <t>ICN</t>
        </is>
      </c>
      <c r="F91" s="48" t="inlineStr">
        <is>
          <t>토론토공항</t>
        </is>
      </c>
      <c r="G91" s="46" t="inlineStr">
        <is>
          <t>YYZ</t>
        </is>
      </c>
      <c r="H91" s="47" t="n">
        <v>45000</v>
      </c>
      <c r="I91" s="52" t="n">
        <v>45004</v>
      </c>
      <c r="J91" s="52" t="n">
        <v>45004</v>
      </c>
      <c r="K91" s="53" t="n">
        <v>135</v>
      </c>
    </row>
    <row r="92" ht="15" customHeight="1" s="32">
      <c r="A92" s="46" t="inlineStr">
        <is>
          <t>L-HB-0091</t>
        </is>
      </c>
      <c r="B92" s="46" t="inlineStr">
        <is>
          <t>R-HB-0091</t>
        </is>
      </c>
      <c r="C92" s="48" t="inlineStr">
        <is>
          <t>해상</t>
        </is>
      </c>
      <c r="D92" s="48" t="inlineStr">
        <is>
          <t>부산항</t>
        </is>
      </c>
      <c r="E92" s="46" t="inlineStr">
        <is>
          <t>KRPUS</t>
        </is>
      </c>
      <c r="F92" s="48" t="inlineStr">
        <is>
          <t>서커우항</t>
        </is>
      </c>
      <c r="G92" s="46" t="inlineStr">
        <is>
          <t>CNSHK</t>
        </is>
      </c>
      <c r="H92" s="47" t="n">
        <v>45001</v>
      </c>
      <c r="I92" s="52" t="n">
        <v>45006</v>
      </c>
      <c r="J92" s="52" t="n">
        <v>45011</v>
      </c>
      <c r="K92" s="53" t="n">
        <v>530</v>
      </c>
    </row>
    <row r="93" ht="15" customHeight="1" s="32">
      <c r="A93" s="46" t="inlineStr">
        <is>
          <t>L-HB-0092</t>
        </is>
      </c>
      <c r="B93" s="46" t="inlineStr">
        <is>
          <t>R-HB-0092</t>
        </is>
      </c>
      <c r="C93" s="48" t="inlineStr">
        <is>
          <t>해상</t>
        </is>
      </c>
      <c r="D93" s="48" t="inlineStr">
        <is>
          <t>부산항</t>
        </is>
      </c>
      <c r="E93" s="46" t="inlineStr">
        <is>
          <t>KRPUS</t>
        </is>
      </c>
      <c r="F93" s="48" t="inlineStr">
        <is>
          <t>하이퐁항</t>
        </is>
      </c>
      <c r="G93" s="46" t="inlineStr">
        <is>
          <t>VNHPH</t>
        </is>
      </c>
      <c r="H93" s="47" t="n">
        <v>45002</v>
      </c>
      <c r="I93" s="52" t="n">
        <v>45013</v>
      </c>
      <c r="J93" s="52" t="n">
        <v>45013</v>
      </c>
      <c r="K93" s="53" t="n">
        <v>530</v>
      </c>
    </row>
    <row r="94" ht="15" customHeight="1" s="32">
      <c r="A94" s="46" t="inlineStr">
        <is>
          <t>L-HB-0093</t>
        </is>
      </c>
      <c r="B94" s="46" t="inlineStr">
        <is>
          <t>R-HB-0093</t>
        </is>
      </c>
      <c r="C94" s="48" t="inlineStr">
        <is>
          <t>항공</t>
        </is>
      </c>
      <c r="D94" s="48" t="inlineStr">
        <is>
          <t>인천공항</t>
        </is>
      </c>
      <c r="E94" s="46" t="inlineStr">
        <is>
          <t>ICN</t>
        </is>
      </c>
      <c r="F94" s="48" t="inlineStr">
        <is>
          <t>하노이공항</t>
        </is>
      </c>
      <c r="G94" s="46" t="inlineStr">
        <is>
          <t>HAN</t>
        </is>
      </c>
      <c r="H94" s="47" t="n">
        <v>45003</v>
      </c>
      <c r="I94" s="52" t="n">
        <v>45004</v>
      </c>
      <c r="J94" s="52" t="n">
        <v>45004</v>
      </c>
      <c r="K94" s="53" t="n">
        <v>232.25</v>
      </c>
    </row>
    <row r="95" ht="15" customHeight="1" s="32">
      <c r="A95" s="46" t="inlineStr">
        <is>
          <t>L-HB-0094</t>
        </is>
      </c>
      <c r="B95" s="46" t="inlineStr">
        <is>
          <t>R-HB-0094</t>
        </is>
      </c>
      <c r="C95" s="48" t="inlineStr">
        <is>
          <t>항공</t>
        </is>
      </c>
      <c r="D95" s="48" t="inlineStr">
        <is>
          <t>인천공항</t>
        </is>
      </c>
      <c r="E95" s="46" t="inlineStr">
        <is>
          <t>ICN</t>
        </is>
      </c>
      <c r="F95" s="48" t="inlineStr">
        <is>
          <t>델리공항</t>
        </is>
      </c>
      <c r="G95" s="46" t="inlineStr">
        <is>
          <t>DEL</t>
        </is>
      </c>
      <c r="H95" s="47" t="n">
        <v>45003</v>
      </c>
      <c r="I95" s="52" t="n">
        <v>45005</v>
      </c>
      <c r="J95" s="52" t="n">
        <v>45005</v>
      </c>
      <c r="K95" s="53" t="n">
        <v>204.36</v>
      </c>
    </row>
    <row r="96" ht="15" customHeight="1" s="32">
      <c r="A96" s="46" t="inlineStr">
        <is>
          <t>L-HB-0095</t>
        </is>
      </c>
      <c r="B96" s="46" t="inlineStr">
        <is>
          <t>R-HB-0095</t>
        </is>
      </c>
      <c r="C96" s="48" t="inlineStr">
        <is>
          <t>항공</t>
        </is>
      </c>
      <c r="D96" s="48" t="inlineStr">
        <is>
          <t>인천공항</t>
        </is>
      </c>
      <c r="E96" s="46" t="inlineStr">
        <is>
          <t>ICN</t>
        </is>
      </c>
      <c r="F96" s="48" t="inlineStr">
        <is>
          <t>로스앤젤레스공항</t>
        </is>
      </c>
      <c r="G96" s="46" t="inlineStr">
        <is>
          <t>LAX</t>
        </is>
      </c>
      <c r="H96" s="47" t="n">
        <v>45005</v>
      </c>
      <c r="I96" s="52" t="n">
        <v>45007</v>
      </c>
      <c r="J96" s="52" t="n">
        <v>45007</v>
      </c>
      <c r="K96" s="53" t="n">
        <v>232.18</v>
      </c>
    </row>
    <row r="97" ht="15" customHeight="1" s="32">
      <c r="A97" s="46" t="inlineStr">
        <is>
          <t>L-HB-0096</t>
        </is>
      </c>
      <c r="B97" s="46" t="inlineStr">
        <is>
          <t>R-HB-0096</t>
        </is>
      </c>
      <c r="C97" s="48" t="inlineStr">
        <is>
          <t>항공</t>
        </is>
      </c>
      <c r="D97" s="48" t="inlineStr">
        <is>
          <t>인천공항</t>
        </is>
      </c>
      <c r="E97" s="46" t="inlineStr">
        <is>
          <t>ICN</t>
        </is>
      </c>
      <c r="F97" s="48" t="inlineStr">
        <is>
          <t>과달라하라공항</t>
        </is>
      </c>
      <c r="G97" s="46" t="inlineStr">
        <is>
          <t>GDL</t>
        </is>
      </c>
      <c r="H97" s="47" t="n">
        <v>45005</v>
      </c>
      <c r="I97" s="52" t="n">
        <v>45010</v>
      </c>
      <c r="J97" s="52" t="n">
        <v>45011</v>
      </c>
      <c r="K97" s="53" t="n">
        <v>135</v>
      </c>
    </row>
    <row r="98" ht="15" customHeight="1" s="32">
      <c r="A98" s="46" t="inlineStr">
        <is>
          <t>L-HB-0097</t>
        </is>
      </c>
      <c r="B98" s="46" t="inlineStr">
        <is>
          <t>R-HB-0097</t>
        </is>
      </c>
      <c r="C98" s="48" t="inlineStr">
        <is>
          <t>항공</t>
        </is>
      </c>
      <c r="D98" s="48" t="inlineStr">
        <is>
          <t>인천공항</t>
        </is>
      </c>
      <c r="E98" s="46" t="inlineStr">
        <is>
          <t>ICN</t>
        </is>
      </c>
      <c r="F98" s="48" t="inlineStr">
        <is>
          <t>토론토공항</t>
        </is>
      </c>
      <c r="G98" s="46" t="inlineStr">
        <is>
          <t>YYZ</t>
        </is>
      </c>
      <c r="H98" s="47" t="n">
        <v>45005</v>
      </c>
      <c r="I98" s="52" t="n">
        <v>45008</v>
      </c>
      <c r="J98" s="52" t="n">
        <v>45007</v>
      </c>
      <c r="K98" s="53" t="n">
        <v>135</v>
      </c>
    </row>
    <row r="99" ht="15" customHeight="1" s="32">
      <c r="A99" s="46" t="inlineStr">
        <is>
          <t>L-HB-0098</t>
        </is>
      </c>
      <c r="B99" s="46" t="inlineStr">
        <is>
          <t>R-HB-0098</t>
        </is>
      </c>
      <c r="C99" s="48" t="inlineStr">
        <is>
          <t>항공</t>
        </is>
      </c>
      <c r="D99" s="48" t="inlineStr">
        <is>
          <t>인천공항</t>
        </is>
      </c>
      <c r="E99" s="46" t="inlineStr">
        <is>
          <t>ICN</t>
        </is>
      </c>
      <c r="F99" s="48" t="inlineStr">
        <is>
          <t>하노이공항</t>
        </is>
      </c>
      <c r="G99" s="46" t="inlineStr">
        <is>
          <t>HAN</t>
        </is>
      </c>
      <c r="H99" s="47" t="n">
        <v>45005</v>
      </c>
      <c r="I99" s="52" t="n">
        <v>45006</v>
      </c>
      <c r="J99" s="52" t="n">
        <v>45005</v>
      </c>
      <c r="K99" s="53" t="n">
        <v>135</v>
      </c>
    </row>
    <row r="100" ht="15" customHeight="1" s="32">
      <c r="A100" s="46" t="inlineStr">
        <is>
          <t>L-HB-0099</t>
        </is>
      </c>
      <c r="B100" s="46" t="inlineStr">
        <is>
          <t>R-HB-0099</t>
        </is>
      </c>
      <c r="C100" s="48" t="inlineStr">
        <is>
          <t>항공</t>
        </is>
      </c>
      <c r="D100" s="48" t="inlineStr">
        <is>
          <t>인천공항</t>
        </is>
      </c>
      <c r="E100" s="46" t="inlineStr">
        <is>
          <t>ICN</t>
        </is>
      </c>
      <c r="F100" s="48" t="inlineStr">
        <is>
          <t>선전공항</t>
        </is>
      </c>
      <c r="G100" s="46" t="inlineStr">
        <is>
          <t>SZX</t>
        </is>
      </c>
      <c r="H100" s="47" t="n">
        <v>45005</v>
      </c>
      <c r="I100" s="52" t="n">
        <v>45006</v>
      </c>
      <c r="J100" s="52" t="n">
        <v>45006</v>
      </c>
      <c r="K100" s="53" t="n">
        <v>135</v>
      </c>
    </row>
    <row r="101" ht="15" customHeight="1" s="32">
      <c r="A101" s="46" t="inlineStr">
        <is>
          <t>L-HB-0100</t>
        </is>
      </c>
      <c r="B101" s="46" t="inlineStr">
        <is>
          <t>R-HB-0100</t>
        </is>
      </c>
      <c r="C101" s="48" t="inlineStr">
        <is>
          <t>항공</t>
        </is>
      </c>
      <c r="D101" s="48" t="inlineStr">
        <is>
          <t>인천공항</t>
        </is>
      </c>
      <c r="E101" s="46" t="inlineStr">
        <is>
          <t>ICN</t>
        </is>
      </c>
      <c r="F101" s="48" t="inlineStr">
        <is>
          <t>시애틀공항</t>
        </is>
      </c>
      <c r="G101" s="46" t="inlineStr">
        <is>
          <t>SEA</t>
        </is>
      </c>
      <c r="H101" s="47" t="n">
        <v>45007</v>
      </c>
      <c r="I101" s="52" t="n">
        <v>45009</v>
      </c>
      <c r="J101" s="52" t="n">
        <v>45009</v>
      </c>
      <c r="K101" s="53" t="n">
        <v>135</v>
      </c>
    </row>
    <row r="102" ht="15" customHeight="1" s="32">
      <c r="A102" s="46" t="inlineStr">
        <is>
          <t>L-HB-0101</t>
        </is>
      </c>
      <c r="B102" s="46" t="inlineStr">
        <is>
          <t>R-HB-0101</t>
        </is>
      </c>
      <c r="C102" s="48" t="inlineStr">
        <is>
          <t>항공</t>
        </is>
      </c>
      <c r="D102" s="48" t="inlineStr">
        <is>
          <t>인천공항</t>
        </is>
      </c>
      <c r="E102" s="46" t="inlineStr">
        <is>
          <t>ICN</t>
        </is>
      </c>
      <c r="F102" s="48" t="inlineStr">
        <is>
          <t>시애틀공항</t>
        </is>
      </c>
      <c r="G102" s="46" t="inlineStr">
        <is>
          <t>SEA</t>
        </is>
      </c>
      <c r="H102" s="47" t="n">
        <v>45010</v>
      </c>
      <c r="I102" s="52" t="n">
        <v>45012</v>
      </c>
      <c r="J102" s="52" t="n">
        <v>45012</v>
      </c>
      <c r="K102" s="53" t="n">
        <v>135</v>
      </c>
    </row>
    <row r="103" ht="15" customHeight="1" s="32">
      <c r="A103" s="46" t="inlineStr">
        <is>
          <t>L-HB-0102</t>
        </is>
      </c>
      <c r="B103" s="46" t="inlineStr">
        <is>
          <t>R-HB-0102</t>
        </is>
      </c>
      <c r="C103" s="48" t="inlineStr">
        <is>
          <t>항공</t>
        </is>
      </c>
      <c r="D103" s="48" t="inlineStr">
        <is>
          <t>인천공항</t>
        </is>
      </c>
      <c r="E103" s="46" t="inlineStr">
        <is>
          <t>ICN</t>
        </is>
      </c>
      <c r="F103" s="48" t="inlineStr">
        <is>
          <t>과달라하라공항</t>
        </is>
      </c>
      <c r="G103" s="46" t="inlineStr">
        <is>
          <t>GDL</t>
        </is>
      </c>
      <c r="H103" s="47" t="n">
        <v>45010</v>
      </c>
      <c r="I103" s="52" t="n">
        <v>45014</v>
      </c>
      <c r="J103" s="52" t="n">
        <v>45014</v>
      </c>
      <c r="K103" s="53" t="n">
        <v>135</v>
      </c>
    </row>
    <row r="104" ht="15" customHeight="1" s="32">
      <c r="A104" s="46" t="inlineStr">
        <is>
          <t>L-HB-0103</t>
        </is>
      </c>
      <c r="B104" s="46" t="inlineStr">
        <is>
          <t>R-HB-0103</t>
        </is>
      </c>
      <c r="C104" s="48" t="inlineStr">
        <is>
          <t>항공</t>
        </is>
      </c>
      <c r="D104" s="48" t="inlineStr">
        <is>
          <t>인천공항</t>
        </is>
      </c>
      <c r="E104" s="46" t="inlineStr">
        <is>
          <t>ICN</t>
        </is>
      </c>
      <c r="F104" s="48" t="inlineStr">
        <is>
          <t>프랑크푸르트공항</t>
        </is>
      </c>
      <c r="G104" s="46" t="inlineStr">
        <is>
          <t>FRA</t>
        </is>
      </c>
      <c r="H104" s="47" t="n">
        <v>45010</v>
      </c>
      <c r="I104" s="52" t="n">
        <v>45014</v>
      </c>
      <c r="J104" s="52" t="n">
        <v>45014</v>
      </c>
      <c r="K104" s="53" t="n">
        <v>142.1</v>
      </c>
    </row>
    <row r="105" ht="15" customHeight="1" s="32">
      <c r="A105" s="46" t="inlineStr">
        <is>
          <t>L-HB-0104</t>
        </is>
      </c>
      <c r="B105" s="46" t="inlineStr">
        <is>
          <t>R-HB-0104</t>
        </is>
      </c>
      <c r="C105" s="48" t="inlineStr">
        <is>
          <t>해상</t>
        </is>
      </c>
      <c r="D105" s="48" t="inlineStr">
        <is>
          <t>부산항</t>
        </is>
      </c>
      <c r="E105" s="46" t="inlineStr">
        <is>
          <t>KRPUS</t>
        </is>
      </c>
      <c r="F105" s="48" t="inlineStr">
        <is>
          <t>상하이항</t>
        </is>
      </c>
      <c r="G105" s="46" t="inlineStr">
        <is>
          <t>CNSHA</t>
        </is>
      </c>
      <c r="H105" s="47" t="n">
        <v>45010</v>
      </c>
      <c r="I105" s="52" t="n">
        <v>45014</v>
      </c>
      <c r="J105" s="52" t="n">
        <v>45014</v>
      </c>
      <c r="K105" s="53" t="n">
        <v>530</v>
      </c>
    </row>
    <row r="106" ht="15" customHeight="1" s="32">
      <c r="A106" s="46" t="inlineStr">
        <is>
          <t>L-HB-0105</t>
        </is>
      </c>
      <c r="B106" s="46" t="inlineStr">
        <is>
          <t>R-HB-0105</t>
        </is>
      </c>
      <c r="C106" s="48" t="inlineStr">
        <is>
          <t>항공</t>
        </is>
      </c>
      <c r="D106" s="48" t="inlineStr">
        <is>
          <t>인천공항</t>
        </is>
      </c>
      <c r="E106" s="46" t="inlineStr">
        <is>
          <t>ICN</t>
        </is>
      </c>
      <c r="F106" s="48" t="inlineStr">
        <is>
          <t>프랑크푸르트공항</t>
        </is>
      </c>
      <c r="G106" s="46" t="inlineStr">
        <is>
          <t>FRA</t>
        </is>
      </c>
      <c r="H106" s="47" t="n">
        <v>45011</v>
      </c>
      <c r="I106" s="52" t="n">
        <v>45015</v>
      </c>
      <c r="J106" s="52" t="n">
        <v>45015</v>
      </c>
      <c r="K106" s="53" t="n">
        <v>135</v>
      </c>
    </row>
    <row r="107" ht="15" customHeight="1" s="32">
      <c r="A107" s="46" t="inlineStr">
        <is>
          <t>L-HB-0106</t>
        </is>
      </c>
      <c r="B107" s="46" t="inlineStr">
        <is>
          <t>R-HB-0106</t>
        </is>
      </c>
      <c r="C107" s="48" t="inlineStr">
        <is>
          <t>항공</t>
        </is>
      </c>
      <c r="D107" s="48" t="inlineStr">
        <is>
          <t>인천공항</t>
        </is>
      </c>
      <c r="E107" s="46" t="inlineStr">
        <is>
          <t>ICN</t>
        </is>
      </c>
      <c r="F107" s="48" t="inlineStr">
        <is>
          <t>프랑크푸르트공항</t>
        </is>
      </c>
      <c r="G107" s="46" t="inlineStr">
        <is>
          <t>FRA</t>
        </is>
      </c>
      <c r="H107" s="47" t="n">
        <v>45011</v>
      </c>
      <c r="I107" s="52" t="n">
        <v>45016</v>
      </c>
      <c r="J107" s="52" t="n">
        <v>45016</v>
      </c>
      <c r="K107" s="53" t="n">
        <v>212.7</v>
      </c>
    </row>
    <row r="108" ht="15" customHeight="1" s="32">
      <c r="A108" s="46" t="inlineStr">
        <is>
          <t>L-HB-0107</t>
        </is>
      </c>
      <c r="B108" s="46" t="inlineStr">
        <is>
          <t>R-HB-0107</t>
        </is>
      </c>
      <c r="C108" s="48" t="inlineStr">
        <is>
          <t>항공</t>
        </is>
      </c>
      <c r="D108" s="48" t="inlineStr">
        <is>
          <t>인천공항</t>
        </is>
      </c>
      <c r="E108" s="46" t="inlineStr">
        <is>
          <t>ICN</t>
        </is>
      </c>
      <c r="F108" s="48" t="inlineStr">
        <is>
          <t>과달라하라공항</t>
        </is>
      </c>
      <c r="G108" s="46" t="inlineStr">
        <is>
          <t>GDL</t>
        </is>
      </c>
      <c r="H108" s="47" t="n">
        <v>45012</v>
      </c>
      <c r="I108" s="52" t="n">
        <v>45016</v>
      </c>
      <c r="J108" s="52" t="n">
        <v>45016</v>
      </c>
      <c r="K108" s="53" t="n">
        <v>135</v>
      </c>
    </row>
    <row r="109" ht="15" customHeight="1" s="32">
      <c r="A109" s="46" t="inlineStr">
        <is>
          <t>L-HB-0108</t>
        </is>
      </c>
      <c r="B109" s="46" t="inlineStr">
        <is>
          <t>R-HB-0108</t>
        </is>
      </c>
      <c r="C109" s="48" t="inlineStr">
        <is>
          <t>항공</t>
        </is>
      </c>
      <c r="D109" s="48" t="inlineStr">
        <is>
          <t>인천공항</t>
        </is>
      </c>
      <c r="E109" s="46" t="inlineStr">
        <is>
          <t>ICN</t>
        </is>
      </c>
      <c r="F109" s="48" t="inlineStr">
        <is>
          <t>선전공항</t>
        </is>
      </c>
      <c r="G109" s="46" t="inlineStr">
        <is>
          <t>SZX</t>
        </is>
      </c>
      <c r="H109" s="47" t="n">
        <v>45012</v>
      </c>
      <c r="I109" s="52" t="n">
        <v>45013</v>
      </c>
      <c r="J109" s="52" t="n">
        <v>45013</v>
      </c>
      <c r="K109" s="53" t="n">
        <v>135</v>
      </c>
    </row>
    <row r="110" ht="15" customHeight="1" s="32">
      <c r="A110" s="46" t="inlineStr">
        <is>
          <t>L-HB-0109</t>
        </is>
      </c>
      <c r="B110" s="46" t="inlineStr">
        <is>
          <t>R-HB-0109</t>
        </is>
      </c>
      <c r="C110" s="48" t="inlineStr">
        <is>
          <t>항공</t>
        </is>
      </c>
      <c r="D110" s="48" t="inlineStr">
        <is>
          <t>인천공항</t>
        </is>
      </c>
      <c r="E110" s="46" t="inlineStr">
        <is>
          <t>ICN</t>
        </is>
      </c>
      <c r="F110" s="48" t="inlineStr">
        <is>
          <t>과달라하라공항</t>
        </is>
      </c>
      <c r="G110" s="46" t="inlineStr">
        <is>
          <t>GDL</t>
        </is>
      </c>
      <c r="H110" s="47" t="n">
        <v>45019</v>
      </c>
      <c r="I110" s="52" t="n">
        <v>45022</v>
      </c>
      <c r="J110" s="52" t="n">
        <v>45021</v>
      </c>
      <c r="K110" s="53" t="n">
        <v>135</v>
      </c>
    </row>
    <row r="111" ht="15" customHeight="1" s="32">
      <c r="A111" s="46" t="inlineStr">
        <is>
          <t>L-HB-0110</t>
        </is>
      </c>
      <c r="B111" s="46" t="inlineStr">
        <is>
          <t>R-HB-0110</t>
        </is>
      </c>
      <c r="C111" s="48" t="inlineStr">
        <is>
          <t>항공</t>
        </is>
      </c>
      <c r="D111" s="48" t="inlineStr">
        <is>
          <t>인천공항</t>
        </is>
      </c>
      <c r="E111" s="46" t="inlineStr">
        <is>
          <t>ICN</t>
        </is>
      </c>
      <c r="F111" s="48" t="inlineStr">
        <is>
          <t>프랑크푸르트공항</t>
        </is>
      </c>
      <c r="G111" s="46" t="inlineStr">
        <is>
          <t>FRA</t>
        </is>
      </c>
      <c r="H111" s="47" t="n">
        <v>45019</v>
      </c>
      <c r="I111" s="52" t="n">
        <v>45023</v>
      </c>
      <c r="J111" s="52" t="n">
        <v>45023</v>
      </c>
      <c r="K111" s="53" t="n">
        <v>146.56</v>
      </c>
    </row>
    <row r="112" ht="15" customHeight="1" s="32">
      <c r="A112" s="46" t="inlineStr">
        <is>
          <t>L-HB-0111</t>
        </is>
      </c>
      <c r="B112" s="46" t="inlineStr">
        <is>
          <t>R-HB-0111</t>
        </is>
      </c>
      <c r="C112" s="48" t="inlineStr">
        <is>
          <t>해상</t>
        </is>
      </c>
      <c r="D112" s="48" t="inlineStr">
        <is>
          <t>부산항</t>
        </is>
      </c>
      <c r="E112" s="46" t="inlineStr">
        <is>
          <t>KRPUS</t>
        </is>
      </c>
      <c r="F112" s="48" t="inlineStr">
        <is>
          <t>하이퐁항</t>
        </is>
      </c>
      <c r="G112" s="46" t="inlineStr">
        <is>
          <t>VNHPH</t>
        </is>
      </c>
      <c r="H112" s="47" t="n">
        <v>45019</v>
      </c>
      <c r="I112" s="52" t="n">
        <v>45028</v>
      </c>
      <c r="J112" s="52" t="n">
        <v>45030</v>
      </c>
      <c r="K112" s="53" t="n">
        <v>530</v>
      </c>
    </row>
    <row r="113" ht="15" customHeight="1" s="32">
      <c r="A113" s="46" t="inlineStr">
        <is>
          <t>L-HB-0112</t>
        </is>
      </c>
      <c r="B113" s="46" t="inlineStr">
        <is>
          <t>R-HB-0112</t>
        </is>
      </c>
      <c r="C113" s="48" t="inlineStr">
        <is>
          <t>항공</t>
        </is>
      </c>
      <c r="D113" s="48" t="inlineStr">
        <is>
          <t>인천공항</t>
        </is>
      </c>
      <c r="E113" s="46" t="inlineStr">
        <is>
          <t>ICN</t>
        </is>
      </c>
      <c r="F113" s="48" t="inlineStr">
        <is>
          <t>로스앤젤레스공항</t>
        </is>
      </c>
      <c r="G113" s="46" t="inlineStr">
        <is>
          <t>LAX</t>
        </is>
      </c>
      <c r="H113" s="47" t="n">
        <v>45020</v>
      </c>
      <c r="I113" s="52" t="n">
        <v>45022</v>
      </c>
      <c r="J113" s="52" t="n">
        <v>45022</v>
      </c>
      <c r="K113" s="53" t="n">
        <v>135</v>
      </c>
    </row>
    <row r="114" ht="15" customHeight="1" s="32">
      <c r="A114" s="46" t="inlineStr">
        <is>
          <t>L-HB-0113</t>
        </is>
      </c>
      <c r="B114" s="46" t="inlineStr">
        <is>
          <t>R-HB-0113</t>
        </is>
      </c>
      <c r="C114" s="48" t="inlineStr">
        <is>
          <t>항공</t>
        </is>
      </c>
      <c r="D114" s="48" t="inlineStr">
        <is>
          <t>인천공항</t>
        </is>
      </c>
      <c r="E114" s="46" t="inlineStr">
        <is>
          <t>ICN</t>
        </is>
      </c>
      <c r="F114" s="48" t="inlineStr">
        <is>
          <t>로스앤젤레스공항</t>
        </is>
      </c>
      <c r="G114" s="46" t="inlineStr">
        <is>
          <t>LAX</t>
        </is>
      </c>
      <c r="H114" s="47" t="n">
        <v>45020</v>
      </c>
      <c r="I114" s="52" t="n">
        <v>45022</v>
      </c>
      <c r="J114" s="52" t="n">
        <v>45022</v>
      </c>
      <c r="K114" s="53" t="n">
        <v>238.76</v>
      </c>
    </row>
    <row r="115" ht="15" customHeight="1" s="32">
      <c r="A115" s="46" t="inlineStr">
        <is>
          <t>L-HB-0114</t>
        </is>
      </c>
      <c r="B115" s="46" t="inlineStr">
        <is>
          <t>R-HB-0114</t>
        </is>
      </c>
      <c r="C115" s="48" t="inlineStr">
        <is>
          <t>항공</t>
        </is>
      </c>
      <c r="D115" s="48" t="inlineStr">
        <is>
          <t>인천공항</t>
        </is>
      </c>
      <c r="E115" s="46" t="inlineStr">
        <is>
          <t>ICN</t>
        </is>
      </c>
      <c r="F115" s="48" t="inlineStr">
        <is>
          <t>델리공항</t>
        </is>
      </c>
      <c r="G115" s="46" t="inlineStr">
        <is>
          <t>DEL</t>
        </is>
      </c>
      <c r="H115" s="47" t="n">
        <v>45020</v>
      </c>
      <c r="I115" s="52" t="n">
        <v>45023</v>
      </c>
      <c r="J115" s="52" t="n">
        <v>45023</v>
      </c>
      <c r="K115" s="53" t="n">
        <v>135</v>
      </c>
    </row>
    <row r="116" ht="15" customHeight="1" s="32">
      <c r="A116" s="46" t="inlineStr">
        <is>
          <t>L-HB-0115</t>
        </is>
      </c>
      <c r="B116" s="46" t="inlineStr">
        <is>
          <t>R-HB-0115</t>
        </is>
      </c>
      <c r="C116" s="48" t="inlineStr">
        <is>
          <t>항공</t>
        </is>
      </c>
      <c r="D116" s="48" t="inlineStr">
        <is>
          <t>인천공항</t>
        </is>
      </c>
      <c r="E116" s="46" t="inlineStr">
        <is>
          <t>ICN</t>
        </is>
      </c>
      <c r="F116" s="48" t="inlineStr">
        <is>
          <t>선전공항</t>
        </is>
      </c>
      <c r="G116" s="46" t="inlineStr">
        <is>
          <t>SZX</t>
        </is>
      </c>
      <c r="H116" s="47" t="n">
        <v>45020</v>
      </c>
      <c r="I116" s="52" t="n">
        <v>45023</v>
      </c>
      <c r="J116" s="52" t="n">
        <v>45022</v>
      </c>
      <c r="K116" s="53" t="n">
        <v>135</v>
      </c>
    </row>
    <row r="117" ht="15" customHeight="1" s="32">
      <c r="A117" s="46" t="inlineStr">
        <is>
          <t>L-HB-0116</t>
        </is>
      </c>
      <c r="B117" s="46" t="inlineStr">
        <is>
          <t>R-HB-0116</t>
        </is>
      </c>
      <c r="C117" s="48" t="inlineStr">
        <is>
          <t>항공</t>
        </is>
      </c>
      <c r="D117" s="48" t="inlineStr">
        <is>
          <t>인천공항</t>
        </is>
      </c>
      <c r="E117" s="46" t="inlineStr">
        <is>
          <t>ICN</t>
        </is>
      </c>
      <c r="F117" s="48" t="inlineStr">
        <is>
          <t>과달라하라공항</t>
        </is>
      </c>
      <c r="G117" s="46" t="inlineStr">
        <is>
          <t>GDL</t>
        </is>
      </c>
      <c r="H117" s="47" t="n">
        <v>45022</v>
      </c>
      <c r="I117" s="52" t="n">
        <v>45025</v>
      </c>
      <c r="J117" s="52" t="n">
        <v>45025</v>
      </c>
      <c r="K117" s="53" t="n">
        <v>135</v>
      </c>
    </row>
    <row r="118" ht="15" customHeight="1" s="32">
      <c r="A118" s="46" t="inlineStr">
        <is>
          <t>L-HB-0117</t>
        </is>
      </c>
      <c r="B118" s="46" t="inlineStr">
        <is>
          <t>R-HB-0117</t>
        </is>
      </c>
      <c r="C118" s="48" t="inlineStr">
        <is>
          <t>항공</t>
        </is>
      </c>
      <c r="D118" s="48" t="inlineStr">
        <is>
          <t>인천공항</t>
        </is>
      </c>
      <c r="E118" s="46" t="inlineStr">
        <is>
          <t>ICN</t>
        </is>
      </c>
      <c r="F118" s="48" t="inlineStr">
        <is>
          <t>토론토공항</t>
        </is>
      </c>
      <c r="G118" s="46" t="inlineStr">
        <is>
          <t>YYZ</t>
        </is>
      </c>
      <c r="H118" s="47" t="n">
        <v>45022</v>
      </c>
      <c r="I118" s="52" t="n">
        <v>45025</v>
      </c>
      <c r="J118" s="52" t="n">
        <v>45025</v>
      </c>
      <c r="K118" s="53" t="n">
        <v>135</v>
      </c>
    </row>
    <row r="119" ht="15" customHeight="1" s="32">
      <c r="A119" s="46" t="inlineStr">
        <is>
          <t>L-HB-0118</t>
        </is>
      </c>
      <c r="B119" s="46" t="inlineStr">
        <is>
          <t>R-HB-0118</t>
        </is>
      </c>
      <c r="C119" s="48" t="inlineStr">
        <is>
          <t>항공</t>
        </is>
      </c>
      <c r="D119" s="48" t="inlineStr">
        <is>
          <t>인천공항</t>
        </is>
      </c>
      <c r="E119" s="46" t="inlineStr">
        <is>
          <t>ICN</t>
        </is>
      </c>
      <c r="F119" s="48" t="inlineStr">
        <is>
          <t>프랑크푸르트공항</t>
        </is>
      </c>
      <c r="G119" s="46" t="inlineStr">
        <is>
          <t>FRA</t>
        </is>
      </c>
      <c r="H119" s="47" t="n">
        <v>45023</v>
      </c>
      <c r="I119" s="52" t="n">
        <v>45026</v>
      </c>
      <c r="J119" s="52" t="n">
        <v>45028</v>
      </c>
      <c r="K119" s="53" t="n">
        <v>135</v>
      </c>
    </row>
    <row r="120" ht="15" customHeight="1" s="32">
      <c r="A120" s="46" t="inlineStr">
        <is>
          <t>L-HB-0119</t>
        </is>
      </c>
      <c r="B120" s="46" t="inlineStr">
        <is>
          <t>R-HB-0119</t>
        </is>
      </c>
      <c r="C120" s="48" t="inlineStr">
        <is>
          <t>항공</t>
        </is>
      </c>
      <c r="D120" s="48" t="inlineStr">
        <is>
          <t>인천공항</t>
        </is>
      </c>
      <c r="E120" s="46" t="inlineStr">
        <is>
          <t>ICN</t>
        </is>
      </c>
      <c r="F120" s="48" t="inlineStr">
        <is>
          <t>하노이공항</t>
        </is>
      </c>
      <c r="G120" s="46" t="inlineStr">
        <is>
          <t>HAN</t>
        </is>
      </c>
      <c r="H120" s="47" t="n">
        <v>45023</v>
      </c>
      <c r="I120" s="52" t="n">
        <v>45025</v>
      </c>
      <c r="J120" s="52" t="n">
        <v>45025</v>
      </c>
      <c r="K120" s="53" t="n">
        <v>135</v>
      </c>
    </row>
    <row r="121" ht="15" customHeight="1" s="32">
      <c r="A121" s="46" t="inlineStr">
        <is>
          <t>L-HB-0120</t>
        </is>
      </c>
      <c r="B121" s="46" t="inlineStr">
        <is>
          <t>R-HB-0120</t>
        </is>
      </c>
      <c r="C121" s="48" t="inlineStr">
        <is>
          <t>항공</t>
        </is>
      </c>
      <c r="D121" s="48" t="inlineStr">
        <is>
          <t>인천공항</t>
        </is>
      </c>
      <c r="E121" s="46" t="inlineStr">
        <is>
          <t>ICN</t>
        </is>
      </c>
      <c r="F121" s="48" t="inlineStr">
        <is>
          <t>델리공항</t>
        </is>
      </c>
      <c r="G121" s="46" t="inlineStr">
        <is>
          <t>DEL</t>
        </is>
      </c>
      <c r="H121" s="47" t="n">
        <v>45023</v>
      </c>
      <c r="I121" s="52" t="n">
        <v>45025</v>
      </c>
      <c r="J121" s="52" t="n">
        <v>45027</v>
      </c>
      <c r="K121" s="53" t="n">
        <v>135</v>
      </c>
    </row>
    <row r="122" ht="15" customHeight="1" s="32">
      <c r="A122" s="46" t="inlineStr">
        <is>
          <t>L-HB-0121</t>
        </is>
      </c>
      <c r="B122" s="46" t="inlineStr">
        <is>
          <t>R-HB-0121</t>
        </is>
      </c>
      <c r="C122" s="48" t="inlineStr">
        <is>
          <t>항공</t>
        </is>
      </c>
      <c r="D122" s="48" t="inlineStr">
        <is>
          <t>인천공항</t>
        </is>
      </c>
      <c r="E122" s="46" t="inlineStr">
        <is>
          <t>ICN</t>
        </is>
      </c>
      <c r="F122" s="48" t="inlineStr">
        <is>
          <t>토론토공항</t>
        </is>
      </c>
      <c r="G122" s="46" t="inlineStr">
        <is>
          <t>YYZ</t>
        </is>
      </c>
      <c r="H122" s="47" t="n">
        <v>45026</v>
      </c>
      <c r="I122" s="52" t="n">
        <v>45031</v>
      </c>
      <c r="J122" s="52" t="n">
        <v>45031</v>
      </c>
      <c r="K122" s="53" t="n">
        <v>135</v>
      </c>
    </row>
    <row r="123" ht="15" customHeight="1" s="32">
      <c r="A123" s="46" t="inlineStr">
        <is>
          <t>L-HB-0122</t>
        </is>
      </c>
      <c r="B123" s="46" t="inlineStr">
        <is>
          <t>R-HB-0122</t>
        </is>
      </c>
      <c r="C123" s="48" t="inlineStr">
        <is>
          <t>항공</t>
        </is>
      </c>
      <c r="D123" s="48" t="inlineStr">
        <is>
          <t>인천공항</t>
        </is>
      </c>
      <c r="E123" s="46" t="inlineStr">
        <is>
          <t>ICN</t>
        </is>
      </c>
      <c r="F123" s="48" t="inlineStr">
        <is>
          <t>충칭공항</t>
        </is>
      </c>
      <c r="G123" s="46" t="inlineStr">
        <is>
          <t>CKG</t>
        </is>
      </c>
      <c r="H123" s="47" t="n">
        <v>45027</v>
      </c>
      <c r="I123" s="52" t="n">
        <v>45028</v>
      </c>
      <c r="J123" s="52" t="n">
        <v>45028</v>
      </c>
      <c r="K123" s="53" t="n">
        <v>206.23</v>
      </c>
    </row>
    <row r="124" ht="15" customHeight="1" s="32">
      <c r="A124" s="46" t="inlineStr">
        <is>
          <t>L-HB-0123</t>
        </is>
      </c>
      <c r="B124" s="46" t="inlineStr">
        <is>
          <t>R-HB-0123</t>
        </is>
      </c>
      <c r="C124" s="48" t="inlineStr">
        <is>
          <t>항공</t>
        </is>
      </c>
      <c r="D124" s="48" t="inlineStr">
        <is>
          <t>인천공항</t>
        </is>
      </c>
      <c r="E124" s="46" t="inlineStr">
        <is>
          <t>ICN</t>
        </is>
      </c>
      <c r="F124" s="48" t="inlineStr">
        <is>
          <t>토론토공항</t>
        </is>
      </c>
      <c r="G124" s="46" t="inlineStr">
        <is>
          <t>YYZ</t>
        </is>
      </c>
      <c r="H124" s="47" t="n">
        <v>45028</v>
      </c>
      <c r="I124" s="52" t="n">
        <v>45031</v>
      </c>
      <c r="J124" s="52" t="n">
        <v>45031</v>
      </c>
      <c r="K124" s="53" t="n">
        <v>135</v>
      </c>
    </row>
    <row r="125" ht="15" customHeight="1" s="32">
      <c r="A125" s="46" t="inlineStr">
        <is>
          <t>L-HB-0124</t>
        </is>
      </c>
      <c r="B125" s="46" t="inlineStr">
        <is>
          <t>R-HB-0124</t>
        </is>
      </c>
      <c r="C125" s="48" t="inlineStr">
        <is>
          <t>항공</t>
        </is>
      </c>
      <c r="D125" s="48" t="inlineStr">
        <is>
          <t>인천공항</t>
        </is>
      </c>
      <c r="E125" s="46" t="inlineStr">
        <is>
          <t>ICN</t>
        </is>
      </c>
      <c r="F125" s="48" t="inlineStr">
        <is>
          <t>프랑크푸르트공항</t>
        </is>
      </c>
      <c r="G125" s="46" t="inlineStr">
        <is>
          <t>FRA</t>
        </is>
      </c>
      <c r="H125" s="47" t="n">
        <v>45029</v>
      </c>
      <c r="I125" s="52" t="n">
        <v>45034</v>
      </c>
      <c r="J125" s="52" t="n">
        <v>45034</v>
      </c>
      <c r="K125" s="53" t="n">
        <v>227.04</v>
      </c>
    </row>
    <row r="126" ht="15" customHeight="1" s="32">
      <c r="A126" s="46" t="inlineStr">
        <is>
          <t>L-HB-0125</t>
        </is>
      </c>
      <c r="B126" s="46" t="inlineStr">
        <is>
          <t>R-HB-0125</t>
        </is>
      </c>
      <c r="C126" s="48" t="inlineStr">
        <is>
          <t>항공</t>
        </is>
      </c>
      <c r="D126" s="48" t="inlineStr">
        <is>
          <t>인천공항</t>
        </is>
      </c>
      <c r="E126" s="46" t="inlineStr">
        <is>
          <t>ICN</t>
        </is>
      </c>
      <c r="F126" s="48" t="inlineStr">
        <is>
          <t>선전공항</t>
        </is>
      </c>
      <c r="G126" s="46" t="inlineStr">
        <is>
          <t>SZX</t>
        </is>
      </c>
      <c r="H126" s="47" t="n">
        <v>45029</v>
      </c>
      <c r="I126" s="52" t="n">
        <v>45032</v>
      </c>
      <c r="J126" s="52" t="n">
        <v>45033</v>
      </c>
      <c r="K126" s="53" t="n">
        <v>241.21</v>
      </c>
    </row>
    <row r="127" ht="15" customHeight="1" s="32">
      <c r="A127" s="46" t="inlineStr">
        <is>
          <t>L-HB-0126</t>
        </is>
      </c>
      <c r="B127" s="46" t="inlineStr">
        <is>
          <t>R-HB-0126</t>
        </is>
      </c>
      <c r="C127" s="48" t="inlineStr">
        <is>
          <t>항공</t>
        </is>
      </c>
      <c r="D127" s="48" t="inlineStr">
        <is>
          <t>인천공항</t>
        </is>
      </c>
      <c r="E127" s="46" t="inlineStr">
        <is>
          <t>ICN</t>
        </is>
      </c>
      <c r="F127" s="48" t="inlineStr">
        <is>
          <t>시애틀공항</t>
        </is>
      </c>
      <c r="G127" s="46" t="inlineStr">
        <is>
          <t>SEA</t>
        </is>
      </c>
      <c r="H127" s="47" t="n">
        <v>45030</v>
      </c>
      <c r="I127" s="52" t="n">
        <v>45033</v>
      </c>
      <c r="J127" s="52" t="n">
        <v>45032</v>
      </c>
      <c r="K127" s="53" t="n">
        <v>224.39</v>
      </c>
    </row>
    <row r="128" ht="15" customHeight="1" s="32">
      <c r="A128" s="46" t="inlineStr">
        <is>
          <t>L-HB-0127</t>
        </is>
      </c>
      <c r="B128" s="46" t="inlineStr">
        <is>
          <t>R-HB-0127</t>
        </is>
      </c>
      <c r="C128" s="48" t="inlineStr">
        <is>
          <t>항공</t>
        </is>
      </c>
      <c r="D128" s="48" t="inlineStr">
        <is>
          <t>인천공항</t>
        </is>
      </c>
      <c r="E128" s="46" t="inlineStr">
        <is>
          <t>ICN</t>
        </is>
      </c>
      <c r="F128" s="48" t="inlineStr">
        <is>
          <t>시애틀공항</t>
        </is>
      </c>
      <c r="G128" s="46" t="inlineStr">
        <is>
          <t>SEA</t>
        </is>
      </c>
      <c r="H128" s="47" t="n">
        <v>45030</v>
      </c>
      <c r="I128" s="52" t="n">
        <v>45034</v>
      </c>
      <c r="J128" s="52" t="n">
        <v>45034</v>
      </c>
      <c r="K128" s="53" t="n">
        <v>135</v>
      </c>
    </row>
    <row r="129" ht="15" customHeight="1" s="32">
      <c r="A129" s="46" t="inlineStr">
        <is>
          <t>L-HB-0128</t>
        </is>
      </c>
      <c r="B129" s="46" t="inlineStr">
        <is>
          <t>R-HB-0128</t>
        </is>
      </c>
      <c r="C129" s="48" t="inlineStr">
        <is>
          <t>항공</t>
        </is>
      </c>
      <c r="D129" s="48" t="inlineStr">
        <is>
          <t>인천공항</t>
        </is>
      </c>
      <c r="E129" s="46" t="inlineStr">
        <is>
          <t>ICN</t>
        </is>
      </c>
      <c r="F129" s="48" t="inlineStr">
        <is>
          <t>시애틀공항</t>
        </is>
      </c>
      <c r="G129" s="46" t="inlineStr">
        <is>
          <t>SEA</t>
        </is>
      </c>
      <c r="H129" s="47" t="n">
        <v>45031</v>
      </c>
      <c r="I129" s="52" t="n">
        <v>45034</v>
      </c>
      <c r="J129" s="52" t="n">
        <v>45034</v>
      </c>
      <c r="K129" s="53" t="n">
        <v>135</v>
      </c>
    </row>
    <row r="130" ht="15" customHeight="1" s="32">
      <c r="A130" s="46" t="inlineStr">
        <is>
          <t>L-HB-0129</t>
        </is>
      </c>
      <c r="B130" s="46" t="inlineStr">
        <is>
          <t>R-HB-0129</t>
        </is>
      </c>
      <c r="C130" s="48" t="inlineStr">
        <is>
          <t>항공</t>
        </is>
      </c>
      <c r="D130" s="48" t="inlineStr">
        <is>
          <t>인천공항</t>
        </is>
      </c>
      <c r="E130" s="46" t="inlineStr">
        <is>
          <t>ICN</t>
        </is>
      </c>
      <c r="F130" s="48" t="inlineStr">
        <is>
          <t>하노이공항</t>
        </is>
      </c>
      <c r="G130" s="46" t="inlineStr">
        <is>
          <t>HAN</t>
        </is>
      </c>
      <c r="H130" s="47" t="n">
        <v>45031</v>
      </c>
      <c r="I130" s="52" t="n">
        <v>45032</v>
      </c>
      <c r="J130" s="52" t="n">
        <v>45032</v>
      </c>
      <c r="K130" s="53" t="n">
        <v>135</v>
      </c>
    </row>
    <row r="131" ht="15" customHeight="1" s="32">
      <c r="A131" s="46" t="inlineStr">
        <is>
          <t>L-HB-0130</t>
        </is>
      </c>
      <c r="B131" s="46" t="inlineStr">
        <is>
          <t>R-HB-0130</t>
        </is>
      </c>
      <c r="C131" s="48" t="inlineStr">
        <is>
          <t>항공</t>
        </is>
      </c>
      <c r="D131" s="48" t="inlineStr">
        <is>
          <t>인천공항</t>
        </is>
      </c>
      <c r="E131" s="46" t="inlineStr">
        <is>
          <t>ICN</t>
        </is>
      </c>
      <c r="F131" s="48" t="inlineStr">
        <is>
          <t>프랑크푸르트공항</t>
        </is>
      </c>
      <c r="G131" s="46" t="inlineStr">
        <is>
          <t>FRA</t>
        </is>
      </c>
      <c r="H131" s="47" t="n">
        <v>45032</v>
      </c>
      <c r="I131" s="52" t="n">
        <v>45037</v>
      </c>
      <c r="J131" s="52" t="n">
        <v>45037</v>
      </c>
      <c r="K131" s="53" t="n">
        <v>382.9</v>
      </c>
    </row>
    <row r="132" ht="15" customHeight="1" s="32">
      <c r="A132" s="46" t="inlineStr">
        <is>
          <t>L-HB-0131</t>
        </is>
      </c>
      <c r="B132" s="46" t="inlineStr">
        <is>
          <t>R-HB-0131</t>
        </is>
      </c>
      <c r="C132" s="48" t="inlineStr">
        <is>
          <t>해상</t>
        </is>
      </c>
      <c r="D132" s="48" t="inlineStr">
        <is>
          <t>부산항</t>
        </is>
      </c>
      <c r="E132" s="46" t="inlineStr">
        <is>
          <t>KRPUS</t>
        </is>
      </c>
      <c r="F132" s="48" t="inlineStr">
        <is>
          <t>상하이항</t>
        </is>
      </c>
      <c r="G132" s="46" t="inlineStr">
        <is>
          <t>CNSHA</t>
        </is>
      </c>
      <c r="H132" s="47" t="n">
        <v>45032</v>
      </c>
      <c r="I132" s="52" t="n">
        <v>45037</v>
      </c>
      <c r="J132" s="52" t="n">
        <v>45037</v>
      </c>
      <c r="K132" s="53" t="n">
        <v>530</v>
      </c>
    </row>
    <row r="133" ht="15" customHeight="1" s="32">
      <c r="A133" s="46" t="inlineStr">
        <is>
          <t>L-HB-0132</t>
        </is>
      </c>
      <c r="B133" s="46" t="inlineStr">
        <is>
          <t>R-HB-0132</t>
        </is>
      </c>
      <c r="C133" s="48" t="inlineStr">
        <is>
          <t>항공</t>
        </is>
      </c>
      <c r="D133" s="48" t="inlineStr">
        <is>
          <t>인천공항</t>
        </is>
      </c>
      <c r="E133" s="46" t="inlineStr">
        <is>
          <t>ICN</t>
        </is>
      </c>
      <c r="F133" s="48" t="inlineStr">
        <is>
          <t>시애틀공항</t>
        </is>
      </c>
      <c r="G133" s="46" t="inlineStr">
        <is>
          <t>SEA</t>
        </is>
      </c>
      <c r="H133" s="47" t="n">
        <v>45033</v>
      </c>
      <c r="I133" s="52" t="n">
        <v>45035</v>
      </c>
      <c r="J133" s="52" t="n">
        <v>45035</v>
      </c>
      <c r="K133" s="53" t="n">
        <v>135</v>
      </c>
    </row>
    <row r="134" ht="15" customHeight="1" s="32">
      <c r="A134" s="46" t="inlineStr">
        <is>
          <t>L-HB-0133</t>
        </is>
      </c>
      <c r="B134" s="46" t="inlineStr">
        <is>
          <t>R-HB-0133</t>
        </is>
      </c>
      <c r="C134" s="48" t="inlineStr">
        <is>
          <t>항공</t>
        </is>
      </c>
      <c r="D134" s="48" t="inlineStr">
        <is>
          <t>인천공항</t>
        </is>
      </c>
      <c r="E134" s="46" t="inlineStr">
        <is>
          <t>ICN</t>
        </is>
      </c>
      <c r="F134" s="48" t="inlineStr">
        <is>
          <t>델리공항</t>
        </is>
      </c>
      <c r="G134" s="46" t="inlineStr">
        <is>
          <t>DEL</t>
        </is>
      </c>
      <c r="H134" s="47" t="n">
        <v>45034</v>
      </c>
      <c r="I134" s="52" t="n">
        <v>45038</v>
      </c>
      <c r="J134" s="52" t="n">
        <v>45038</v>
      </c>
      <c r="K134" s="53" t="n">
        <v>189.09</v>
      </c>
    </row>
    <row r="135" ht="15" customHeight="1" s="32">
      <c r="A135" s="46" t="inlineStr">
        <is>
          <t>L-HB-0134</t>
        </is>
      </c>
      <c r="B135" s="46" t="inlineStr">
        <is>
          <t>R-HB-0134</t>
        </is>
      </c>
      <c r="C135" s="48" t="inlineStr">
        <is>
          <t>항공</t>
        </is>
      </c>
      <c r="D135" s="48" t="inlineStr">
        <is>
          <t>인천공항</t>
        </is>
      </c>
      <c r="E135" s="46" t="inlineStr">
        <is>
          <t>ICN</t>
        </is>
      </c>
      <c r="F135" s="48" t="inlineStr">
        <is>
          <t>충칭공항</t>
        </is>
      </c>
      <c r="G135" s="46" t="inlineStr">
        <is>
          <t>CKG</t>
        </is>
      </c>
      <c r="H135" s="47" t="n">
        <v>45034</v>
      </c>
      <c r="I135" s="52" t="n">
        <v>45037</v>
      </c>
      <c r="J135" s="52" t="n">
        <v>45037</v>
      </c>
      <c r="K135" s="53" t="n">
        <v>135</v>
      </c>
    </row>
    <row r="136" ht="15" customHeight="1" s="32">
      <c r="A136" s="46" t="inlineStr">
        <is>
          <t>L-HB-0135</t>
        </is>
      </c>
      <c r="B136" s="46" t="inlineStr">
        <is>
          <t>R-HB-0135</t>
        </is>
      </c>
      <c r="C136" s="48" t="inlineStr">
        <is>
          <t>항공</t>
        </is>
      </c>
      <c r="D136" s="48" t="inlineStr">
        <is>
          <t>인천공항</t>
        </is>
      </c>
      <c r="E136" s="46" t="inlineStr">
        <is>
          <t>ICN</t>
        </is>
      </c>
      <c r="F136" s="48" t="inlineStr">
        <is>
          <t>델리공항</t>
        </is>
      </c>
      <c r="G136" s="46" t="inlineStr">
        <is>
          <t>DEL</t>
        </is>
      </c>
      <c r="H136" s="47" t="n">
        <v>45035</v>
      </c>
      <c r="I136" s="52" t="n">
        <v>45038</v>
      </c>
      <c r="J136" s="52" t="n">
        <v>45038</v>
      </c>
      <c r="K136" s="53" t="n">
        <v>135</v>
      </c>
    </row>
    <row r="137" ht="15" customHeight="1" s="32">
      <c r="A137" s="46" t="inlineStr">
        <is>
          <t>L-HB-0136</t>
        </is>
      </c>
      <c r="B137" s="46" t="inlineStr">
        <is>
          <t>R-HB-0136</t>
        </is>
      </c>
      <c r="C137" s="48" t="inlineStr">
        <is>
          <t>항공</t>
        </is>
      </c>
      <c r="D137" s="48" t="inlineStr">
        <is>
          <t>인천공항</t>
        </is>
      </c>
      <c r="E137" s="46" t="inlineStr">
        <is>
          <t>ICN</t>
        </is>
      </c>
      <c r="F137" s="48" t="inlineStr">
        <is>
          <t>토론토공항</t>
        </is>
      </c>
      <c r="G137" s="46" t="inlineStr">
        <is>
          <t>YYZ</t>
        </is>
      </c>
      <c r="H137" s="47" t="n">
        <v>45040</v>
      </c>
      <c r="I137" s="52" t="n">
        <v>45044</v>
      </c>
      <c r="J137" s="52" t="n">
        <v>45044</v>
      </c>
      <c r="K137" s="53" t="n">
        <v>135</v>
      </c>
    </row>
    <row r="138" ht="15" customHeight="1" s="32">
      <c r="A138" s="46" t="inlineStr">
        <is>
          <t>L-HB-0137</t>
        </is>
      </c>
      <c r="B138" s="46" t="inlineStr">
        <is>
          <t>R-HB-0137</t>
        </is>
      </c>
      <c r="C138" s="48" t="inlineStr">
        <is>
          <t>항공</t>
        </is>
      </c>
      <c r="D138" s="48" t="inlineStr">
        <is>
          <t>인천공항</t>
        </is>
      </c>
      <c r="E138" s="46" t="inlineStr">
        <is>
          <t>ICN</t>
        </is>
      </c>
      <c r="F138" s="48" t="inlineStr">
        <is>
          <t>선전공항</t>
        </is>
      </c>
      <c r="G138" s="46" t="inlineStr">
        <is>
          <t>SZX</t>
        </is>
      </c>
      <c r="H138" s="47" t="n">
        <v>45040</v>
      </c>
      <c r="I138" s="52" t="n">
        <v>45043</v>
      </c>
      <c r="J138" s="52" t="n">
        <v>45043</v>
      </c>
      <c r="K138" s="53" t="n">
        <v>135</v>
      </c>
    </row>
    <row r="139" ht="15" customHeight="1" s="32">
      <c r="A139" s="46" t="inlineStr">
        <is>
          <t>L-HB-0138</t>
        </is>
      </c>
      <c r="B139" s="46" t="inlineStr">
        <is>
          <t>R-HB-0138</t>
        </is>
      </c>
      <c r="C139" s="48" t="inlineStr">
        <is>
          <t>항공</t>
        </is>
      </c>
      <c r="D139" s="48" t="inlineStr">
        <is>
          <t>인천공항</t>
        </is>
      </c>
      <c r="E139" s="46" t="inlineStr">
        <is>
          <t>ICN</t>
        </is>
      </c>
      <c r="F139" s="48" t="inlineStr">
        <is>
          <t>과달라하라공항</t>
        </is>
      </c>
      <c r="G139" s="46" t="inlineStr">
        <is>
          <t>GDL</t>
        </is>
      </c>
      <c r="H139" s="47" t="n">
        <v>45041</v>
      </c>
      <c r="I139" s="52" t="n">
        <v>45045</v>
      </c>
      <c r="J139" s="52" t="n">
        <v>45045</v>
      </c>
      <c r="K139" s="53" t="n">
        <v>135</v>
      </c>
    </row>
    <row r="140" ht="15" customHeight="1" s="32">
      <c r="A140" s="46" t="inlineStr">
        <is>
          <t>L-HB-0139</t>
        </is>
      </c>
      <c r="B140" s="46" t="inlineStr">
        <is>
          <t>R-HB-0139</t>
        </is>
      </c>
      <c r="C140" s="48" t="inlineStr">
        <is>
          <t>항공</t>
        </is>
      </c>
      <c r="D140" s="48" t="inlineStr">
        <is>
          <t>인천공항</t>
        </is>
      </c>
      <c r="E140" s="46" t="inlineStr">
        <is>
          <t>ICN</t>
        </is>
      </c>
      <c r="F140" s="48" t="inlineStr">
        <is>
          <t>하노이공항</t>
        </is>
      </c>
      <c r="G140" s="46" t="inlineStr">
        <is>
          <t>HAN</t>
        </is>
      </c>
      <c r="H140" s="47" t="n">
        <v>45041</v>
      </c>
      <c r="I140" s="52" t="n">
        <v>45042</v>
      </c>
      <c r="J140" s="52" t="n">
        <v>45042</v>
      </c>
      <c r="K140" s="53" t="n">
        <v>200.39</v>
      </c>
    </row>
    <row r="141" ht="15" customHeight="1" s="32">
      <c r="A141" s="46" t="inlineStr">
        <is>
          <t>L-HB-0140</t>
        </is>
      </c>
      <c r="B141" s="46" t="inlineStr">
        <is>
          <t>R-HB-0140</t>
        </is>
      </c>
      <c r="C141" s="48" t="inlineStr">
        <is>
          <t>항공</t>
        </is>
      </c>
      <c r="D141" s="48" t="inlineStr">
        <is>
          <t>인천공항</t>
        </is>
      </c>
      <c r="E141" s="46" t="inlineStr">
        <is>
          <t>ICN</t>
        </is>
      </c>
      <c r="F141" s="48" t="inlineStr">
        <is>
          <t>로스앤젤레스공항</t>
        </is>
      </c>
      <c r="G141" s="46" t="inlineStr">
        <is>
          <t>LAX</t>
        </is>
      </c>
      <c r="H141" s="47" t="n">
        <v>45042</v>
      </c>
      <c r="I141" s="52" t="n">
        <v>45046</v>
      </c>
      <c r="J141" s="52" t="n">
        <v>45045</v>
      </c>
      <c r="K141" s="53" t="n">
        <v>449.86</v>
      </c>
    </row>
    <row r="142" ht="15" customHeight="1" s="32">
      <c r="A142" s="46" t="inlineStr">
        <is>
          <t>L-HB-0141</t>
        </is>
      </c>
      <c r="B142" s="46" t="inlineStr">
        <is>
          <t>R-HB-0141</t>
        </is>
      </c>
      <c r="C142" s="48" t="inlineStr">
        <is>
          <t>항공</t>
        </is>
      </c>
      <c r="D142" s="48" t="inlineStr">
        <is>
          <t>인천공항</t>
        </is>
      </c>
      <c r="E142" s="46" t="inlineStr">
        <is>
          <t>ICN</t>
        </is>
      </c>
      <c r="F142" s="48" t="inlineStr">
        <is>
          <t>충칭공항</t>
        </is>
      </c>
      <c r="G142" s="46" t="inlineStr">
        <is>
          <t>CKG</t>
        </is>
      </c>
      <c r="H142" s="47" t="n">
        <v>45042</v>
      </c>
      <c r="I142" s="52" t="n">
        <v>45043</v>
      </c>
      <c r="J142" s="52" t="n">
        <v>45043</v>
      </c>
      <c r="K142" s="53" t="n">
        <v>135</v>
      </c>
    </row>
    <row r="143" ht="15" customHeight="1" s="32">
      <c r="A143" s="46" t="inlineStr">
        <is>
          <t>L-HB-0142</t>
        </is>
      </c>
      <c r="B143" s="46" t="inlineStr">
        <is>
          <t>R-HB-0142</t>
        </is>
      </c>
      <c r="C143" s="48" t="inlineStr">
        <is>
          <t>항공</t>
        </is>
      </c>
      <c r="D143" s="48" t="inlineStr">
        <is>
          <t>인천공항</t>
        </is>
      </c>
      <c r="E143" s="46" t="inlineStr">
        <is>
          <t>ICN</t>
        </is>
      </c>
      <c r="F143" s="48" t="inlineStr">
        <is>
          <t>로스앤젤레스공항</t>
        </is>
      </c>
      <c r="G143" s="46" t="inlineStr">
        <is>
          <t>LAX</t>
        </is>
      </c>
      <c r="H143" s="47" t="n">
        <v>45043</v>
      </c>
      <c r="I143" s="52" t="n">
        <v>45045</v>
      </c>
      <c r="J143" s="52" t="n">
        <v>45045</v>
      </c>
      <c r="K143" s="53" t="n">
        <v>135</v>
      </c>
    </row>
    <row r="144" ht="15" customHeight="1" s="32">
      <c r="A144" s="46" t="inlineStr">
        <is>
          <t>L-HB-0143</t>
        </is>
      </c>
      <c r="B144" s="46" t="inlineStr">
        <is>
          <t>R-HB-0143</t>
        </is>
      </c>
      <c r="C144" s="48" t="inlineStr">
        <is>
          <t>항공</t>
        </is>
      </c>
      <c r="D144" s="48" t="inlineStr">
        <is>
          <t>인천공항</t>
        </is>
      </c>
      <c r="E144" s="46" t="inlineStr">
        <is>
          <t>ICN</t>
        </is>
      </c>
      <c r="F144" s="48" t="inlineStr">
        <is>
          <t>과달라하라공항</t>
        </is>
      </c>
      <c r="G144" s="46" t="inlineStr">
        <is>
          <t>GDL</t>
        </is>
      </c>
      <c r="H144" s="47" t="n">
        <v>45043</v>
      </c>
      <c r="I144" s="52" t="n">
        <v>45046</v>
      </c>
      <c r="J144" s="52" t="n">
        <v>45049</v>
      </c>
      <c r="K144" s="53" t="n">
        <v>135</v>
      </c>
    </row>
    <row r="145" ht="15" customHeight="1" s="32">
      <c r="A145" s="46" t="inlineStr">
        <is>
          <t>L-HB-0144</t>
        </is>
      </c>
      <c r="B145" s="46" t="inlineStr">
        <is>
          <t>R-HB-0144</t>
        </is>
      </c>
      <c r="C145" s="48" t="inlineStr">
        <is>
          <t>해상</t>
        </is>
      </c>
      <c r="D145" s="48" t="inlineStr">
        <is>
          <t>부산항</t>
        </is>
      </c>
      <c r="E145" s="46" t="inlineStr">
        <is>
          <t>KRPUS</t>
        </is>
      </c>
      <c r="F145" s="48" t="inlineStr">
        <is>
          <t>서커우항</t>
        </is>
      </c>
      <c r="G145" s="46" t="inlineStr">
        <is>
          <t>CNSHK</t>
        </is>
      </c>
      <c r="H145" s="47" t="n">
        <v>45043</v>
      </c>
      <c r="I145" s="52" t="n">
        <v>45048</v>
      </c>
      <c r="J145" s="52" t="n">
        <v>45048</v>
      </c>
      <c r="K145" s="53" t="n">
        <v>530</v>
      </c>
    </row>
    <row r="146" ht="15" customHeight="1" s="32">
      <c r="A146" s="46" t="inlineStr">
        <is>
          <t>L-HB-0145</t>
        </is>
      </c>
      <c r="B146" s="46" t="inlineStr">
        <is>
          <t>R-HB-0145</t>
        </is>
      </c>
      <c r="C146" s="48" t="inlineStr">
        <is>
          <t>항공</t>
        </is>
      </c>
      <c r="D146" s="48" t="inlineStr">
        <is>
          <t>인천공항</t>
        </is>
      </c>
      <c r="E146" s="46" t="inlineStr">
        <is>
          <t>ICN</t>
        </is>
      </c>
      <c r="F146" s="48" t="inlineStr">
        <is>
          <t>과달라하라공항</t>
        </is>
      </c>
      <c r="G146" s="46" t="inlineStr">
        <is>
          <t>GDL</t>
        </is>
      </c>
      <c r="H146" s="47" t="n">
        <v>45049</v>
      </c>
      <c r="I146" s="52" t="n">
        <v>45052</v>
      </c>
      <c r="J146" s="52" t="n">
        <v>45052</v>
      </c>
      <c r="K146" s="53" t="n">
        <v>135</v>
      </c>
    </row>
    <row r="147" ht="15" customHeight="1" s="32">
      <c r="A147" s="46" t="inlineStr">
        <is>
          <t>L-HB-0146</t>
        </is>
      </c>
      <c r="B147" s="46" t="inlineStr">
        <is>
          <t>R-HB-0146</t>
        </is>
      </c>
      <c r="C147" s="48" t="inlineStr">
        <is>
          <t>항공</t>
        </is>
      </c>
      <c r="D147" s="48" t="inlineStr">
        <is>
          <t>인천공항</t>
        </is>
      </c>
      <c r="E147" s="46" t="inlineStr">
        <is>
          <t>ICN</t>
        </is>
      </c>
      <c r="F147" s="48" t="inlineStr">
        <is>
          <t>프랑크푸르트공항</t>
        </is>
      </c>
      <c r="G147" s="46" t="inlineStr">
        <is>
          <t>FRA</t>
        </is>
      </c>
      <c r="H147" s="47" t="n">
        <v>45049</v>
      </c>
      <c r="I147" s="52" t="n">
        <v>45052</v>
      </c>
      <c r="J147" s="52" t="n">
        <v>45052</v>
      </c>
      <c r="K147" s="53" t="n">
        <v>201.85</v>
      </c>
    </row>
    <row r="148" ht="15" customHeight="1" s="32">
      <c r="A148" s="46" t="inlineStr">
        <is>
          <t>L-HB-0147</t>
        </is>
      </c>
      <c r="B148" s="46" t="inlineStr">
        <is>
          <t>R-HB-0147</t>
        </is>
      </c>
      <c r="C148" s="48" t="inlineStr">
        <is>
          <t>해상</t>
        </is>
      </c>
      <c r="D148" s="48" t="inlineStr">
        <is>
          <t>부산항</t>
        </is>
      </c>
      <c r="E148" s="46" t="inlineStr">
        <is>
          <t>KRPUS</t>
        </is>
      </c>
      <c r="F148" s="48" t="inlineStr">
        <is>
          <t>하이퐁항</t>
        </is>
      </c>
      <c r="G148" s="46" t="inlineStr">
        <is>
          <t>VNHPH</t>
        </is>
      </c>
      <c r="H148" s="47" t="n">
        <v>45049</v>
      </c>
      <c r="I148" s="52" t="n">
        <v>45059</v>
      </c>
      <c r="J148" s="52" t="n">
        <v>45059</v>
      </c>
      <c r="K148" s="53" t="n">
        <v>530</v>
      </c>
    </row>
    <row r="149" ht="15" customHeight="1" s="32">
      <c r="A149" s="46" t="inlineStr">
        <is>
          <t>L-HB-0148</t>
        </is>
      </c>
      <c r="B149" s="46" t="inlineStr">
        <is>
          <t>R-HB-0148</t>
        </is>
      </c>
      <c r="C149" s="48" t="inlineStr">
        <is>
          <t>항공</t>
        </is>
      </c>
      <c r="D149" s="48" t="inlineStr">
        <is>
          <t>인천공항</t>
        </is>
      </c>
      <c r="E149" s="46" t="inlineStr">
        <is>
          <t>ICN</t>
        </is>
      </c>
      <c r="F149" s="48" t="inlineStr">
        <is>
          <t>토론토공항</t>
        </is>
      </c>
      <c r="G149" s="46" t="inlineStr">
        <is>
          <t>YYZ</t>
        </is>
      </c>
      <c r="H149" s="47" t="n">
        <v>45050</v>
      </c>
      <c r="I149" s="52" t="n">
        <v>45053</v>
      </c>
      <c r="J149" s="52" t="n">
        <v>45057</v>
      </c>
      <c r="K149" s="53" t="n">
        <v>135</v>
      </c>
    </row>
    <row r="150" ht="15" customHeight="1" s="32">
      <c r="A150" s="46" t="inlineStr">
        <is>
          <t>L-HB-0149</t>
        </is>
      </c>
      <c r="B150" s="46" t="inlineStr">
        <is>
          <t>R-HB-0149</t>
        </is>
      </c>
      <c r="C150" s="48" t="inlineStr">
        <is>
          <t>해상</t>
        </is>
      </c>
      <c r="D150" s="48" t="inlineStr">
        <is>
          <t>부산항</t>
        </is>
      </c>
      <c r="E150" s="46" t="inlineStr">
        <is>
          <t>KRPUS</t>
        </is>
      </c>
      <c r="F150" s="48" t="inlineStr">
        <is>
          <t>서커우항</t>
        </is>
      </c>
      <c r="G150" s="46" t="inlineStr">
        <is>
          <t>CNSHK</t>
        </is>
      </c>
      <c r="H150" s="47" t="n">
        <v>45050</v>
      </c>
      <c r="I150" s="52" t="n">
        <v>45058</v>
      </c>
      <c r="J150" s="52" t="n">
        <v>45058</v>
      </c>
      <c r="K150" s="53" t="n">
        <v>530</v>
      </c>
    </row>
    <row r="151" ht="15" customHeight="1" s="32">
      <c r="A151" s="46" t="inlineStr">
        <is>
          <t>L-HB-0150</t>
        </is>
      </c>
      <c r="B151" s="46" t="inlineStr">
        <is>
          <t>R-HB-0150</t>
        </is>
      </c>
      <c r="C151" s="48" t="inlineStr">
        <is>
          <t>항공</t>
        </is>
      </c>
      <c r="D151" s="48" t="inlineStr">
        <is>
          <t>인천공항</t>
        </is>
      </c>
      <c r="E151" s="46" t="inlineStr">
        <is>
          <t>ICN</t>
        </is>
      </c>
      <c r="F151" s="48" t="inlineStr">
        <is>
          <t>토론토공항</t>
        </is>
      </c>
      <c r="G151" s="46" t="inlineStr">
        <is>
          <t>YYZ</t>
        </is>
      </c>
      <c r="H151" s="47" t="n">
        <v>45051</v>
      </c>
      <c r="I151" s="52" t="n">
        <v>45054</v>
      </c>
      <c r="J151" s="52" t="n">
        <v>45054</v>
      </c>
      <c r="K151" s="53" t="n">
        <v>135</v>
      </c>
    </row>
    <row r="152" ht="15" customHeight="1" s="32">
      <c r="A152" s="46" t="inlineStr">
        <is>
          <t>L-HB-0151</t>
        </is>
      </c>
      <c r="B152" s="46" t="inlineStr">
        <is>
          <t>R-HB-0151</t>
        </is>
      </c>
      <c r="C152" s="48" t="inlineStr">
        <is>
          <t>해상</t>
        </is>
      </c>
      <c r="D152" s="48" t="inlineStr">
        <is>
          <t>부산항</t>
        </is>
      </c>
      <c r="E152" s="46" t="inlineStr">
        <is>
          <t>KRPUS</t>
        </is>
      </c>
      <c r="F152" s="48" t="inlineStr">
        <is>
          <t>상하이항</t>
        </is>
      </c>
      <c r="G152" s="46" t="inlineStr">
        <is>
          <t>CNSHA</t>
        </is>
      </c>
      <c r="H152" s="47" t="n">
        <v>45051</v>
      </c>
      <c r="I152" s="52" t="n">
        <v>45057</v>
      </c>
      <c r="J152" s="52" t="n">
        <v>45060</v>
      </c>
      <c r="K152" s="53" t="n">
        <v>530</v>
      </c>
    </row>
    <row r="153" ht="15" customHeight="1" s="32">
      <c r="A153" s="46" t="inlineStr">
        <is>
          <t>L-HB-0152</t>
        </is>
      </c>
      <c r="B153" s="46" t="inlineStr">
        <is>
          <t>R-HB-0152</t>
        </is>
      </c>
      <c r="C153" s="48" t="inlineStr">
        <is>
          <t>항공</t>
        </is>
      </c>
      <c r="D153" s="48" t="inlineStr">
        <is>
          <t>인천공항</t>
        </is>
      </c>
      <c r="E153" s="46" t="inlineStr">
        <is>
          <t>ICN</t>
        </is>
      </c>
      <c r="F153" s="48" t="inlineStr">
        <is>
          <t>로스앤젤레스공항</t>
        </is>
      </c>
      <c r="G153" s="46" t="inlineStr">
        <is>
          <t>LAX</t>
        </is>
      </c>
      <c r="H153" s="47" t="n">
        <v>45053</v>
      </c>
      <c r="I153" s="52" t="n">
        <v>45056</v>
      </c>
      <c r="J153" s="52" t="n">
        <v>45056</v>
      </c>
      <c r="K153" s="53" t="n">
        <v>135</v>
      </c>
    </row>
    <row r="154" ht="15" customHeight="1" s="32">
      <c r="A154" s="46" t="inlineStr">
        <is>
          <t>L-HB-0153</t>
        </is>
      </c>
      <c r="B154" s="46" t="inlineStr">
        <is>
          <t>R-HB-0153</t>
        </is>
      </c>
      <c r="C154" s="48" t="inlineStr">
        <is>
          <t>항공</t>
        </is>
      </c>
      <c r="D154" s="48" t="inlineStr">
        <is>
          <t>인천공항</t>
        </is>
      </c>
      <c r="E154" s="46" t="inlineStr">
        <is>
          <t>ICN</t>
        </is>
      </c>
      <c r="F154" s="48" t="inlineStr">
        <is>
          <t>로스앤젤레스공항</t>
        </is>
      </c>
      <c r="G154" s="46" t="inlineStr">
        <is>
          <t>LAX</t>
        </is>
      </c>
      <c r="H154" s="47" t="n">
        <v>45054</v>
      </c>
      <c r="I154" s="52" t="n">
        <v>45056</v>
      </c>
      <c r="J154" s="52" t="n">
        <v>45056</v>
      </c>
      <c r="K154" s="53" t="n">
        <v>137.71</v>
      </c>
    </row>
    <row r="155" ht="15" customHeight="1" s="32">
      <c r="A155" s="46" t="inlineStr">
        <is>
          <t>L-HB-0154</t>
        </is>
      </c>
      <c r="B155" s="46" t="inlineStr">
        <is>
          <t>R-HB-0154</t>
        </is>
      </c>
      <c r="C155" s="48" t="inlineStr">
        <is>
          <t>항공</t>
        </is>
      </c>
      <c r="D155" s="48" t="inlineStr">
        <is>
          <t>인천공항</t>
        </is>
      </c>
      <c r="E155" s="46" t="inlineStr">
        <is>
          <t>ICN</t>
        </is>
      </c>
      <c r="F155" s="48" t="inlineStr">
        <is>
          <t>시애틀공항</t>
        </is>
      </c>
      <c r="G155" s="46" t="inlineStr">
        <is>
          <t>SEA</t>
        </is>
      </c>
      <c r="H155" s="47" t="n">
        <v>45054</v>
      </c>
      <c r="I155" s="52" t="n">
        <v>45057</v>
      </c>
      <c r="J155" s="52" t="n">
        <v>45057</v>
      </c>
      <c r="K155" s="53" t="n">
        <v>139.14</v>
      </c>
    </row>
    <row r="156" ht="15" customHeight="1" s="32">
      <c r="A156" s="46" t="inlineStr">
        <is>
          <t>L-HB-0155</t>
        </is>
      </c>
      <c r="B156" s="46" t="inlineStr">
        <is>
          <t>R-HB-0155</t>
        </is>
      </c>
      <c r="C156" s="48" t="inlineStr">
        <is>
          <t>항공</t>
        </is>
      </c>
      <c r="D156" s="48" t="inlineStr">
        <is>
          <t>인천공항</t>
        </is>
      </c>
      <c r="E156" s="46" t="inlineStr">
        <is>
          <t>ICN</t>
        </is>
      </c>
      <c r="F156" s="48" t="inlineStr">
        <is>
          <t>프랑크푸르트공항</t>
        </is>
      </c>
      <c r="G156" s="46" t="inlineStr">
        <is>
          <t>FRA</t>
        </is>
      </c>
      <c r="H156" s="47" t="n">
        <v>45054</v>
      </c>
      <c r="I156" s="52" t="n">
        <v>45057</v>
      </c>
      <c r="J156" s="52" t="n">
        <v>45057</v>
      </c>
      <c r="K156" s="53" t="n">
        <v>332.83</v>
      </c>
    </row>
    <row r="157" ht="15" customHeight="1" s="32">
      <c r="A157" s="46" t="inlineStr">
        <is>
          <t>L-HB-0156</t>
        </is>
      </c>
      <c r="B157" s="46" t="inlineStr">
        <is>
          <t>R-HB-0156</t>
        </is>
      </c>
      <c r="C157" s="48" t="inlineStr">
        <is>
          <t>항공</t>
        </is>
      </c>
      <c r="D157" s="48" t="inlineStr">
        <is>
          <t>인천공항</t>
        </is>
      </c>
      <c r="E157" s="46" t="inlineStr">
        <is>
          <t>ICN</t>
        </is>
      </c>
      <c r="F157" s="48" t="inlineStr">
        <is>
          <t>하노이공항</t>
        </is>
      </c>
      <c r="G157" s="46" t="inlineStr">
        <is>
          <t>HAN</t>
        </is>
      </c>
      <c r="H157" s="47" t="n">
        <v>45054</v>
      </c>
      <c r="I157" s="52" t="n">
        <v>45055</v>
      </c>
      <c r="J157" s="52" t="n">
        <v>45055</v>
      </c>
      <c r="K157" s="53" t="n">
        <v>135</v>
      </c>
    </row>
    <row r="158" ht="15" customHeight="1" s="32">
      <c r="A158" s="46" t="inlineStr">
        <is>
          <t>L-HB-0157</t>
        </is>
      </c>
      <c r="B158" s="46" t="inlineStr">
        <is>
          <t>R-HB-0157</t>
        </is>
      </c>
      <c r="C158" s="48" t="inlineStr">
        <is>
          <t>항공</t>
        </is>
      </c>
      <c r="D158" s="48" t="inlineStr">
        <is>
          <t>인천공항</t>
        </is>
      </c>
      <c r="E158" s="46" t="inlineStr">
        <is>
          <t>ICN</t>
        </is>
      </c>
      <c r="F158" s="48" t="inlineStr">
        <is>
          <t>과달라하라공항</t>
        </is>
      </c>
      <c r="G158" s="46" t="inlineStr">
        <is>
          <t>GDL</t>
        </is>
      </c>
      <c r="H158" s="47" t="n">
        <v>45056</v>
      </c>
      <c r="I158" s="52" t="n">
        <v>45059</v>
      </c>
      <c r="J158" s="52" t="n">
        <v>45059</v>
      </c>
      <c r="K158" s="53" t="n">
        <v>135</v>
      </c>
    </row>
    <row r="159" ht="15" customHeight="1" s="32">
      <c r="A159" s="46" t="inlineStr">
        <is>
          <t>L-HB-0158</t>
        </is>
      </c>
      <c r="B159" s="46" t="inlineStr">
        <is>
          <t>R-HB-0158</t>
        </is>
      </c>
      <c r="C159" s="48" t="inlineStr">
        <is>
          <t>항공</t>
        </is>
      </c>
      <c r="D159" s="48" t="inlineStr">
        <is>
          <t>인천공항</t>
        </is>
      </c>
      <c r="E159" s="46" t="inlineStr">
        <is>
          <t>ICN</t>
        </is>
      </c>
      <c r="F159" s="48" t="inlineStr">
        <is>
          <t>하노이공항</t>
        </is>
      </c>
      <c r="G159" s="46" t="inlineStr">
        <is>
          <t>HAN</t>
        </is>
      </c>
      <c r="H159" s="47" t="n">
        <v>45057</v>
      </c>
      <c r="I159" s="52" t="n">
        <v>45059</v>
      </c>
      <c r="J159" s="52" t="n">
        <v>45059</v>
      </c>
      <c r="K159" s="53" t="n">
        <v>135</v>
      </c>
    </row>
    <row r="160" ht="15" customHeight="1" s="32">
      <c r="A160" s="46" t="inlineStr">
        <is>
          <t>L-HB-0159</t>
        </is>
      </c>
      <c r="B160" s="46" t="inlineStr">
        <is>
          <t>R-HB-0159</t>
        </is>
      </c>
      <c r="C160" s="48" t="inlineStr">
        <is>
          <t>항공</t>
        </is>
      </c>
      <c r="D160" s="48" t="inlineStr">
        <is>
          <t>인천공항</t>
        </is>
      </c>
      <c r="E160" s="46" t="inlineStr">
        <is>
          <t>ICN</t>
        </is>
      </c>
      <c r="F160" s="48" t="inlineStr">
        <is>
          <t>선전공항</t>
        </is>
      </c>
      <c r="G160" s="46" t="inlineStr">
        <is>
          <t>SZX</t>
        </is>
      </c>
      <c r="H160" s="47" t="n">
        <v>45057</v>
      </c>
      <c r="I160" s="52" t="n">
        <v>45059</v>
      </c>
      <c r="J160" s="52" t="n">
        <v>45059</v>
      </c>
      <c r="K160" s="53" t="n">
        <v>135</v>
      </c>
    </row>
    <row r="161" ht="15" customHeight="1" s="32">
      <c r="A161" s="46" t="inlineStr">
        <is>
          <t>L-HB-0160</t>
        </is>
      </c>
      <c r="B161" s="46" t="inlineStr">
        <is>
          <t>R-HB-0160</t>
        </is>
      </c>
      <c r="C161" s="48" t="inlineStr">
        <is>
          <t>항공</t>
        </is>
      </c>
      <c r="D161" s="48" t="inlineStr">
        <is>
          <t>인천공항</t>
        </is>
      </c>
      <c r="E161" s="46" t="inlineStr">
        <is>
          <t>ICN</t>
        </is>
      </c>
      <c r="F161" s="48" t="inlineStr">
        <is>
          <t>로스앤젤레스공항</t>
        </is>
      </c>
      <c r="G161" s="46" t="inlineStr">
        <is>
          <t>LAX</t>
        </is>
      </c>
      <c r="H161" s="47" t="n">
        <v>45058</v>
      </c>
      <c r="I161" s="52" t="n">
        <v>45061</v>
      </c>
      <c r="J161" s="52" t="n">
        <v>45061</v>
      </c>
      <c r="K161" s="53" t="n">
        <v>223.79</v>
      </c>
    </row>
    <row r="162" ht="15" customHeight="1" s="32">
      <c r="A162" s="46" t="inlineStr">
        <is>
          <t>L-HB-0161</t>
        </is>
      </c>
      <c r="B162" s="46" t="inlineStr">
        <is>
          <t>R-HB-0161</t>
        </is>
      </c>
      <c r="C162" s="48" t="inlineStr">
        <is>
          <t>항공</t>
        </is>
      </c>
      <c r="D162" s="48" t="inlineStr">
        <is>
          <t>인천공항</t>
        </is>
      </c>
      <c r="E162" s="46" t="inlineStr">
        <is>
          <t>ICN</t>
        </is>
      </c>
      <c r="F162" s="48" t="inlineStr">
        <is>
          <t>시애틀공항</t>
        </is>
      </c>
      <c r="G162" s="46" t="inlineStr">
        <is>
          <t>SEA</t>
        </is>
      </c>
      <c r="H162" s="47" t="n">
        <v>45060</v>
      </c>
      <c r="I162" s="52" t="n">
        <v>45064</v>
      </c>
      <c r="J162" s="52" t="n">
        <v>45063</v>
      </c>
      <c r="K162" s="53" t="n">
        <v>135</v>
      </c>
    </row>
    <row r="163" ht="15" customHeight="1" s="32">
      <c r="A163" s="46" t="inlineStr">
        <is>
          <t>L-HB-0162</t>
        </is>
      </c>
      <c r="B163" s="46" t="inlineStr">
        <is>
          <t>R-HB-0162</t>
        </is>
      </c>
      <c r="C163" s="48" t="inlineStr">
        <is>
          <t>항공</t>
        </is>
      </c>
      <c r="D163" s="48" t="inlineStr">
        <is>
          <t>인천공항</t>
        </is>
      </c>
      <c r="E163" s="46" t="inlineStr">
        <is>
          <t>ICN</t>
        </is>
      </c>
      <c r="F163" s="48" t="inlineStr">
        <is>
          <t>시애틀공항</t>
        </is>
      </c>
      <c r="G163" s="46" t="inlineStr">
        <is>
          <t>SEA</t>
        </is>
      </c>
      <c r="H163" s="47" t="n">
        <v>45061</v>
      </c>
      <c r="I163" s="52" t="n">
        <v>45064</v>
      </c>
      <c r="J163" s="52" t="n">
        <v>45064</v>
      </c>
      <c r="K163" s="53" t="n">
        <v>242.36</v>
      </c>
    </row>
    <row r="164" ht="15" customHeight="1" s="32">
      <c r="A164" s="46" t="inlineStr">
        <is>
          <t>L-HB-0163</t>
        </is>
      </c>
      <c r="B164" s="46" t="inlineStr">
        <is>
          <t>R-HB-0163</t>
        </is>
      </c>
      <c r="C164" s="48" t="inlineStr">
        <is>
          <t>항공</t>
        </is>
      </c>
      <c r="D164" s="48" t="inlineStr">
        <is>
          <t>인천공항</t>
        </is>
      </c>
      <c r="E164" s="46" t="inlineStr">
        <is>
          <t>ICN</t>
        </is>
      </c>
      <c r="F164" s="48" t="inlineStr">
        <is>
          <t>델리공항</t>
        </is>
      </c>
      <c r="G164" s="46" t="inlineStr">
        <is>
          <t>DEL</t>
        </is>
      </c>
      <c r="H164" s="47" t="n">
        <v>45061</v>
      </c>
      <c r="I164" s="52" t="n">
        <v>45063</v>
      </c>
      <c r="J164" s="52" t="n">
        <v>45063</v>
      </c>
      <c r="K164" s="53" t="n">
        <v>208.26</v>
      </c>
    </row>
    <row r="165" ht="15" customHeight="1" s="32">
      <c r="A165" s="46" t="inlineStr">
        <is>
          <t>L-HB-0164</t>
        </is>
      </c>
      <c r="B165" s="46" t="inlineStr">
        <is>
          <t>R-HB-0164</t>
        </is>
      </c>
      <c r="C165" s="48" t="inlineStr">
        <is>
          <t>항공</t>
        </is>
      </c>
      <c r="D165" s="48" t="inlineStr">
        <is>
          <t>인천공항</t>
        </is>
      </c>
      <c r="E165" s="46" t="inlineStr">
        <is>
          <t>ICN</t>
        </is>
      </c>
      <c r="F165" s="48" t="inlineStr">
        <is>
          <t>토론토공항</t>
        </is>
      </c>
      <c r="G165" s="46" t="inlineStr">
        <is>
          <t>YYZ</t>
        </is>
      </c>
      <c r="H165" s="47" t="n">
        <v>45062</v>
      </c>
      <c r="I165" s="52" t="n">
        <v>45065</v>
      </c>
      <c r="J165" s="52" t="n">
        <v>45067</v>
      </c>
      <c r="K165" s="53" t="n">
        <v>135</v>
      </c>
    </row>
    <row r="166" ht="15" customHeight="1" s="32">
      <c r="A166" s="46" t="inlineStr">
        <is>
          <t>L-HB-0165</t>
        </is>
      </c>
      <c r="B166" s="46" t="inlineStr">
        <is>
          <t>R-HB-0165</t>
        </is>
      </c>
      <c r="C166" s="48" t="inlineStr">
        <is>
          <t>항공</t>
        </is>
      </c>
      <c r="D166" s="48" t="inlineStr">
        <is>
          <t>인천공항</t>
        </is>
      </c>
      <c r="E166" s="46" t="inlineStr">
        <is>
          <t>ICN</t>
        </is>
      </c>
      <c r="F166" s="48" t="inlineStr">
        <is>
          <t>선전공항</t>
        </is>
      </c>
      <c r="G166" s="46" t="inlineStr">
        <is>
          <t>SZX</t>
        </is>
      </c>
      <c r="H166" s="47" t="n">
        <v>45062</v>
      </c>
      <c r="I166" s="52" t="n">
        <v>45063</v>
      </c>
      <c r="J166" s="52" t="n">
        <v>45063</v>
      </c>
      <c r="K166" s="53" t="n">
        <v>135</v>
      </c>
    </row>
    <row r="167" ht="15" customHeight="1" s="32">
      <c r="A167" s="46" t="inlineStr">
        <is>
          <t>L-HB-0166</t>
        </is>
      </c>
      <c r="B167" s="46" t="inlineStr">
        <is>
          <t>R-HB-0166</t>
        </is>
      </c>
      <c r="C167" s="48" t="inlineStr">
        <is>
          <t>항공</t>
        </is>
      </c>
      <c r="D167" s="48" t="inlineStr">
        <is>
          <t>인천공항</t>
        </is>
      </c>
      <c r="E167" s="46" t="inlineStr">
        <is>
          <t>ICN</t>
        </is>
      </c>
      <c r="F167" s="48" t="inlineStr">
        <is>
          <t>프랑크푸르트공항</t>
        </is>
      </c>
      <c r="G167" s="46" t="inlineStr">
        <is>
          <t>FRA</t>
        </is>
      </c>
      <c r="H167" s="47" t="n">
        <v>45063</v>
      </c>
      <c r="I167" s="52" t="n">
        <v>45066</v>
      </c>
      <c r="J167" s="52" t="n">
        <v>45066</v>
      </c>
      <c r="K167" s="53" t="n">
        <v>135</v>
      </c>
    </row>
    <row r="168" ht="15" customHeight="1" s="32">
      <c r="A168" s="46" t="inlineStr">
        <is>
          <t>L-HB-0167</t>
        </is>
      </c>
      <c r="B168" s="46" t="inlineStr">
        <is>
          <t>R-HB-0167</t>
        </is>
      </c>
      <c r="C168" s="48" t="inlineStr">
        <is>
          <t>항공</t>
        </is>
      </c>
      <c r="D168" s="48" t="inlineStr">
        <is>
          <t>인천공항</t>
        </is>
      </c>
      <c r="E168" s="46" t="inlineStr">
        <is>
          <t>ICN</t>
        </is>
      </c>
      <c r="F168" s="48" t="inlineStr">
        <is>
          <t>프랑크푸르트공항</t>
        </is>
      </c>
      <c r="G168" s="46" t="inlineStr">
        <is>
          <t>FRA</t>
        </is>
      </c>
      <c r="H168" s="47" t="n">
        <v>45064</v>
      </c>
      <c r="I168" s="52" t="n">
        <v>45067</v>
      </c>
      <c r="J168" s="52" t="n">
        <v>45066</v>
      </c>
      <c r="K168" s="53" t="n">
        <v>135</v>
      </c>
    </row>
    <row r="169" ht="15" customHeight="1" s="32">
      <c r="A169" s="46" t="inlineStr">
        <is>
          <t>L-HB-0168</t>
        </is>
      </c>
      <c r="B169" s="46" t="inlineStr">
        <is>
          <t>R-HB-0168</t>
        </is>
      </c>
      <c r="C169" s="48" t="inlineStr">
        <is>
          <t>항공</t>
        </is>
      </c>
      <c r="D169" s="48" t="inlineStr">
        <is>
          <t>인천공항</t>
        </is>
      </c>
      <c r="E169" s="46" t="inlineStr">
        <is>
          <t>ICN</t>
        </is>
      </c>
      <c r="F169" s="48" t="inlineStr">
        <is>
          <t>델리공항</t>
        </is>
      </c>
      <c r="G169" s="46" t="inlineStr">
        <is>
          <t>DEL</t>
        </is>
      </c>
      <c r="H169" s="47" t="n">
        <v>45064</v>
      </c>
      <c r="I169" s="52" t="n">
        <v>45067</v>
      </c>
      <c r="J169" s="52" t="n">
        <v>45067</v>
      </c>
      <c r="K169" s="53" t="n">
        <v>135</v>
      </c>
    </row>
    <row r="170" ht="15" customHeight="1" s="32">
      <c r="A170" s="46" t="inlineStr">
        <is>
          <t>L-HB-0169</t>
        </is>
      </c>
      <c r="B170" s="46" t="inlineStr">
        <is>
          <t>R-HB-0169</t>
        </is>
      </c>
      <c r="C170" s="48" t="inlineStr">
        <is>
          <t>항공</t>
        </is>
      </c>
      <c r="D170" s="48" t="inlineStr">
        <is>
          <t>인천공항</t>
        </is>
      </c>
      <c r="E170" s="46" t="inlineStr">
        <is>
          <t>ICN</t>
        </is>
      </c>
      <c r="F170" s="48" t="inlineStr">
        <is>
          <t>델리공항</t>
        </is>
      </c>
      <c r="G170" s="46" t="inlineStr">
        <is>
          <t>DEL</t>
        </is>
      </c>
      <c r="H170" s="47" t="n">
        <v>45064</v>
      </c>
      <c r="I170" s="52" t="n">
        <v>45067</v>
      </c>
      <c r="J170" s="52" t="n">
        <v>45067</v>
      </c>
      <c r="K170" s="53" t="n">
        <v>135</v>
      </c>
    </row>
    <row r="171" ht="15" customHeight="1" s="32">
      <c r="A171" s="46" t="inlineStr">
        <is>
          <t>L-HB-0170</t>
        </is>
      </c>
      <c r="B171" s="46" t="inlineStr">
        <is>
          <t>R-HB-0170</t>
        </is>
      </c>
      <c r="C171" s="48" t="inlineStr">
        <is>
          <t>항공</t>
        </is>
      </c>
      <c r="D171" s="48" t="inlineStr">
        <is>
          <t>인천공항</t>
        </is>
      </c>
      <c r="E171" s="46" t="inlineStr">
        <is>
          <t>ICN</t>
        </is>
      </c>
      <c r="F171" s="48" t="inlineStr">
        <is>
          <t>충칭공항</t>
        </is>
      </c>
      <c r="G171" s="46" t="inlineStr">
        <is>
          <t>CKG</t>
        </is>
      </c>
      <c r="H171" s="47" t="n">
        <v>45064</v>
      </c>
      <c r="I171" s="52" t="n">
        <v>45067</v>
      </c>
      <c r="J171" s="52" t="n">
        <v>45067</v>
      </c>
      <c r="K171" s="53" t="n">
        <v>135</v>
      </c>
    </row>
    <row r="172" ht="15" customHeight="1" s="32">
      <c r="A172" s="46" t="inlineStr">
        <is>
          <t>L-HB-0171</t>
        </is>
      </c>
      <c r="B172" s="46" t="inlineStr">
        <is>
          <t>R-HB-0171</t>
        </is>
      </c>
      <c r="C172" s="48" t="inlineStr">
        <is>
          <t>항공</t>
        </is>
      </c>
      <c r="D172" s="48" t="inlineStr">
        <is>
          <t>인천공항</t>
        </is>
      </c>
      <c r="E172" s="46" t="inlineStr">
        <is>
          <t>ICN</t>
        </is>
      </c>
      <c r="F172" s="48" t="inlineStr">
        <is>
          <t>충칭공항</t>
        </is>
      </c>
      <c r="G172" s="46" t="inlineStr">
        <is>
          <t>CKG</t>
        </is>
      </c>
      <c r="H172" s="47" t="n">
        <v>45064</v>
      </c>
      <c r="I172" s="52" t="n">
        <v>45065</v>
      </c>
      <c r="J172" s="52" t="n">
        <v>45065</v>
      </c>
      <c r="K172" s="53" t="n">
        <v>135</v>
      </c>
    </row>
    <row r="173" ht="15" customHeight="1" s="32">
      <c r="A173" s="46" t="inlineStr">
        <is>
          <t>L-HB-0172</t>
        </is>
      </c>
      <c r="B173" s="46" t="inlineStr">
        <is>
          <t>R-HB-0172</t>
        </is>
      </c>
      <c r="C173" s="48" t="inlineStr">
        <is>
          <t>항공</t>
        </is>
      </c>
      <c r="D173" s="48" t="inlineStr">
        <is>
          <t>인천공항</t>
        </is>
      </c>
      <c r="E173" s="46" t="inlineStr">
        <is>
          <t>ICN</t>
        </is>
      </c>
      <c r="F173" s="48" t="inlineStr">
        <is>
          <t>충칭공항</t>
        </is>
      </c>
      <c r="G173" s="46" t="inlineStr">
        <is>
          <t>CKG</t>
        </is>
      </c>
      <c r="H173" s="47" t="n">
        <v>45066</v>
      </c>
      <c r="I173" s="52" t="n">
        <v>45068</v>
      </c>
      <c r="J173" s="52" t="n">
        <v>45068</v>
      </c>
      <c r="K173" s="53" t="n">
        <v>180.92</v>
      </c>
    </row>
    <row r="174" ht="15" customHeight="1" s="32">
      <c r="A174" s="46" t="inlineStr">
        <is>
          <t>L-HB-0173</t>
        </is>
      </c>
      <c r="B174" s="46" t="inlineStr">
        <is>
          <t>R-HB-0173</t>
        </is>
      </c>
      <c r="C174" s="48" t="inlineStr">
        <is>
          <t>항공</t>
        </is>
      </c>
      <c r="D174" s="48" t="inlineStr">
        <is>
          <t>인천공항</t>
        </is>
      </c>
      <c r="E174" s="46" t="inlineStr">
        <is>
          <t>ICN</t>
        </is>
      </c>
      <c r="F174" s="48" t="inlineStr">
        <is>
          <t>시애틀공항</t>
        </is>
      </c>
      <c r="G174" s="46" t="inlineStr">
        <is>
          <t>SEA</t>
        </is>
      </c>
      <c r="H174" s="47" t="n">
        <v>45067</v>
      </c>
      <c r="I174" s="52" t="n">
        <v>45070</v>
      </c>
      <c r="J174" s="52" t="n">
        <v>45070</v>
      </c>
      <c r="K174" s="53" t="n">
        <v>135</v>
      </c>
    </row>
    <row r="175" ht="15" customHeight="1" s="32">
      <c r="A175" s="46" t="inlineStr">
        <is>
          <t>L-HB-0174</t>
        </is>
      </c>
      <c r="B175" s="46" t="inlineStr">
        <is>
          <t>R-HB-0174</t>
        </is>
      </c>
      <c r="C175" s="48" t="inlineStr">
        <is>
          <t>항공</t>
        </is>
      </c>
      <c r="D175" s="48" t="inlineStr">
        <is>
          <t>인천공항</t>
        </is>
      </c>
      <c r="E175" s="46" t="inlineStr">
        <is>
          <t>ICN</t>
        </is>
      </c>
      <c r="F175" s="48" t="inlineStr">
        <is>
          <t>토론토공항</t>
        </is>
      </c>
      <c r="G175" s="46" t="inlineStr">
        <is>
          <t>YYZ</t>
        </is>
      </c>
      <c r="H175" s="47" t="n">
        <v>45067</v>
      </c>
      <c r="I175" s="52" t="n">
        <v>45071</v>
      </c>
      <c r="J175" s="52" t="n">
        <v>45071</v>
      </c>
      <c r="K175" s="53" t="n">
        <v>135</v>
      </c>
    </row>
    <row r="176" ht="15" customHeight="1" s="32">
      <c r="A176" s="46" t="inlineStr">
        <is>
          <t>L-HB-0175</t>
        </is>
      </c>
      <c r="B176" s="46" t="inlineStr">
        <is>
          <t>R-HB-0175</t>
        </is>
      </c>
      <c r="C176" s="48" t="inlineStr">
        <is>
          <t>항공</t>
        </is>
      </c>
      <c r="D176" s="48" t="inlineStr">
        <is>
          <t>인천공항</t>
        </is>
      </c>
      <c r="E176" s="46" t="inlineStr">
        <is>
          <t>ICN</t>
        </is>
      </c>
      <c r="F176" s="48" t="inlineStr">
        <is>
          <t>로스앤젤레스공항</t>
        </is>
      </c>
      <c r="G176" s="46" t="inlineStr">
        <is>
          <t>LAX</t>
        </is>
      </c>
      <c r="H176" s="47" t="n">
        <v>45068</v>
      </c>
      <c r="I176" s="52" t="n">
        <v>45070</v>
      </c>
      <c r="J176" s="52" t="n">
        <v>45069</v>
      </c>
      <c r="K176" s="53" t="n">
        <v>360.05</v>
      </c>
    </row>
    <row r="177" ht="15" customHeight="1" s="32">
      <c r="A177" s="46" t="inlineStr">
        <is>
          <t>L-HB-0176</t>
        </is>
      </c>
      <c r="B177" s="46" t="inlineStr">
        <is>
          <t>R-HB-0176</t>
        </is>
      </c>
      <c r="C177" s="48" t="inlineStr">
        <is>
          <t>항공</t>
        </is>
      </c>
      <c r="D177" s="48" t="inlineStr">
        <is>
          <t>인천공항</t>
        </is>
      </c>
      <c r="E177" s="46" t="inlineStr">
        <is>
          <t>ICN</t>
        </is>
      </c>
      <c r="F177" s="48" t="inlineStr">
        <is>
          <t>선전공항</t>
        </is>
      </c>
      <c r="G177" s="46" t="inlineStr">
        <is>
          <t>SZX</t>
        </is>
      </c>
      <c r="H177" s="47" t="n">
        <v>45068</v>
      </c>
      <c r="I177" s="52" t="n">
        <v>45071</v>
      </c>
      <c r="J177" s="52" t="n">
        <v>45071</v>
      </c>
      <c r="K177" s="53" t="n">
        <v>248.6</v>
      </c>
    </row>
    <row r="178" ht="15" customHeight="1" s="32">
      <c r="A178" s="46" t="inlineStr">
        <is>
          <t>L-HB-0177</t>
        </is>
      </c>
      <c r="B178" s="46" t="inlineStr">
        <is>
          <t>R-HB-0177</t>
        </is>
      </c>
      <c r="C178" s="48" t="inlineStr">
        <is>
          <t>항공</t>
        </is>
      </c>
      <c r="D178" s="48" t="inlineStr">
        <is>
          <t>인천공항</t>
        </is>
      </c>
      <c r="E178" s="46" t="inlineStr">
        <is>
          <t>ICN</t>
        </is>
      </c>
      <c r="F178" s="48" t="inlineStr">
        <is>
          <t>과달라하라공항</t>
        </is>
      </c>
      <c r="G178" s="46" t="inlineStr">
        <is>
          <t>GDL</t>
        </is>
      </c>
      <c r="H178" s="47" t="n">
        <v>45069</v>
      </c>
      <c r="I178" s="52" t="n">
        <v>45073</v>
      </c>
      <c r="J178" s="52" t="n">
        <v>45073</v>
      </c>
      <c r="K178" s="53" t="n">
        <v>135</v>
      </c>
    </row>
    <row r="179" ht="15" customHeight="1" s="32">
      <c r="A179" s="46" t="inlineStr">
        <is>
          <t>L-HB-0178</t>
        </is>
      </c>
      <c r="B179" s="46" t="inlineStr">
        <is>
          <t>R-HB-0178</t>
        </is>
      </c>
      <c r="C179" s="48" t="inlineStr">
        <is>
          <t>항공</t>
        </is>
      </c>
      <c r="D179" s="48" t="inlineStr">
        <is>
          <t>인천공항</t>
        </is>
      </c>
      <c r="E179" s="46" t="inlineStr">
        <is>
          <t>ICN</t>
        </is>
      </c>
      <c r="F179" s="48" t="inlineStr">
        <is>
          <t>과달라하라공항</t>
        </is>
      </c>
      <c r="G179" s="46" t="inlineStr">
        <is>
          <t>GDL</t>
        </is>
      </c>
      <c r="H179" s="47" t="n">
        <v>45072</v>
      </c>
      <c r="I179" s="52" t="n">
        <v>45077</v>
      </c>
      <c r="J179" s="52" t="n">
        <v>45077</v>
      </c>
      <c r="K179" s="53" t="n">
        <v>135</v>
      </c>
    </row>
    <row r="180" ht="15" customHeight="1" s="32">
      <c r="A180" s="46" t="inlineStr">
        <is>
          <t>L-HB-0179</t>
        </is>
      </c>
      <c r="B180" s="46" t="inlineStr">
        <is>
          <t>R-HB-0179</t>
        </is>
      </c>
      <c r="C180" s="48" t="inlineStr">
        <is>
          <t>항공</t>
        </is>
      </c>
      <c r="D180" s="48" t="inlineStr">
        <is>
          <t>인천공항</t>
        </is>
      </c>
      <c r="E180" s="46" t="inlineStr">
        <is>
          <t>ICN</t>
        </is>
      </c>
      <c r="F180" s="48" t="inlineStr">
        <is>
          <t>하노이공항</t>
        </is>
      </c>
      <c r="G180" s="46" t="inlineStr">
        <is>
          <t>HAN</t>
        </is>
      </c>
      <c r="H180" s="47" t="n">
        <v>45072</v>
      </c>
      <c r="I180" s="52" t="n">
        <v>45075</v>
      </c>
      <c r="J180" s="52" t="n">
        <v>45079</v>
      </c>
      <c r="K180" s="53" t="n">
        <v>207.6</v>
      </c>
    </row>
    <row r="181" ht="15" customHeight="1" s="32">
      <c r="A181" s="46" t="inlineStr">
        <is>
          <t>L-HB-0180</t>
        </is>
      </c>
      <c r="B181" s="46" t="inlineStr">
        <is>
          <t>R-HB-0180</t>
        </is>
      </c>
      <c r="C181" s="48" t="inlineStr">
        <is>
          <t>항공</t>
        </is>
      </c>
      <c r="D181" s="48" t="inlineStr">
        <is>
          <t>인천공항</t>
        </is>
      </c>
      <c r="E181" s="46" t="inlineStr">
        <is>
          <t>ICN</t>
        </is>
      </c>
      <c r="F181" s="48" t="inlineStr">
        <is>
          <t>델리공항</t>
        </is>
      </c>
      <c r="G181" s="46" t="inlineStr">
        <is>
          <t>DEL</t>
        </is>
      </c>
      <c r="H181" s="47" t="n">
        <v>45073</v>
      </c>
      <c r="I181" s="52" t="n">
        <v>45077</v>
      </c>
      <c r="J181" s="52" t="n">
        <v>45077</v>
      </c>
      <c r="K181" s="53" t="n">
        <v>135</v>
      </c>
    </row>
    <row r="182" ht="15" customHeight="1" s="32">
      <c r="A182" s="46" t="inlineStr">
        <is>
          <t>L-HB-0181</t>
        </is>
      </c>
      <c r="B182" s="46" t="inlineStr">
        <is>
          <t>R-HB-0181</t>
        </is>
      </c>
      <c r="C182" s="48" t="inlineStr">
        <is>
          <t>항공</t>
        </is>
      </c>
      <c r="D182" s="48" t="inlineStr">
        <is>
          <t>인천공항</t>
        </is>
      </c>
      <c r="E182" s="46" t="inlineStr">
        <is>
          <t>ICN</t>
        </is>
      </c>
      <c r="F182" s="48" t="inlineStr">
        <is>
          <t>로스앤젤레스공항</t>
        </is>
      </c>
      <c r="G182" s="46" t="inlineStr">
        <is>
          <t>LAX</t>
        </is>
      </c>
      <c r="H182" s="47" t="n">
        <v>45080</v>
      </c>
      <c r="I182" s="52" t="n">
        <v>45084</v>
      </c>
      <c r="J182" s="52" t="n">
        <v>45084</v>
      </c>
      <c r="K182" s="53" t="n">
        <v>135</v>
      </c>
    </row>
    <row r="183" ht="15" customHeight="1" s="32">
      <c r="A183" s="46" t="inlineStr">
        <is>
          <t>L-HB-0182</t>
        </is>
      </c>
      <c r="B183" s="46" t="inlineStr">
        <is>
          <t>R-HB-0182</t>
        </is>
      </c>
      <c r="C183" s="48" t="inlineStr">
        <is>
          <t>항공</t>
        </is>
      </c>
      <c r="D183" s="48" t="inlineStr">
        <is>
          <t>인천공항</t>
        </is>
      </c>
      <c r="E183" s="46" t="inlineStr">
        <is>
          <t>ICN</t>
        </is>
      </c>
      <c r="F183" s="48" t="inlineStr">
        <is>
          <t>토론토공항</t>
        </is>
      </c>
      <c r="G183" s="46" t="inlineStr">
        <is>
          <t>YYZ</t>
        </is>
      </c>
      <c r="H183" s="47" t="n">
        <v>45080</v>
      </c>
      <c r="I183" s="52" t="n">
        <v>45084</v>
      </c>
      <c r="J183" s="52" t="n">
        <v>45084</v>
      </c>
      <c r="K183" s="53" t="n">
        <v>135</v>
      </c>
    </row>
    <row r="184" ht="15" customHeight="1" s="32">
      <c r="A184" s="46" t="inlineStr">
        <is>
          <t>L-HB-0183</t>
        </is>
      </c>
      <c r="B184" s="46" t="inlineStr">
        <is>
          <t>R-HB-0183</t>
        </is>
      </c>
      <c r="C184" s="48" t="inlineStr">
        <is>
          <t>항공</t>
        </is>
      </c>
      <c r="D184" s="48" t="inlineStr">
        <is>
          <t>인천공항</t>
        </is>
      </c>
      <c r="E184" s="46" t="inlineStr">
        <is>
          <t>ICN</t>
        </is>
      </c>
      <c r="F184" s="48" t="inlineStr">
        <is>
          <t>선전공항</t>
        </is>
      </c>
      <c r="G184" s="46" t="inlineStr">
        <is>
          <t>SZX</t>
        </is>
      </c>
      <c r="H184" s="47" t="n">
        <v>45081</v>
      </c>
      <c r="I184" s="52" t="n">
        <v>45084</v>
      </c>
      <c r="J184" s="52" t="n">
        <v>45084</v>
      </c>
      <c r="K184" s="53" t="n">
        <v>135</v>
      </c>
    </row>
    <row r="185" ht="15" customHeight="1" s="32">
      <c r="A185" s="46" t="inlineStr">
        <is>
          <t>L-HB-0184</t>
        </is>
      </c>
      <c r="B185" s="46" t="inlineStr">
        <is>
          <t>R-HB-0184</t>
        </is>
      </c>
      <c r="C185" s="48" t="inlineStr">
        <is>
          <t>항공</t>
        </is>
      </c>
      <c r="D185" s="48" t="inlineStr">
        <is>
          <t>인천공항</t>
        </is>
      </c>
      <c r="E185" s="46" t="inlineStr">
        <is>
          <t>ICN</t>
        </is>
      </c>
      <c r="F185" s="48" t="inlineStr">
        <is>
          <t>시애틀공항</t>
        </is>
      </c>
      <c r="G185" s="46" t="inlineStr">
        <is>
          <t>SEA</t>
        </is>
      </c>
      <c r="H185" s="47" t="n">
        <v>45082</v>
      </c>
      <c r="I185" s="52" t="n">
        <v>45085</v>
      </c>
      <c r="J185" s="52" t="n">
        <v>45085</v>
      </c>
      <c r="K185" s="53" t="n">
        <v>135</v>
      </c>
    </row>
    <row r="186" ht="15" customHeight="1" s="32">
      <c r="A186" s="46" t="inlineStr">
        <is>
          <t>L-HB-0185</t>
        </is>
      </c>
      <c r="B186" s="46" t="inlineStr">
        <is>
          <t>R-HB-0185</t>
        </is>
      </c>
      <c r="C186" s="48" t="inlineStr">
        <is>
          <t>항공</t>
        </is>
      </c>
      <c r="D186" s="48" t="inlineStr">
        <is>
          <t>인천공항</t>
        </is>
      </c>
      <c r="E186" s="46" t="inlineStr">
        <is>
          <t>ICN</t>
        </is>
      </c>
      <c r="F186" s="48" t="inlineStr">
        <is>
          <t>하노이공항</t>
        </is>
      </c>
      <c r="G186" s="46" t="inlineStr">
        <is>
          <t>HAN</t>
        </is>
      </c>
      <c r="H186" s="47" t="n">
        <v>45082</v>
      </c>
      <c r="I186" s="52" t="n">
        <v>45083</v>
      </c>
      <c r="J186" s="52" t="n">
        <v>45083</v>
      </c>
      <c r="K186" s="53" t="n">
        <v>135</v>
      </c>
    </row>
    <row r="187" ht="15" customHeight="1" s="32">
      <c r="A187" s="46" t="inlineStr">
        <is>
          <t>L-HB-0186</t>
        </is>
      </c>
      <c r="B187" s="46" t="inlineStr">
        <is>
          <t>R-HB-0186</t>
        </is>
      </c>
      <c r="C187" s="48" t="inlineStr">
        <is>
          <t>항공</t>
        </is>
      </c>
      <c r="D187" s="48" t="inlineStr">
        <is>
          <t>인천공항</t>
        </is>
      </c>
      <c r="E187" s="46" t="inlineStr">
        <is>
          <t>ICN</t>
        </is>
      </c>
      <c r="F187" s="48" t="inlineStr">
        <is>
          <t>로스앤젤레스공항</t>
        </is>
      </c>
      <c r="G187" s="46" t="inlineStr">
        <is>
          <t>LAX</t>
        </is>
      </c>
      <c r="H187" s="47" t="n">
        <v>45083</v>
      </c>
      <c r="I187" s="52" t="n">
        <v>45086</v>
      </c>
      <c r="J187" s="52" t="n">
        <v>45086</v>
      </c>
      <c r="K187" s="53" t="n">
        <v>419.91</v>
      </c>
    </row>
    <row r="188" ht="15" customHeight="1" s="32">
      <c r="A188" s="46" t="inlineStr">
        <is>
          <t>L-HB-0187</t>
        </is>
      </c>
      <c r="B188" s="46" t="inlineStr">
        <is>
          <t>R-HB-0187</t>
        </is>
      </c>
      <c r="C188" s="48" t="inlineStr">
        <is>
          <t>항공</t>
        </is>
      </c>
      <c r="D188" s="48" t="inlineStr">
        <is>
          <t>인천공항</t>
        </is>
      </c>
      <c r="E188" s="46" t="inlineStr">
        <is>
          <t>ICN</t>
        </is>
      </c>
      <c r="F188" s="48" t="inlineStr">
        <is>
          <t>과달라하라공항</t>
        </is>
      </c>
      <c r="G188" s="46" t="inlineStr">
        <is>
          <t>GDL</t>
        </is>
      </c>
      <c r="H188" s="47" t="n">
        <v>45085</v>
      </c>
      <c r="I188" s="52" t="n">
        <v>45088</v>
      </c>
      <c r="J188" s="52" t="n">
        <v>45088</v>
      </c>
      <c r="K188" s="53" t="n">
        <v>135</v>
      </c>
    </row>
    <row r="189" ht="15" customHeight="1" s="32">
      <c r="A189" s="46" t="inlineStr">
        <is>
          <t>L-HB-0188</t>
        </is>
      </c>
      <c r="B189" s="46" t="inlineStr">
        <is>
          <t>R-HB-0188</t>
        </is>
      </c>
      <c r="C189" s="48" t="inlineStr">
        <is>
          <t>항공</t>
        </is>
      </c>
      <c r="D189" s="48" t="inlineStr">
        <is>
          <t>인천공항</t>
        </is>
      </c>
      <c r="E189" s="46" t="inlineStr">
        <is>
          <t>ICN</t>
        </is>
      </c>
      <c r="F189" s="48" t="inlineStr">
        <is>
          <t>시애틀공항</t>
        </is>
      </c>
      <c r="G189" s="46" t="inlineStr">
        <is>
          <t>SEA</t>
        </is>
      </c>
      <c r="H189" s="47" t="n">
        <v>45086</v>
      </c>
      <c r="I189" s="52" t="n">
        <v>45088</v>
      </c>
      <c r="J189" s="52" t="n">
        <v>45088</v>
      </c>
      <c r="K189" s="53" t="n">
        <v>239.6</v>
      </c>
    </row>
    <row r="190" ht="15" customHeight="1" s="32">
      <c r="A190" s="46" t="inlineStr">
        <is>
          <t>L-HB-0189</t>
        </is>
      </c>
      <c r="B190" s="46" t="inlineStr">
        <is>
          <t>R-HB-0189</t>
        </is>
      </c>
      <c r="C190" s="48" t="inlineStr">
        <is>
          <t>항공</t>
        </is>
      </c>
      <c r="D190" s="48" t="inlineStr">
        <is>
          <t>인천공항</t>
        </is>
      </c>
      <c r="E190" s="46" t="inlineStr">
        <is>
          <t>ICN</t>
        </is>
      </c>
      <c r="F190" s="48" t="inlineStr">
        <is>
          <t>과달라하라공항</t>
        </is>
      </c>
      <c r="G190" s="46" t="inlineStr">
        <is>
          <t>GDL</t>
        </is>
      </c>
      <c r="H190" s="47" t="n">
        <v>45086</v>
      </c>
      <c r="I190" s="52" t="n">
        <v>45089</v>
      </c>
      <c r="J190" s="52" t="n">
        <v>45089</v>
      </c>
      <c r="K190" s="53" t="n">
        <v>135</v>
      </c>
    </row>
    <row r="191" ht="15" customHeight="1" s="32">
      <c r="A191" s="46" t="inlineStr">
        <is>
          <t>L-HB-0190</t>
        </is>
      </c>
      <c r="B191" s="46" t="inlineStr">
        <is>
          <t>R-HB-0190</t>
        </is>
      </c>
      <c r="C191" s="48" t="inlineStr">
        <is>
          <t>항공</t>
        </is>
      </c>
      <c r="D191" s="48" t="inlineStr">
        <is>
          <t>인천공항</t>
        </is>
      </c>
      <c r="E191" s="46" t="inlineStr">
        <is>
          <t>ICN</t>
        </is>
      </c>
      <c r="F191" s="48" t="inlineStr">
        <is>
          <t>프랑크푸르트공항</t>
        </is>
      </c>
      <c r="G191" s="46" t="inlineStr">
        <is>
          <t>FRA</t>
        </is>
      </c>
      <c r="H191" s="47" t="n">
        <v>45086</v>
      </c>
      <c r="I191" s="52" t="n">
        <v>45089</v>
      </c>
      <c r="J191" s="52" t="n">
        <v>45089</v>
      </c>
      <c r="K191" s="53" t="n">
        <v>352.81</v>
      </c>
    </row>
    <row r="192" ht="15" customHeight="1" s="32">
      <c r="A192" s="46" t="inlineStr">
        <is>
          <t>L-HB-0191</t>
        </is>
      </c>
      <c r="B192" s="46" t="inlineStr">
        <is>
          <t>R-HB-0191</t>
        </is>
      </c>
      <c r="C192" s="48" t="inlineStr">
        <is>
          <t>항공</t>
        </is>
      </c>
      <c r="D192" s="48" t="inlineStr">
        <is>
          <t>인천공항</t>
        </is>
      </c>
      <c r="E192" s="46" t="inlineStr">
        <is>
          <t>ICN</t>
        </is>
      </c>
      <c r="F192" s="48" t="inlineStr">
        <is>
          <t>충칭공항</t>
        </is>
      </c>
      <c r="G192" s="46" t="inlineStr">
        <is>
          <t>CKG</t>
        </is>
      </c>
      <c r="H192" s="47" t="n">
        <v>45088</v>
      </c>
      <c r="I192" s="52" t="n">
        <v>45089</v>
      </c>
      <c r="J192" s="52" t="n">
        <v>45091</v>
      </c>
      <c r="K192" s="53" t="n">
        <v>135</v>
      </c>
    </row>
    <row r="193" ht="15" customHeight="1" s="32">
      <c r="A193" s="46" t="inlineStr">
        <is>
          <t>L-HB-0192</t>
        </is>
      </c>
      <c r="B193" s="46" t="inlineStr">
        <is>
          <t>R-HB-0192</t>
        </is>
      </c>
      <c r="C193" s="48" t="inlineStr">
        <is>
          <t>항공</t>
        </is>
      </c>
      <c r="D193" s="48" t="inlineStr">
        <is>
          <t>인천공항</t>
        </is>
      </c>
      <c r="E193" s="46" t="inlineStr">
        <is>
          <t>ICN</t>
        </is>
      </c>
      <c r="F193" s="48" t="inlineStr">
        <is>
          <t>토론토공항</t>
        </is>
      </c>
      <c r="G193" s="46" t="inlineStr">
        <is>
          <t>YYZ</t>
        </is>
      </c>
      <c r="H193" s="47" t="n">
        <v>45089</v>
      </c>
      <c r="I193" s="52" t="n">
        <v>45092</v>
      </c>
      <c r="J193" s="52" t="n">
        <v>45092</v>
      </c>
      <c r="K193" s="53" t="n">
        <v>135</v>
      </c>
    </row>
    <row r="194" ht="15" customHeight="1" s="32">
      <c r="A194" s="46" t="inlineStr">
        <is>
          <t>L-HB-0193</t>
        </is>
      </c>
      <c r="B194" s="46" t="inlineStr">
        <is>
          <t>R-HB-0193</t>
        </is>
      </c>
      <c r="C194" s="48" t="inlineStr">
        <is>
          <t>항공</t>
        </is>
      </c>
      <c r="D194" s="48" t="inlineStr">
        <is>
          <t>인천공항</t>
        </is>
      </c>
      <c r="E194" s="46" t="inlineStr">
        <is>
          <t>ICN</t>
        </is>
      </c>
      <c r="F194" s="48" t="inlineStr">
        <is>
          <t>델리공항</t>
        </is>
      </c>
      <c r="G194" s="46" t="inlineStr">
        <is>
          <t>DEL</t>
        </is>
      </c>
      <c r="H194" s="47" t="n">
        <v>45090</v>
      </c>
      <c r="I194" s="52" t="n">
        <v>45093</v>
      </c>
      <c r="J194" s="52" t="n">
        <v>45093</v>
      </c>
      <c r="K194" s="53" t="n">
        <v>135</v>
      </c>
    </row>
    <row r="195" ht="15" customHeight="1" s="32">
      <c r="A195" s="46" t="inlineStr">
        <is>
          <t>L-HB-0194</t>
        </is>
      </c>
      <c r="B195" s="46" t="inlineStr">
        <is>
          <t>R-HB-0194</t>
        </is>
      </c>
      <c r="C195" s="48" t="inlineStr">
        <is>
          <t>해상</t>
        </is>
      </c>
      <c r="D195" s="48" t="inlineStr">
        <is>
          <t>부산항</t>
        </is>
      </c>
      <c r="E195" s="46" t="inlineStr">
        <is>
          <t>KRPUS</t>
        </is>
      </c>
      <c r="F195" s="48" t="inlineStr">
        <is>
          <t>서커우항</t>
        </is>
      </c>
      <c r="G195" s="46" t="inlineStr">
        <is>
          <t>CNSHK</t>
        </is>
      </c>
      <c r="H195" s="47" t="n">
        <v>45090</v>
      </c>
      <c r="I195" s="52" t="n">
        <v>45097</v>
      </c>
      <c r="J195" s="52" t="n">
        <v>45097</v>
      </c>
      <c r="K195" s="53" t="n">
        <v>530</v>
      </c>
    </row>
    <row r="196" ht="15" customHeight="1" s="32">
      <c r="A196" s="46" t="inlineStr">
        <is>
          <t>L-HB-0195</t>
        </is>
      </c>
      <c r="B196" s="46" t="inlineStr">
        <is>
          <t>R-HB-0195</t>
        </is>
      </c>
      <c r="C196" s="48" t="inlineStr">
        <is>
          <t>항공</t>
        </is>
      </c>
      <c r="D196" s="48" t="inlineStr">
        <is>
          <t>인천공항</t>
        </is>
      </c>
      <c r="E196" s="46" t="inlineStr">
        <is>
          <t>ICN</t>
        </is>
      </c>
      <c r="F196" s="48" t="inlineStr">
        <is>
          <t>프랑크푸르트공항</t>
        </is>
      </c>
      <c r="G196" s="46" t="inlineStr">
        <is>
          <t>FRA</t>
        </is>
      </c>
      <c r="H196" s="47" t="n">
        <v>45091</v>
      </c>
      <c r="I196" s="52" t="n">
        <v>45094</v>
      </c>
      <c r="J196" s="52" t="n">
        <v>45094</v>
      </c>
      <c r="K196" s="53" t="n">
        <v>239.83</v>
      </c>
    </row>
    <row r="197" ht="15" customHeight="1" s="32">
      <c r="A197" s="46" t="inlineStr">
        <is>
          <t>L-HB-0196</t>
        </is>
      </c>
      <c r="B197" s="46" t="inlineStr">
        <is>
          <t>R-HB-0196</t>
        </is>
      </c>
      <c r="C197" s="48" t="inlineStr">
        <is>
          <t>항공</t>
        </is>
      </c>
      <c r="D197" s="48" t="inlineStr">
        <is>
          <t>인천공항</t>
        </is>
      </c>
      <c r="E197" s="46" t="inlineStr">
        <is>
          <t>ICN</t>
        </is>
      </c>
      <c r="F197" s="48" t="inlineStr">
        <is>
          <t>과달라하라공항</t>
        </is>
      </c>
      <c r="G197" s="46" t="inlineStr">
        <is>
          <t>GDL</t>
        </is>
      </c>
      <c r="H197" s="47" t="n">
        <v>45093</v>
      </c>
      <c r="I197" s="52" t="n">
        <v>45098</v>
      </c>
      <c r="J197" s="52" t="n">
        <v>45098</v>
      </c>
      <c r="K197" s="53" t="n">
        <v>135</v>
      </c>
    </row>
    <row r="198" ht="15" customHeight="1" s="32">
      <c r="A198" s="46" t="inlineStr">
        <is>
          <t>L-HB-0197</t>
        </is>
      </c>
      <c r="B198" s="46" t="inlineStr">
        <is>
          <t>R-HB-0197</t>
        </is>
      </c>
      <c r="C198" s="48" t="inlineStr">
        <is>
          <t>항공</t>
        </is>
      </c>
      <c r="D198" s="48" t="inlineStr">
        <is>
          <t>인천공항</t>
        </is>
      </c>
      <c r="E198" s="46" t="inlineStr">
        <is>
          <t>ICN</t>
        </is>
      </c>
      <c r="F198" s="48" t="inlineStr">
        <is>
          <t>토론토공항</t>
        </is>
      </c>
      <c r="G198" s="46" t="inlineStr">
        <is>
          <t>YYZ</t>
        </is>
      </c>
      <c r="H198" s="47" t="n">
        <v>45093</v>
      </c>
      <c r="I198" s="52" t="n">
        <v>45097</v>
      </c>
      <c r="J198" s="52" t="n">
        <v>45096</v>
      </c>
      <c r="K198" s="53" t="n">
        <v>135</v>
      </c>
    </row>
    <row r="199" ht="15" customHeight="1" s="32">
      <c r="A199" s="46" t="inlineStr">
        <is>
          <t>L-HB-0198</t>
        </is>
      </c>
      <c r="B199" s="46" t="inlineStr">
        <is>
          <t>R-HB-0198</t>
        </is>
      </c>
      <c r="C199" s="48" t="inlineStr">
        <is>
          <t>항공</t>
        </is>
      </c>
      <c r="D199" s="48" t="inlineStr">
        <is>
          <t>인천공항</t>
        </is>
      </c>
      <c r="E199" s="46" t="inlineStr">
        <is>
          <t>ICN</t>
        </is>
      </c>
      <c r="F199" s="48" t="inlineStr">
        <is>
          <t>델리공항</t>
        </is>
      </c>
      <c r="G199" s="46" t="inlineStr">
        <is>
          <t>DEL</t>
        </is>
      </c>
      <c r="H199" s="47" t="n">
        <v>45093</v>
      </c>
      <c r="I199" s="52" t="n">
        <v>45097</v>
      </c>
      <c r="J199" s="52" t="n">
        <v>45097</v>
      </c>
      <c r="K199" s="53" t="n">
        <v>135</v>
      </c>
    </row>
    <row r="200" ht="15" customHeight="1" s="32">
      <c r="A200" s="46" t="inlineStr">
        <is>
          <t>L-HB-0199</t>
        </is>
      </c>
      <c r="B200" s="46" t="inlineStr">
        <is>
          <t>R-HB-0199</t>
        </is>
      </c>
      <c r="C200" s="48" t="inlineStr">
        <is>
          <t>항공</t>
        </is>
      </c>
      <c r="D200" s="48" t="inlineStr">
        <is>
          <t>인천공항</t>
        </is>
      </c>
      <c r="E200" s="46" t="inlineStr">
        <is>
          <t>ICN</t>
        </is>
      </c>
      <c r="F200" s="48" t="inlineStr">
        <is>
          <t>로스앤젤레스공항</t>
        </is>
      </c>
      <c r="G200" s="46" t="inlineStr">
        <is>
          <t>LAX</t>
        </is>
      </c>
      <c r="H200" s="47" t="n">
        <v>45095</v>
      </c>
      <c r="I200" s="52" t="n">
        <v>45098</v>
      </c>
      <c r="J200" s="52" t="n">
        <v>45101</v>
      </c>
      <c r="K200" s="53" t="n">
        <v>247.29</v>
      </c>
    </row>
    <row r="201" ht="15" customHeight="1" s="32">
      <c r="A201" s="46" t="inlineStr">
        <is>
          <t>L-HB-0200</t>
        </is>
      </c>
      <c r="B201" s="46" t="inlineStr">
        <is>
          <t>R-HB-0200</t>
        </is>
      </c>
      <c r="C201" s="48" t="inlineStr">
        <is>
          <t>항공</t>
        </is>
      </c>
      <c r="D201" s="48" t="inlineStr">
        <is>
          <t>인천공항</t>
        </is>
      </c>
      <c r="E201" s="46" t="inlineStr">
        <is>
          <t>ICN</t>
        </is>
      </c>
      <c r="F201" s="48" t="inlineStr">
        <is>
          <t>과달라하라공항</t>
        </is>
      </c>
      <c r="G201" s="46" t="inlineStr">
        <is>
          <t>GDL</t>
        </is>
      </c>
      <c r="H201" s="47" t="n">
        <v>45095</v>
      </c>
      <c r="I201" s="52" t="n">
        <v>45098</v>
      </c>
      <c r="J201" s="52" t="n">
        <v>45097</v>
      </c>
      <c r="K201" s="53" t="n">
        <v>135</v>
      </c>
    </row>
    <row r="202" ht="15" customHeight="1" s="32">
      <c r="A202" s="46" t="inlineStr">
        <is>
          <t>L-HB-0201</t>
        </is>
      </c>
      <c r="B202" s="46" t="inlineStr">
        <is>
          <t>R-HB-0201</t>
        </is>
      </c>
      <c r="C202" s="48" t="inlineStr">
        <is>
          <t>항공</t>
        </is>
      </c>
      <c r="D202" s="48" t="inlineStr">
        <is>
          <t>인천공항</t>
        </is>
      </c>
      <c r="E202" s="46" t="inlineStr">
        <is>
          <t>ICN</t>
        </is>
      </c>
      <c r="F202" s="48" t="inlineStr">
        <is>
          <t>하노이공항</t>
        </is>
      </c>
      <c r="G202" s="46" t="inlineStr">
        <is>
          <t>HAN</t>
        </is>
      </c>
      <c r="H202" s="47" t="n">
        <v>45095</v>
      </c>
      <c r="I202" s="52" t="n">
        <v>45096</v>
      </c>
      <c r="J202" s="52" t="n">
        <v>45096</v>
      </c>
      <c r="K202" s="53" t="n">
        <v>135</v>
      </c>
    </row>
    <row r="203" ht="15" customHeight="1" s="32">
      <c r="A203" s="46" t="inlineStr">
        <is>
          <t>L-HB-0202</t>
        </is>
      </c>
      <c r="B203" s="46" t="inlineStr">
        <is>
          <t>R-HB-0202</t>
        </is>
      </c>
      <c r="C203" s="48" t="inlineStr">
        <is>
          <t>항공</t>
        </is>
      </c>
      <c r="D203" s="48" t="inlineStr">
        <is>
          <t>인천공항</t>
        </is>
      </c>
      <c r="E203" s="46" t="inlineStr">
        <is>
          <t>ICN</t>
        </is>
      </c>
      <c r="F203" s="48" t="inlineStr">
        <is>
          <t>델리공항</t>
        </is>
      </c>
      <c r="G203" s="46" t="inlineStr">
        <is>
          <t>DEL</t>
        </is>
      </c>
      <c r="H203" s="47" t="n">
        <v>45095</v>
      </c>
      <c r="I203" s="52" t="n">
        <v>45097</v>
      </c>
      <c r="J203" s="52" t="n">
        <v>45096</v>
      </c>
      <c r="K203" s="53" t="n">
        <v>172.01</v>
      </c>
    </row>
    <row r="204" ht="15" customHeight="1" s="32">
      <c r="A204" s="46" t="inlineStr">
        <is>
          <t>L-HB-0203</t>
        </is>
      </c>
      <c r="B204" s="46" t="inlineStr">
        <is>
          <t>R-HB-0203</t>
        </is>
      </c>
      <c r="C204" s="48" t="inlineStr">
        <is>
          <t>항공</t>
        </is>
      </c>
      <c r="D204" s="48" t="inlineStr">
        <is>
          <t>인천공항</t>
        </is>
      </c>
      <c r="E204" s="46" t="inlineStr">
        <is>
          <t>ICN</t>
        </is>
      </c>
      <c r="F204" s="48" t="inlineStr">
        <is>
          <t>선전공항</t>
        </is>
      </c>
      <c r="G204" s="46" t="inlineStr">
        <is>
          <t>SZX</t>
        </is>
      </c>
      <c r="H204" s="47" t="n">
        <v>45095</v>
      </c>
      <c r="I204" s="52" t="n">
        <v>45096</v>
      </c>
      <c r="J204" s="52" t="n">
        <v>45097</v>
      </c>
      <c r="K204" s="53" t="n">
        <v>258.1</v>
      </c>
    </row>
    <row r="205" ht="15" customHeight="1" s="32">
      <c r="A205" s="46" t="inlineStr">
        <is>
          <t>L-HB-0204</t>
        </is>
      </c>
      <c r="B205" s="46" t="inlineStr">
        <is>
          <t>R-HB-0204</t>
        </is>
      </c>
      <c r="C205" s="48" t="inlineStr">
        <is>
          <t>항공</t>
        </is>
      </c>
      <c r="D205" s="48" t="inlineStr">
        <is>
          <t>인천공항</t>
        </is>
      </c>
      <c r="E205" s="46" t="inlineStr">
        <is>
          <t>ICN</t>
        </is>
      </c>
      <c r="F205" s="48" t="inlineStr">
        <is>
          <t>프랑크푸르트공항</t>
        </is>
      </c>
      <c r="G205" s="46" t="inlineStr">
        <is>
          <t>FRA</t>
        </is>
      </c>
      <c r="H205" s="47" t="n">
        <v>45096</v>
      </c>
      <c r="I205" s="52" t="n">
        <v>45100</v>
      </c>
      <c r="J205" s="52" t="n">
        <v>45100</v>
      </c>
      <c r="K205" s="53" t="n">
        <v>135</v>
      </c>
    </row>
    <row r="206" ht="15" customHeight="1" s="32">
      <c r="A206" s="46" t="inlineStr">
        <is>
          <t>L-HB-0205</t>
        </is>
      </c>
      <c r="B206" s="46" t="inlineStr">
        <is>
          <t>R-HB-0205</t>
        </is>
      </c>
      <c r="C206" s="48" t="inlineStr">
        <is>
          <t>항공</t>
        </is>
      </c>
      <c r="D206" s="48" t="inlineStr">
        <is>
          <t>인천공항</t>
        </is>
      </c>
      <c r="E206" s="46" t="inlineStr">
        <is>
          <t>ICN</t>
        </is>
      </c>
      <c r="F206" s="48" t="inlineStr">
        <is>
          <t>델리공항</t>
        </is>
      </c>
      <c r="G206" s="46" t="inlineStr">
        <is>
          <t>DEL</t>
        </is>
      </c>
      <c r="H206" s="47" t="n">
        <v>45096</v>
      </c>
      <c r="I206" s="52" t="n">
        <v>45099</v>
      </c>
      <c r="J206" s="52" t="n">
        <v>45098</v>
      </c>
      <c r="K206" s="53" t="n">
        <v>135</v>
      </c>
    </row>
    <row r="207" ht="15" customHeight="1" s="32">
      <c r="A207" s="46" t="inlineStr">
        <is>
          <t>L-HB-0206</t>
        </is>
      </c>
      <c r="B207" s="46" t="inlineStr">
        <is>
          <t>R-HB-0206</t>
        </is>
      </c>
      <c r="C207" s="48" t="inlineStr">
        <is>
          <t>항공</t>
        </is>
      </c>
      <c r="D207" s="48" t="inlineStr">
        <is>
          <t>인천공항</t>
        </is>
      </c>
      <c r="E207" s="46" t="inlineStr">
        <is>
          <t>ICN</t>
        </is>
      </c>
      <c r="F207" s="48" t="inlineStr">
        <is>
          <t>하노이공항</t>
        </is>
      </c>
      <c r="G207" s="46" t="inlineStr">
        <is>
          <t>HAN</t>
        </is>
      </c>
      <c r="H207" s="47" t="n">
        <v>45097</v>
      </c>
      <c r="I207" s="52" t="n">
        <v>45098</v>
      </c>
      <c r="J207" s="52" t="n">
        <v>45098</v>
      </c>
      <c r="K207" s="53" t="n">
        <v>240.9</v>
      </c>
    </row>
    <row r="208" ht="15" customHeight="1" s="32">
      <c r="A208" s="46" t="inlineStr">
        <is>
          <t>L-HB-0207</t>
        </is>
      </c>
      <c r="B208" s="46" t="inlineStr">
        <is>
          <t>R-HB-0207</t>
        </is>
      </c>
      <c r="C208" s="48" t="inlineStr">
        <is>
          <t>항공</t>
        </is>
      </c>
      <c r="D208" s="48" t="inlineStr">
        <is>
          <t>인천공항</t>
        </is>
      </c>
      <c r="E208" s="46" t="inlineStr">
        <is>
          <t>ICN</t>
        </is>
      </c>
      <c r="F208" s="48" t="inlineStr">
        <is>
          <t>충칭공항</t>
        </is>
      </c>
      <c r="G208" s="46" t="inlineStr">
        <is>
          <t>CKG</t>
        </is>
      </c>
      <c r="H208" s="47" t="n">
        <v>45098</v>
      </c>
      <c r="I208" s="52" t="n">
        <v>45101</v>
      </c>
      <c r="J208" s="52" t="n">
        <v>45101</v>
      </c>
      <c r="K208" s="53" t="n">
        <v>135</v>
      </c>
    </row>
    <row r="209" ht="15" customHeight="1" s="32">
      <c r="A209" s="46" t="inlineStr">
        <is>
          <t>L-HB-0208</t>
        </is>
      </c>
      <c r="B209" s="46" t="inlineStr">
        <is>
          <t>R-HB-0208</t>
        </is>
      </c>
      <c r="C209" s="48" t="inlineStr">
        <is>
          <t>해상</t>
        </is>
      </c>
      <c r="D209" s="48" t="inlineStr">
        <is>
          <t>부산항</t>
        </is>
      </c>
      <c r="E209" s="46" t="inlineStr">
        <is>
          <t>KRPUS</t>
        </is>
      </c>
      <c r="F209" s="48" t="inlineStr">
        <is>
          <t>하이퐁항</t>
        </is>
      </c>
      <c r="G209" s="46" t="inlineStr">
        <is>
          <t>VNHPH</t>
        </is>
      </c>
      <c r="H209" s="47" t="n">
        <v>45099</v>
      </c>
      <c r="I209" s="52" t="n">
        <v>45108</v>
      </c>
      <c r="J209" s="52" t="n">
        <v>45107</v>
      </c>
      <c r="K209" s="53" t="n">
        <v>530</v>
      </c>
    </row>
    <row r="210" ht="15" customHeight="1" s="32">
      <c r="A210" s="46" t="inlineStr">
        <is>
          <t>L-HB-0209</t>
        </is>
      </c>
      <c r="B210" s="46" t="inlineStr">
        <is>
          <t>R-HB-0209</t>
        </is>
      </c>
      <c r="C210" s="48" t="inlineStr">
        <is>
          <t>항공</t>
        </is>
      </c>
      <c r="D210" s="48" t="inlineStr">
        <is>
          <t>인천공항</t>
        </is>
      </c>
      <c r="E210" s="46" t="inlineStr">
        <is>
          <t>ICN</t>
        </is>
      </c>
      <c r="F210" s="48" t="inlineStr">
        <is>
          <t>시애틀공항</t>
        </is>
      </c>
      <c r="G210" s="46" t="inlineStr">
        <is>
          <t>SEA</t>
        </is>
      </c>
      <c r="H210" s="47" t="n">
        <v>45100</v>
      </c>
      <c r="I210" s="52" t="n">
        <v>45102</v>
      </c>
      <c r="J210" s="52" t="n">
        <v>45101</v>
      </c>
      <c r="K210" s="53" t="n">
        <v>135</v>
      </c>
    </row>
    <row r="211" ht="15" customHeight="1" s="32">
      <c r="A211" s="46" t="inlineStr">
        <is>
          <t>L-HB-0210</t>
        </is>
      </c>
      <c r="B211" s="46" t="inlineStr">
        <is>
          <t>R-HB-0210</t>
        </is>
      </c>
      <c r="C211" s="48" t="inlineStr">
        <is>
          <t>항공</t>
        </is>
      </c>
      <c r="D211" s="48" t="inlineStr">
        <is>
          <t>인천공항</t>
        </is>
      </c>
      <c r="E211" s="46" t="inlineStr">
        <is>
          <t>ICN</t>
        </is>
      </c>
      <c r="F211" s="48" t="inlineStr">
        <is>
          <t>토론토공항</t>
        </is>
      </c>
      <c r="G211" s="46" t="inlineStr">
        <is>
          <t>YYZ</t>
        </is>
      </c>
      <c r="H211" s="47" t="n">
        <v>45100</v>
      </c>
      <c r="I211" s="52" t="n">
        <v>45104</v>
      </c>
      <c r="J211" s="52" t="n">
        <v>45104</v>
      </c>
      <c r="K211" s="53" t="n">
        <v>135</v>
      </c>
    </row>
    <row r="212" ht="15" customHeight="1" s="32">
      <c r="A212" s="46" t="inlineStr">
        <is>
          <t>L-HB-0211</t>
        </is>
      </c>
      <c r="B212" s="46" t="inlineStr">
        <is>
          <t>R-HB-0211</t>
        </is>
      </c>
      <c r="C212" s="48" t="inlineStr">
        <is>
          <t>항공</t>
        </is>
      </c>
      <c r="D212" s="48" t="inlineStr">
        <is>
          <t>인천공항</t>
        </is>
      </c>
      <c r="E212" s="46" t="inlineStr">
        <is>
          <t>ICN</t>
        </is>
      </c>
      <c r="F212" s="48" t="inlineStr">
        <is>
          <t>충칭공항</t>
        </is>
      </c>
      <c r="G212" s="46" t="inlineStr">
        <is>
          <t>CKG</t>
        </is>
      </c>
      <c r="H212" s="47" t="n">
        <v>45100</v>
      </c>
      <c r="I212" s="52" t="n">
        <v>45101</v>
      </c>
      <c r="J212" s="52" t="n">
        <v>45101</v>
      </c>
      <c r="K212" s="53" t="n">
        <v>203.64</v>
      </c>
    </row>
    <row r="213" ht="15" customHeight="1" s="32">
      <c r="A213" s="46" t="inlineStr">
        <is>
          <t>L-HB-0212</t>
        </is>
      </c>
      <c r="B213" s="46" t="inlineStr">
        <is>
          <t>R-HB-0212</t>
        </is>
      </c>
      <c r="C213" s="48" t="inlineStr">
        <is>
          <t>항공</t>
        </is>
      </c>
      <c r="D213" s="48" t="inlineStr">
        <is>
          <t>인천공항</t>
        </is>
      </c>
      <c r="E213" s="46" t="inlineStr">
        <is>
          <t>ICN</t>
        </is>
      </c>
      <c r="F213" s="48" t="inlineStr">
        <is>
          <t>로스앤젤레스공항</t>
        </is>
      </c>
      <c r="G213" s="46" t="inlineStr">
        <is>
          <t>LAX</t>
        </is>
      </c>
      <c r="H213" s="47" t="n">
        <v>45101</v>
      </c>
      <c r="I213" s="52" t="n">
        <v>45103</v>
      </c>
      <c r="J213" s="52" t="n">
        <v>45103</v>
      </c>
      <c r="K213" s="53" t="n">
        <v>142.38</v>
      </c>
    </row>
    <row r="214" ht="15" customHeight="1" s="32">
      <c r="A214" s="46" t="inlineStr">
        <is>
          <t>L-HB-0213</t>
        </is>
      </c>
      <c r="B214" s="46" t="inlineStr">
        <is>
          <t>R-HB-0213</t>
        </is>
      </c>
      <c r="C214" s="48" t="inlineStr">
        <is>
          <t>항공</t>
        </is>
      </c>
      <c r="D214" s="48" t="inlineStr">
        <is>
          <t>인천공항</t>
        </is>
      </c>
      <c r="E214" s="46" t="inlineStr">
        <is>
          <t>ICN</t>
        </is>
      </c>
      <c r="F214" s="48" t="inlineStr">
        <is>
          <t>시애틀공항</t>
        </is>
      </c>
      <c r="G214" s="46" t="inlineStr">
        <is>
          <t>SEA</t>
        </is>
      </c>
      <c r="H214" s="47" t="n">
        <v>45101</v>
      </c>
      <c r="I214" s="52" t="n">
        <v>45104</v>
      </c>
      <c r="J214" s="52" t="n">
        <v>45107</v>
      </c>
      <c r="K214" s="53" t="n">
        <v>151.75</v>
      </c>
    </row>
    <row r="215" ht="15" customHeight="1" s="32">
      <c r="A215" s="46" t="inlineStr">
        <is>
          <t>L-HB-0214</t>
        </is>
      </c>
      <c r="B215" s="46" t="inlineStr">
        <is>
          <t>R-HB-0214</t>
        </is>
      </c>
      <c r="C215" s="48" t="inlineStr">
        <is>
          <t>항공</t>
        </is>
      </c>
      <c r="D215" s="48" t="inlineStr">
        <is>
          <t>인천공항</t>
        </is>
      </c>
      <c r="E215" s="46" t="inlineStr">
        <is>
          <t>ICN</t>
        </is>
      </c>
      <c r="F215" s="48" t="inlineStr">
        <is>
          <t>프랑크푸르트공항</t>
        </is>
      </c>
      <c r="G215" s="46" t="inlineStr">
        <is>
          <t>FRA</t>
        </is>
      </c>
      <c r="H215" s="47" t="n">
        <v>45101</v>
      </c>
      <c r="I215" s="52" t="n">
        <v>45104</v>
      </c>
      <c r="J215" s="52" t="n">
        <v>45104</v>
      </c>
      <c r="K215" s="53" t="n">
        <v>135</v>
      </c>
    </row>
    <row r="216" ht="15" customHeight="1" s="32">
      <c r="A216" s="46" t="inlineStr">
        <is>
          <t>L-HB-0215</t>
        </is>
      </c>
      <c r="B216" s="46" t="inlineStr">
        <is>
          <t>R-HB-0215</t>
        </is>
      </c>
      <c r="C216" s="48" t="inlineStr">
        <is>
          <t>해상</t>
        </is>
      </c>
      <c r="D216" s="48" t="inlineStr">
        <is>
          <t>부산항</t>
        </is>
      </c>
      <c r="E216" s="46" t="inlineStr">
        <is>
          <t>KRPUS</t>
        </is>
      </c>
      <c r="F216" s="48" t="inlineStr">
        <is>
          <t>상하이항</t>
        </is>
      </c>
      <c r="G216" s="46" t="inlineStr">
        <is>
          <t>CNSHA</t>
        </is>
      </c>
      <c r="H216" s="47" t="n">
        <v>45102</v>
      </c>
      <c r="I216" s="52" t="n">
        <v>45107</v>
      </c>
      <c r="J216" s="52" t="n">
        <v>45107</v>
      </c>
      <c r="K216" s="53" t="n">
        <v>530</v>
      </c>
    </row>
    <row r="217" ht="15" customHeight="1" s="32">
      <c r="A217" s="46" t="inlineStr">
        <is>
          <t>L-HB-0216</t>
        </is>
      </c>
      <c r="B217" s="46" t="inlineStr">
        <is>
          <t>R-HB-0216</t>
        </is>
      </c>
      <c r="C217" s="48" t="inlineStr">
        <is>
          <t>항공</t>
        </is>
      </c>
      <c r="D217" s="48" t="inlineStr">
        <is>
          <t>인천공항</t>
        </is>
      </c>
      <c r="E217" s="46" t="inlineStr">
        <is>
          <t>ICN</t>
        </is>
      </c>
      <c r="F217" s="48" t="inlineStr">
        <is>
          <t>선전공항</t>
        </is>
      </c>
      <c r="G217" s="46" t="inlineStr">
        <is>
          <t>SZX</t>
        </is>
      </c>
      <c r="H217" s="47" t="n">
        <v>45104</v>
      </c>
      <c r="I217" s="52" t="n">
        <v>45105</v>
      </c>
      <c r="J217" s="52" t="n">
        <v>45105</v>
      </c>
      <c r="K217" s="53" t="n">
        <v>135</v>
      </c>
    </row>
    <row r="218" ht="15" customHeight="1" s="32">
      <c r="A218" s="46" t="inlineStr">
        <is>
          <t>L-HB-0217</t>
        </is>
      </c>
      <c r="B218" s="46" t="inlineStr">
        <is>
          <t>R-HB-0217</t>
        </is>
      </c>
      <c r="C218" s="48" t="inlineStr">
        <is>
          <t>항공</t>
        </is>
      </c>
      <c r="D218" s="48" t="inlineStr">
        <is>
          <t>인천공항</t>
        </is>
      </c>
      <c r="E218" s="46" t="inlineStr">
        <is>
          <t>ICN</t>
        </is>
      </c>
      <c r="F218" s="48" t="inlineStr">
        <is>
          <t>하노이공항</t>
        </is>
      </c>
      <c r="G218" s="46" t="inlineStr">
        <is>
          <t>HAN</t>
        </is>
      </c>
      <c r="H218" s="47" t="n">
        <v>45110</v>
      </c>
      <c r="I218" s="52" t="n">
        <v>45111</v>
      </c>
      <c r="J218" s="52" t="n">
        <v>45110</v>
      </c>
      <c r="K218" s="53" t="n">
        <v>135</v>
      </c>
    </row>
    <row r="219" ht="15" customHeight="1" s="32">
      <c r="A219" s="46" t="inlineStr">
        <is>
          <t>L-HB-0218</t>
        </is>
      </c>
      <c r="B219" s="46" t="inlineStr">
        <is>
          <t>R-HB-0218</t>
        </is>
      </c>
      <c r="C219" s="48" t="inlineStr">
        <is>
          <t>항공</t>
        </is>
      </c>
      <c r="D219" s="48" t="inlineStr">
        <is>
          <t>인천공항</t>
        </is>
      </c>
      <c r="E219" s="46" t="inlineStr">
        <is>
          <t>ICN</t>
        </is>
      </c>
      <c r="F219" s="48" t="inlineStr">
        <is>
          <t>충칭공항</t>
        </is>
      </c>
      <c r="G219" s="46" t="inlineStr">
        <is>
          <t>CKG</t>
        </is>
      </c>
      <c r="H219" s="47" t="n">
        <v>45111</v>
      </c>
      <c r="I219" s="52" t="n">
        <v>45112</v>
      </c>
      <c r="J219" s="52" t="n">
        <v>45112</v>
      </c>
      <c r="K219" s="53" t="n">
        <v>135</v>
      </c>
    </row>
    <row r="220" ht="15" customHeight="1" s="32">
      <c r="A220" s="46" t="inlineStr">
        <is>
          <t>L-HB-0219</t>
        </is>
      </c>
      <c r="B220" s="46" t="inlineStr">
        <is>
          <t>R-HB-0219</t>
        </is>
      </c>
      <c r="C220" s="48" t="inlineStr">
        <is>
          <t>항공</t>
        </is>
      </c>
      <c r="D220" s="48" t="inlineStr">
        <is>
          <t>인천공항</t>
        </is>
      </c>
      <c r="E220" s="46" t="inlineStr">
        <is>
          <t>ICN</t>
        </is>
      </c>
      <c r="F220" s="48" t="inlineStr">
        <is>
          <t>시애틀공항</t>
        </is>
      </c>
      <c r="G220" s="46" t="inlineStr">
        <is>
          <t>SEA</t>
        </is>
      </c>
      <c r="H220" s="47" t="n">
        <v>45112</v>
      </c>
      <c r="I220" s="52" t="n">
        <v>45115</v>
      </c>
      <c r="J220" s="52" t="n">
        <v>45115</v>
      </c>
      <c r="K220" s="53" t="n">
        <v>242.71</v>
      </c>
    </row>
    <row r="221" ht="15" customHeight="1" s="32">
      <c r="A221" s="46" t="inlineStr">
        <is>
          <t>L-HB-0220</t>
        </is>
      </c>
      <c r="B221" s="46" t="inlineStr">
        <is>
          <t>R-HB-0220</t>
        </is>
      </c>
      <c r="C221" s="48" t="inlineStr">
        <is>
          <t>항공</t>
        </is>
      </c>
      <c r="D221" s="48" t="inlineStr">
        <is>
          <t>인천공항</t>
        </is>
      </c>
      <c r="E221" s="46" t="inlineStr">
        <is>
          <t>ICN</t>
        </is>
      </c>
      <c r="F221" s="48" t="inlineStr">
        <is>
          <t>선전공항</t>
        </is>
      </c>
      <c r="G221" s="46" t="inlineStr">
        <is>
          <t>SZX</t>
        </is>
      </c>
      <c r="H221" s="47" t="n">
        <v>45113</v>
      </c>
      <c r="I221" s="52" t="n">
        <v>45115</v>
      </c>
      <c r="J221" s="52" t="n">
        <v>45115</v>
      </c>
      <c r="K221" s="53" t="n">
        <v>254.67</v>
      </c>
    </row>
    <row r="222" ht="15" customHeight="1" s="32">
      <c r="A222" s="46" t="inlineStr">
        <is>
          <t>L-HB-0221</t>
        </is>
      </c>
      <c r="B222" s="46" t="inlineStr">
        <is>
          <t>R-HB-0221</t>
        </is>
      </c>
      <c r="C222" s="48" t="inlineStr">
        <is>
          <t>해상</t>
        </is>
      </c>
      <c r="D222" s="48" t="inlineStr">
        <is>
          <t>부산항</t>
        </is>
      </c>
      <c r="E222" s="46" t="inlineStr">
        <is>
          <t>KRPUS</t>
        </is>
      </c>
      <c r="F222" s="48" t="inlineStr">
        <is>
          <t>상하이항</t>
        </is>
      </c>
      <c r="G222" s="46" t="inlineStr">
        <is>
          <t>CNSHA</t>
        </is>
      </c>
      <c r="H222" s="47" t="n">
        <v>45114</v>
      </c>
      <c r="I222" s="52" t="n">
        <v>45120</v>
      </c>
      <c r="J222" s="52" t="n">
        <v>45120</v>
      </c>
      <c r="K222" s="53" t="n">
        <v>530</v>
      </c>
    </row>
    <row r="223" ht="15" customHeight="1" s="32">
      <c r="A223" s="46" t="inlineStr">
        <is>
          <t>L-HB-0222</t>
        </is>
      </c>
      <c r="B223" s="46" t="inlineStr">
        <is>
          <t>R-HB-0222</t>
        </is>
      </c>
      <c r="C223" s="48" t="inlineStr">
        <is>
          <t>항공</t>
        </is>
      </c>
      <c r="D223" s="48" t="inlineStr">
        <is>
          <t>인천공항</t>
        </is>
      </c>
      <c r="E223" s="46" t="inlineStr">
        <is>
          <t>ICN</t>
        </is>
      </c>
      <c r="F223" s="48" t="inlineStr">
        <is>
          <t>충칭공항</t>
        </is>
      </c>
      <c r="G223" s="46" t="inlineStr">
        <is>
          <t>CKG</t>
        </is>
      </c>
      <c r="H223" s="47" t="n">
        <v>45114</v>
      </c>
      <c r="I223" s="52" t="n">
        <v>45115</v>
      </c>
      <c r="J223" s="52" t="n">
        <v>45117</v>
      </c>
      <c r="K223" s="53" t="n">
        <v>135</v>
      </c>
    </row>
    <row r="224" ht="15" customHeight="1" s="32">
      <c r="A224" s="46" t="inlineStr">
        <is>
          <t>L-HB-0223</t>
        </is>
      </c>
      <c r="B224" s="46" t="inlineStr">
        <is>
          <t>R-HB-0223</t>
        </is>
      </c>
      <c r="C224" s="48" t="inlineStr">
        <is>
          <t>항공</t>
        </is>
      </c>
      <c r="D224" s="48" t="inlineStr">
        <is>
          <t>인천공항</t>
        </is>
      </c>
      <c r="E224" s="46" t="inlineStr">
        <is>
          <t>ICN</t>
        </is>
      </c>
      <c r="F224" s="48" t="inlineStr">
        <is>
          <t>과달라하라공항</t>
        </is>
      </c>
      <c r="G224" s="46" t="inlineStr">
        <is>
          <t>GDL</t>
        </is>
      </c>
      <c r="H224" s="47" t="n">
        <v>45115</v>
      </c>
      <c r="I224" s="52" t="n">
        <v>45118</v>
      </c>
      <c r="J224" s="52" t="n">
        <v>45118</v>
      </c>
      <c r="K224" s="53" t="n">
        <v>135</v>
      </c>
    </row>
    <row r="225" ht="15" customHeight="1" s="32">
      <c r="A225" s="46" t="inlineStr">
        <is>
          <t>L-HB-0224</t>
        </is>
      </c>
      <c r="B225" s="46" t="inlineStr">
        <is>
          <t>R-HB-0224</t>
        </is>
      </c>
      <c r="C225" s="48" t="inlineStr">
        <is>
          <t>항공</t>
        </is>
      </c>
      <c r="D225" s="48" t="inlineStr">
        <is>
          <t>인천공항</t>
        </is>
      </c>
      <c r="E225" s="46" t="inlineStr">
        <is>
          <t>ICN</t>
        </is>
      </c>
      <c r="F225" s="48" t="inlineStr">
        <is>
          <t>델리공항</t>
        </is>
      </c>
      <c r="G225" s="46" t="inlineStr">
        <is>
          <t>DEL</t>
        </is>
      </c>
      <c r="H225" s="47" t="n">
        <v>45115</v>
      </c>
      <c r="I225" s="52" t="n">
        <v>45118</v>
      </c>
      <c r="J225" s="52" t="n">
        <v>45117</v>
      </c>
      <c r="K225" s="53" t="n">
        <v>135</v>
      </c>
    </row>
    <row r="226" ht="15" customHeight="1" s="32">
      <c r="A226" s="46" t="inlineStr">
        <is>
          <t>L-HB-0225</t>
        </is>
      </c>
      <c r="B226" s="46" t="inlineStr">
        <is>
          <t>R-HB-0225</t>
        </is>
      </c>
      <c r="C226" s="48" t="inlineStr">
        <is>
          <t>항공</t>
        </is>
      </c>
      <c r="D226" s="48" t="inlineStr">
        <is>
          <t>인천공항</t>
        </is>
      </c>
      <c r="E226" s="46" t="inlineStr">
        <is>
          <t>ICN</t>
        </is>
      </c>
      <c r="F226" s="48" t="inlineStr">
        <is>
          <t>시애틀공항</t>
        </is>
      </c>
      <c r="G226" s="46" t="inlineStr">
        <is>
          <t>SEA</t>
        </is>
      </c>
      <c r="H226" s="47" t="n">
        <v>45116</v>
      </c>
      <c r="I226" s="52" t="n">
        <v>45120</v>
      </c>
      <c r="J226" s="52" t="n">
        <v>45120</v>
      </c>
      <c r="K226" s="53" t="n">
        <v>135</v>
      </c>
    </row>
    <row r="227" ht="15" customHeight="1" s="32">
      <c r="A227" s="46" t="inlineStr">
        <is>
          <t>L-HB-0226</t>
        </is>
      </c>
      <c r="B227" s="46" t="inlineStr">
        <is>
          <t>R-HB-0226</t>
        </is>
      </c>
      <c r="C227" s="48" t="inlineStr">
        <is>
          <t>항공</t>
        </is>
      </c>
      <c r="D227" s="48" t="inlineStr">
        <is>
          <t>인천공항</t>
        </is>
      </c>
      <c r="E227" s="46" t="inlineStr">
        <is>
          <t>ICN</t>
        </is>
      </c>
      <c r="F227" s="48" t="inlineStr">
        <is>
          <t>토론토공항</t>
        </is>
      </c>
      <c r="G227" s="46" t="inlineStr">
        <is>
          <t>YYZ</t>
        </is>
      </c>
      <c r="H227" s="47" t="n">
        <v>45116</v>
      </c>
      <c r="I227" s="52" t="n">
        <v>45120</v>
      </c>
      <c r="J227" s="52" t="n">
        <v>45120</v>
      </c>
      <c r="K227" s="53" t="n">
        <v>135</v>
      </c>
    </row>
    <row r="228" ht="15" customHeight="1" s="32">
      <c r="A228" s="46" t="inlineStr">
        <is>
          <t>L-HB-0227</t>
        </is>
      </c>
      <c r="B228" s="46" t="inlineStr">
        <is>
          <t>R-HB-0227</t>
        </is>
      </c>
      <c r="C228" s="48" t="inlineStr">
        <is>
          <t>항공</t>
        </is>
      </c>
      <c r="D228" s="48" t="inlineStr">
        <is>
          <t>인천공항</t>
        </is>
      </c>
      <c r="E228" s="46" t="inlineStr">
        <is>
          <t>ICN</t>
        </is>
      </c>
      <c r="F228" s="48" t="inlineStr">
        <is>
          <t>델리공항</t>
        </is>
      </c>
      <c r="G228" s="46" t="inlineStr">
        <is>
          <t>DEL</t>
        </is>
      </c>
      <c r="H228" s="47" t="n">
        <v>45116</v>
      </c>
      <c r="I228" s="52" t="n">
        <v>45118</v>
      </c>
      <c r="J228" s="52" t="n">
        <v>45118</v>
      </c>
      <c r="K228" s="53" t="n">
        <v>135</v>
      </c>
    </row>
    <row r="229" ht="15" customHeight="1" s="32">
      <c r="A229" s="46" t="inlineStr">
        <is>
          <t>L-HB-0228</t>
        </is>
      </c>
      <c r="B229" s="46" t="inlineStr">
        <is>
          <t>R-HB-0228</t>
        </is>
      </c>
      <c r="C229" s="48" t="inlineStr">
        <is>
          <t>항공</t>
        </is>
      </c>
      <c r="D229" s="48" t="inlineStr">
        <is>
          <t>인천공항</t>
        </is>
      </c>
      <c r="E229" s="46" t="inlineStr">
        <is>
          <t>ICN</t>
        </is>
      </c>
      <c r="F229" s="48" t="inlineStr">
        <is>
          <t>시애틀공항</t>
        </is>
      </c>
      <c r="G229" s="46" t="inlineStr">
        <is>
          <t>SEA</t>
        </is>
      </c>
      <c r="H229" s="47" t="n">
        <v>45117</v>
      </c>
      <c r="I229" s="52" t="n">
        <v>45119</v>
      </c>
      <c r="J229" s="52" t="n">
        <v>45119</v>
      </c>
      <c r="K229" s="53" t="n">
        <v>135</v>
      </c>
    </row>
    <row r="230" ht="15" customHeight="1" s="32">
      <c r="A230" s="46" t="inlineStr">
        <is>
          <t>L-HB-0229</t>
        </is>
      </c>
      <c r="B230" s="46" t="inlineStr">
        <is>
          <t>R-HB-0229</t>
        </is>
      </c>
      <c r="C230" s="48" t="inlineStr">
        <is>
          <t>항공</t>
        </is>
      </c>
      <c r="D230" s="48" t="inlineStr">
        <is>
          <t>인천공항</t>
        </is>
      </c>
      <c r="E230" s="46" t="inlineStr">
        <is>
          <t>ICN</t>
        </is>
      </c>
      <c r="F230" s="48" t="inlineStr">
        <is>
          <t>토론토공항</t>
        </is>
      </c>
      <c r="G230" s="46" t="inlineStr">
        <is>
          <t>YYZ</t>
        </is>
      </c>
      <c r="H230" s="47" t="n">
        <v>45117</v>
      </c>
      <c r="I230" s="52" t="n">
        <v>45120</v>
      </c>
      <c r="J230" s="52" t="n">
        <v>45120</v>
      </c>
      <c r="K230" s="53" t="n">
        <v>135</v>
      </c>
    </row>
    <row r="231" ht="15" customHeight="1" s="32">
      <c r="A231" s="46" t="inlineStr">
        <is>
          <t>L-HB-0230</t>
        </is>
      </c>
      <c r="B231" s="46" t="inlineStr">
        <is>
          <t>R-HB-0230</t>
        </is>
      </c>
      <c r="C231" s="48" t="inlineStr">
        <is>
          <t>항공</t>
        </is>
      </c>
      <c r="D231" s="48" t="inlineStr">
        <is>
          <t>인천공항</t>
        </is>
      </c>
      <c r="E231" s="46" t="inlineStr">
        <is>
          <t>ICN</t>
        </is>
      </c>
      <c r="F231" s="48" t="inlineStr">
        <is>
          <t>프랑크푸르트공항</t>
        </is>
      </c>
      <c r="G231" s="46" t="inlineStr">
        <is>
          <t>FRA</t>
        </is>
      </c>
      <c r="H231" s="47" t="n">
        <v>45117</v>
      </c>
      <c r="I231" s="52" t="n">
        <v>45120</v>
      </c>
      <c r="J231" s="52" t="n">
        <v>45124</v>
      </c>
      <c r="K231" s="53" t="n">
        <v>230.61</v>
      </c>
    </row>
    <row r="232" ht="15" customHeight="1" s="32">
      <c r="A232" s="46" t="inlineStr">
        <is>
          <t>L-HB-0231</t>
        </is>
      </c>
      <c r="B232" s="46" t="inlineStr">
        <is>
          <t>R-HB-0231</t>
        </is>
      </c>
      <c r="C232" s="48" t="inlineStr">
        <is>
          <t>항공</t>
        </is>
      </c>
      <c r="D232" s="48" t="inlineStr">
        <is>
          <t>인천공항</t>
        </is>
      </c>
      <c r="E232" s="46" t="inlineStr">
        <is>
          <t>ICN</t>
        </is>
      </c>
      <c r="F232" s="48" t="inlineStr">
        <is>
          <t>하노이공항</t>
        </is>
      </c>
      <c r="G232" s="46" t="inlineStr">
        <is>
          <t>HAN</t>
        </is>
      </c>
      <c r="H232" s="47" t="n">
        <v>45117</v>
      </c>
      <c r="I232" s="52" t="n">
        <v>45120</v>
      </c>
      <c r="J232" s="52" t="n">
        <v>45122</v>
      </c>
      <c r="K232" s="53" t="n">
        <v>229.46</v>
      </c>
    </row>
    <row r="233" ht="15" customHeight="1" s="32">
      <c r="A233" s="46" t="inlineStr">
        <is>
          <t>L-HB-0232</t>
        </is>
      </c>
      <c r="B233" s="46" t="inlineStr">
        <is>
          <t>R-HB-0232</t>
        </is>
      </c>
      <c r="C233" s="48" t="inlineStr">
        <is>
          <t>항공</t>
        </is>
      </c>
      <c r="D233" s="48" t="inlineStr">
        <is>
          <t>인천공항</t>
        </is>
      </c>
      <c r="E233" s="46" t="inlineStr">
        <is>
          <t>ICN</t>
        </is>
      </c>
      <c r="F233" s="48" t="inlineStr">
        <is>
          <t>선전공항</t>
        </is>
      </c>
      <c r="G233" s="46" t="inlineStr">
        <is>
          <t>SZX</t>
        </is>
      </c>
      <c r="H233" s="47" t="n">
        <v>45117</v>
      </c>
      <c r="I233" s="52" t="n">
        <v>45120</v>
      </c>
      <c r="J233" s="52" t="n">
        <v>45121</v>
      </c>
      <c r="K233" s="53" t="n">
        <v>135</v>
      </c>
    </row>
    <row r="234" ht="15" customHeight="1" s="32">
      <c r="A234" s="46" t="inlineStr">
        <is>
          <t>L-HB-0233</t>
        </is>
      </c>
      <c r="B234" s="46" t="inlineStr">
        <is>
          <t>R-HB-0233</t>
        </is>
      </c>
      <c r="C234" s="48" t="inlineStr">
        <is>
          <t>항공</t>
        </is>
      </c>
      <c r="D234" s="48" t="inlineStr">
        <is>
          <t>인천공항</t>
        </is>
      </c>
      <c r="E234" s="46" t="inlineStr">
        <is>
          <t>ICN</t>
        </is>
      </c>
      <c r="F234" s="48" t="inlineStr">
        <is>
          <t>과달라하라공항</t>
        </is>
      </c>
      <c r="G234" s="46" t="inlineStr">
        <is>
          <t>GDL</t>
        </is>
      </c>
      <c r="H234" s="47" t="n">
        <v>45119</v>
      </c>
      <c r="I234" s="52" t="n">
        <v>45122</v>
      </c>
      <c r="J234" s="52" t="n">
        <v>45122</v>
      </c>
      <c r="K234" s="53" t="n">
        <v>135</v>
      </c>
    </row>
    <row r="235" ht="15" customHeight="1" s="32">
      <c r="A235" s="46" t="inlineStr">
        <is>
          <t>L-HB-0234</t>
        </is>
      </c>
      <c r="B235" s="46" t="inlineStr">
        <is>
          <t>R-HB-0234</t>
        </is>
      </c>
      <c r="C235" s="48" t="inlineStr">
        <is>
          <t>항공</t>
        </is>
      </c>
      <c r="D235" s="48" t="inlineStr">
        <is>
          <t>인천공항</t>
        </is>
      </c>
      <c r="E235" s="46" t="inlineStr">
        <is>
          <t>ICN</t>
        </is>
      </c>
      <c r="F235" s="48" t="inlineStr">
        <is>
          <t>프랑크푸르트공항</t>
        </is>
      </c>
      <c r="G235" s="46" t="inlineStr">
        <is>
          <t>FRA</t>
        </is>
      </c>
      <c r="H235" s="47" t="n">
        <v>45119</v>
      </c>
      <c r="I235" s="52" t="n">
        <v>45123</v>
      </c>
      <c r="J235" s="52" t="n">
        <v>45123</v>
      </c>
      <c r="K235" s="53" t="n">
        <v>135</v>
      </c>
    </row>
    <row r="236" ht="15" customHeight="1" s="32">
      <c r="A236" s="46" t="inlineStr">
        <is>
          <t>L-HB-0235</t>
        </is>
      </c>
      <c r="B236" s="46" t="inlineStr">
        <is>
          <t>R-HB-0235</t>
        </is>
      </c>
      <c r="C236" s="48" t="inlineStr">
        <is>
          <t>항공</t>
        </is>
      </c>
      <c r="D236" s="48" t="inlineStr">
        <is>
          <t>인천공항</t>
        </is>
      </c>
      <c r="E236" s="46" t="inlineStr">
        <is>
          <t>ICN</t>
        </is>
      </c>
      <c r="F236" s="48" t="inlineStr">
        <is>
          <t>하노이공항</t>
        </is>
      </c>
      <c r="G236" s="46" t="inlineStr">
        <is>
          <t>HAN</t>
        </is>
      </c>
      <c r="H236" s="47" t="n">
        <v>45119</v>
      </c>
      <c r="I236" s="52" t="n">
        <v>45120</v>
      </c>
      <c r="J236" s="52" t="n">
        <v>45119</v>
      </c>
      <c r="K236" s="53" t="n">
        <v>135</v>
      </c>
    </row>
    <row r="237" ht="15" customHeight="1" s="32">
      <c r="A237" s="46" t="inlineStr">
        <is>
          <t>L-HB-0236</t>
        </is>
      </c>
      <c r="B237" s="46" t="inlineStr">
        <is>
          <t>R-HB-0236</t>
        </is>
      </c>
      <c r="C237" s="48" t="inlineStr">
        <is>
          <t>항공</t>
        </is>
      </c>
      <c r="D237" s="48" t="inlineStr">
        <is>
          <t>인천공항</t>
        </is>
      </c>
      <c r="E237" s="46" t="inlineStr">
        <is>
          <t>ICN</t>
        </is>
      </c>
      <c r="F237" s="48" t="inlineStr">
        <is>
          <t>로스앤젤레스공항</t>
        </is>
      </c>
      <c r="G237" s="46" t="inlineStr">
        <is>
          <t>LAX</t>
        </is>
      </c>
      <c r="H237" s="47" t="n">
        <v>45123</v>
      </c>
      <c r="I237" s="52" t="n">
        <v>45125</v>
      </c>
      <c r="J237" s="52" t="n">
        <v>45125</v>
      </c>
      <c r="K237" s="53" t="n">
        <v>135</v>
      </c>
    </row>
    <row r="238" ht="15" customHeight="1" s="32">
      <c r="A238" s="46" t="inlineStr">
        <is>
          <t>L-HB-0237</t>
        </is>
      </c>
      <c r="B238" s="46" t="inlineStr">
        <is>
          <t>R-HB-0237</t>
        </is>
      </c>
      <c r="C238" s="48" t="inlineStr">
        <is>
          <t>항공</t>
        </is>
      </c>
      <c r="D238" s="48" t="inlineStr">
        <is>
          <t>인천공항</t>
        </is>
      </c>
      <c r="E238" s="46" t="inlineStr">
        <is>
          <t>ICN</t>
        </is>
      </c>
      <c r="F238" s="48" t="inlineStr">
        <is>
          <t>과달라하라공항</t>
        </is>
      </c>
      <c r="G238" s="46" t="inlineStr">
        <is>
          <t>GDL</t>
        </is>
      </c>
      <c r="H238" s="47" t="n">
        <v>45123</v>
      </c>
      <c r="I238" s="52" t="n">
        <v>45126</v>
      </c>
      <c r="J238" s="52" t="n">
        <v>45126</v>
      </c>
      <c r="K238" s="53" t="n">
        <v>135</v>
      </c>
    </row>
    <row r="239" ht="15" customHeight="1" s="32">
      <c r="A239" s="46" t="inlineStr">
        <is>
          <t>L-HB-0238</t>
        </is>
      </c>
      <c r="B239" s="46" t="inlineStr">
        <is>
          <t>R-HB-0238</t>
        </is>
      </c>
      <c r="C239" s="48" t="inlineStr">
        <is>
          <t>항공</t>
        </is>
      </c>
      <c r="D239" s="48" t="inlineStr">
        <is>
          <t>인천공항</t>
        </is>
      </c>
      <c r="E239" s="46" t="inlineStr">
        <is>
          <t>ICN</t>
        </is>
      </c>
      <c r="F239" s="48" t="inlineStr">
        <is>
          <t>충칭공항</t>
        </is>
      </c>
      <c r="G239" s="46" t="inlineStr">
        <is>
          <t>CKG</t>
        </is>
      </c>
      <c r="H239" s="47" t="n">
        <v>45123</v>
      </c>
      <c r="I239" s="52" t="n">
        <v>45124</v>
      </c>
      <c r="J239" s="52" t="n">
        <v>45124</v>
      </c>
      <c r="K239" s="53" t="n">
        <v>200.34</v>
      </c>
    </row>
    <row r="240" ht="15" customHeight="1" s="32">
      <c r="A240" s="46" t="inlineStr">
        <is>
          <t>L-HB-0239</t>
        </is>
      </c>
      <c r="B240" s="46" t="inlineStr">
        <is>
          <t>R-HB-0239</t>
        </is>
      </c>
      <c r="C240" s="48" t="inlineStr">
        <is>
          <t>항공</t>
        </is>
      </c>
      <c r="D240" s="48" t="inlineStr">
        <is>
          <t>인천공항</t>
        </is>
      </c>
      <c r="E240" s="46" t="inlineStr">
        <is>
          <t>ICN</t>
        </is>
      </c>
      <c r="F240" s="48" t="inlineStr">
        <is>
          <t>시애틀공항</t>
        </is>
      </c>
      <c r="G240" s="46" t="inlineStr">
        <is>
          <t>SEA</t>
        </is>
      </c>
      <c r="H240" s="47" t="n">
        <v>45125</v>
      </c>
      <c r="I240" s="52" t="n">
        <v>45128</v>
      </c>
      <c r="J240" s="52" t="n">
        <v>45128</v>
      </c>
      <c r="K240" s="53" t="n">
        <v>144.81</v>
      </c>
    </row>
    <row r="241" ht="15" customHeight="1" s="32">
      <c r="A241" s="46" t="inlineStr">
        <is>
          <t>L-HB-0240</t>
        </is>
      </c>
      <c r="B241" s="46" t="inlineStr">
        <is>
          <t>R-HB-0240</t>
        </is>
      </c>
      <c r="C241" s="48" t="inlineStr">
        <is>
          <t>항공</t>
        </is>
      </c>
      <c r="D241" s="48" t="inlineStr">
        <is>
          <t>인천공항</t>
        </is>
      </c>
      <c r="E241" s="46" t="inlineStr">
        <is>
          <t>ICN</t>
        </is>
      </c>
      <c r="F241" s="48" t="inlineStr">
        <is>
          <t>로스앤젤레스공항</t>
        </is>
      </c>
      <c r="G241" s="46" t="inlineStr">
        <is>
          <t>LAX</t>
        </is>
      </c>
      <c r="H241" s="47" t="n">
        <v>45127</v>
      </c>
      <c r="I241" s="52" t="n">
        <v>45131</v>
      </c>
      <c r="J241" s="52" t="n">
        <v>45131</v>
      </c>
      <c r="K241" s="53" t="n">
        <v>237.45</v>
      </c>
    </row>
    <row r="242" ht="15" customHeight="1" s="32">
      <c r="A242" s="46" t="inlineStr">
        <is>
          <t>L-HB-0241</t>
        </is>
      </c>
      <c r="B242" s="46" t="inlineStr">
        <is>
          <t>R-HB-0241</t>
        </is>
      </c>
      <c r="C242" s="48" t="inlineStr">
        <is>
          <t>항공</t>
        </is>
      </c>
      <c r="D242" s="48" t="inlineStr">
        <is>
          <t>인천공항</t>
        </is>
      </c>
      <c r="E242" s="46" t="inlineStr">
        <is>
          <t>ICN</t>
        </is>
      </c>
      <c r="F242" s="48" t="inlineStr">
        <is>
          <t>과달라하라공항</t>
        </is>
      </c>
      <c r="G242" s="46" t="inlineStr">
        <is>
          <t>GDL</t>
        </is>
      </c>
      <c r="H242" s="47" t="n">
        <v>45127</v>
      </c>
      <c r="I242" s="52" t="n">
        <v>45131</v>
      </c>
      <c r="J242" s="52" t="n">
        <v>45131</v>
      </c>
      <c r="K242" s="53" t="n">
        <v>135</v>
      </c>
    </row>
    <row r="243" ht="15" customHeight="1" s="32">
      <c r="A243" s="46" t="inlineStr">
        <is>
          <t>L-HB-0242</t>
        </is>
      </c>
      <c r="B243" s="46" t="inlineStr">
        <is>
          <t>R-HB-0242</t>
        </is>
      </c>
      <c r="C243" s="48" t="inlineStr">
        <is>
          <t>항공</t>
        </is>
      </c>
      <c r="D243" s="48" t="inlineStr">
        <is>
          <t>인천공항</t>
        </is>
      </c>
      <c r="E243" s="46" t="inlineStr">
        <is>
          <t>ICN</t>
        </is>
      </c>
      <c r="F243" s="48" t="inlineStr">
        <is>
          <t>델리공항</t>
        </is>
      </c>
      <c r="G243" s="46" t="inlineStr">
        <is>
          <t>DEL</t>
        </is>
      </c>
      <c r="H243" s="47" t="n">
        <v>45127</v>
      </c>
      <c r="I243" s="52" t="n">
        <v>45129</v>
      </c>
      <c r="J243" s="52" t="n">
        <v>45129</v>
      </c>
      <c r="K243" s="53" t="n">
        <v>190</v>
      </c>
    </row>
    <row r="244" ht="15" customHeight="1" s="32">
      <c r="A244" s="46" t="inlineStr">
        <is>
          <t>L-HB-0243</t>
        </is>
      </c>
      <c r="B244" s="46" t="inlineStr">
        <is>
          <t>R-HB-0243</t>
        </is>
      </c>
      <c r="C244" s="48" t="inlineStr">
        <is>
          <t>해상</t>
        </is>
      </c>
      <c r="D244" s="48" t="inlineStr">
        <is>
          <t>부산항</t>
        </is>
      </c>
      <c r="E244" s="46" t="inlineStr">
        <is>
          <t>KRPUS</t>
        </is>
      </c>
      <c r="F244" s="48" t="inlineStr">
        <is>
          <t>서커우항</t>
        </is>
      </c>
      <c r="G244" s="46" t="inlineStr">
        <is>
          <t>CNSHK</t>
        </is>
      </c>
      <c r="H244" s="47" t="n">
        <v>45127</v>
      </c>
      <c r="I244" s="52" t="n">
        <v>45133</v>
      </c>
      <c r="J244" s="52" t="n">
        <v>45131</v>
      </c>
      <c r="K244" s="53" t="n">
        <v>530</v>
      </c>
    </row>
    <row r="245" ht="15" customHeight="1" s="32">
      <c r="A245" s="46" t="inlineStr">
        <is>
          <t>L-HB-0244</t>
        </is>
      </c>
      <c r="B245" s="46" t="inlineStr">
        <is>
          <t>R-HB-0244</t>
        </is>
      </c>
      <c r="C245" s="48" t="inlineStr">
        <is>
          <t>항공</t>
        </is>
      </c>
      <c r="D245" s="48" t="inlineStr">
        <is>
          <t>인천공항</t>
        </is>
      </c>
      <c r="E245" s="46" t="inlineStr">
        <is>
          <t>ICN</t>
        </is>
      </c>
      <c r="F245" s="48" t="inlineStr">
        <is>
          <t>프랑크푸르트공항</t>
        </is>
      </c>
      <c r="G245" s="46" t="inlineStr">
        <is>
          <t>FRA</t>
        </is>
      </c>
      <c r="H245" s="47" t="n">
        <v>45128</v>
      </c>
      <c r="I245" s="52" t="n">
        <v>45132</v>
      </c>
      <c r="J245" s="52" t="n">
        <v>45136</v>
      </c>
      <c r="K245" s="53" t="n">
        <v>135</v>
      </c>
    </row>
    <row r="246" ht="15" customHeight="1" s="32">
      <c r="A246" s="46" t="inlineStr">
        <is>
          <t>L-HB-0245</t>
        </is>
      </c>
      <c r="B246" s="46" t="inlineStr">
        <is>
          <t>R-HB-0245</t>
        </is>
      </c>
      <c r="C246" s="48" t="inlineStr">
        <is>
          <t>항공</t>
        </is>
      </c>
      <c r="D246" s="48" t="inlineStr">
        <is>
          <t>인천공항</t>
        </is>
      </c>
      <c r="E246" s="46" t="inlineStr">
        <is>
          <t>ICN</t>
        </is>
      </c>
      <c r="F246" s="48" t="inlineStr">
        <is>
          <t>토론토공항</t>
        </is>
      </c>
      <c r="G246" s="46" t="inlineStr">
        <is>
          <t>YYZ</t>
        </is>
      </c>
      <c r="H246" s="47" t="n">
        <v>45129</v>
      </c>
      <c r="I246" s="52" t="n">
        <v>45132</v>
      </c>
      <c r="J246" s="52" t="n">
        <v>45132</v>
      </c>
      <c r="K246" s="53" t="n">
        <v>135</v>
      </c>
    </row>
    <row r="247" ht="15" customHeight="1" s="32">
      <c r="A247" s="46" t="inlineStr">
        <is>
          <t>L-HB-0246</t>
        </is>
      </c>
      <c r="B247" s="46" t="inlineStr">
        <is>
          <t>R-HB-0246</t>
        </is>
      </c>
      <c r="C247" s="48" t="inlineStr">
        <is>
          <t>해상</t>
        </is>
      </c>
      <c r="D247" s="48" t="inlineStr">
        <is>
          <t>부산항</t>
        </is>
      </c>
      <c r="E247" s="46" t="inlineStr">
        <is>
          <t>KRPUS</t>
        </is>
      </c>
      <c r="F247" s="48" t="inlineStr">
        <is>
          <t>하이퐁항</t>
        </is>
      </c>
      <c r="G247" s="46" t="inlineStr">
        <is>
          <t>VNHPH</t>
        </is>
      </c>
      <c r="H247" s="47" t="n">
        <v>45129</v>
      </c>
      <c r="I247" s="52" t="n">
        <v>45138</v>
      </c>
      <c r="J247" s="52" t="n">
        <v>45138</v>
      </c>
      <c r="K247" s="53" t="n">
        <v>530</v>
      </c>
    </row>
    <row r="248" ht="15" customHeight="1" s="32">
      <c r="A248" s="46" t="inlineStr">
        <is>
          <t>L-HB-0247</t>
        </is>
      </c>
      <c r="B248" s="46" t="inlineStr">
        <is>
          <t>R-HB-0247</t>
        </is>
      </c>
      <c r="C248" s="48" t="inlineStr">
        <is>
          <t>항공</t>
        </is>
      </c>
      <c r="D248" s="48" t="inlineStr">
        <is>
          <t>인천공항</t>
        </is>
      </c>
      <c r="E248" s="46" t="inlineStr">
        <is>
          <t>ICN</t>
        </is>
      </c>
      <c r="F248" s="48" t="inlineStr">
        <is>
          <t>프랑크푸르트공항</t>
        </is>
      </c>
      <c r="G248" s="46" t="inlineStr">
        <is>
          <t>FRA</t>
        </is>
      </c>
      <c r="H248" s="47" t="n">
        <v>45130</v>
      </c>
      <c r="I248" s="52" t="n">
        <v>45133</v>
      </c>
      <c r="J248" s="52" t="n">
        <v>45133</v>
      </c>
      <c r="K248" s="53" t="n">
        <v>400.3</v>
      </c>
    </row>
    <row r="249" ht="15" customHeight="1" s="32">
      <c r="A249" s="46" t="inlineStr">
        <is>
          <t>L-HB-0248</t>
        </is>
      </c>
      <c r="B249" s="46" t="inlineStr">
        <is>
          <t>R-HB-0248</t>
        </is>
      </c>
      <c r="C249" s="48" t="inlineStr">
        <is>
          <t>항공</t>
        </is>
      </c>
      <c r="D249" s="48" t="inlineStr">
        <is>
          <t>인천공항</t>
        </is>
      </c>
      <c r="E249" s="46" t="inlineStr">
        <is>
          <t>ICN</t>
        </is>
      </c>
      <c r="F249" s="48" t="inlineStr">
        <is>
          <t>로스앤젤레스공항</t>
        </is>
      </c>
      <c r="G249" s="46" t="inlineStr">
        <is>
          <t>LAX</t>
        </is>
      </c>
      <c r="H249" s="47" t="n">
        <v>45131</v>
      </c>
      <c r="I249" s="52" t="n">
        <v>45134</v>
      </c>
      <c r="J249" s="52" t="n">
        <v>45134</v>
      </c>
      <c r="K249" s="53" t="n">
        <v>419.06</v>
      </c>
    </row>
    <row r="250" ht="15" customHeight="1" s="32">
      <c r="A250" s="46" t="inlineStr">
        <is>
          <t>L-HB-0249</t>
        </is>
      </c>
      <c r="B250" s="46" t="inlineStr">
        <is>
          <t>R-HB-0249</t>
        </is>
      </c>
      <c r="C250" s="48" t="inlineStr">
        <is>
          <t>항공</t>
        </is>
      </c>
      <c r="D250" s="48" t="inlineStr">
        <is>
          <t>인천공항</t>
        </is>
      </c>
      <c r="E250" s="46" t="inlineStr">
        <is>
          <t>ICN</t>
        </is>
      </c>
      <c r="F250" s="48" t="inlineStr">
        <is>
          <t>로스앤젤레스공항</t>
        </is>
      </c>
      <c r="G250" s="46" t="inlineStr">
        <is>
          <t>LAX</t>
        </is>
      </c>
      <c r="H250" s="47" t="n">
        <v>45131</v>
      </c>
      <c r="I250" s="52" t="n">
        <v>45135</v>
      </c>
      <c r="J250" s="52" t="n">
        <v>45135</v>
      </c>
      <c r="K250" s="53" t="n">
        <v>136.49</v>
      </c>
    </row>
    <row r="251" ht="15" customHeight="1" s="32">
      <c r="A251" s="46" t="inlineStr">
        <is>
          <t>L-HB-0250</t>
        </is>
      </c>
      <c r="B251" s="46" t="inlineStr">
        <is>
          <t>R-HB-0250</t>
        </is>
      </c>
      <c r="C251" s="48" t="inlineStr">
        <is>
          <t>항공</t>
        </is>
      </c>
      <c r="D251" s="48" t="inlineStr">
        <is>
          <t>인천공항</t>
        </is>
      </c>
      <c r="E251" s="46" t="inlineStr">
        <is>
          <t>ICN</t>
        </is>
      </c>
      <c r="F251" s="48" t="inlineStr">
        <is>
          <t>토론토공항</t>
        </is>
      </c>
      <c r="G251" s="46" t="inlineStr">
        <is>
          <t>YYZ</t>
        </is>
      </c>
      <c r="H251" s="47" t="n">
        <v>45131</v>
      </c>
      <c r="I251" s="52" t="n">
        <v>45135</v>
      </c>
      <c r="J251" s="52" t="n">
        <v>45135</v>
      </c>
      <c r="K251" s="53" t="n">
        <v>135</v>
      </c>
    </row>
    <row r="252" ht="15" customHeight="1" s="32">
      <c r="A252" s="46" t="inlineStr">
        <is>
          <t>L-HB-0251</t>
        </is>
      </c>
      <c r="B252" s="46" t="inlineStr">
        <is>
          <t>R-HB-0251</t>
        </is>
      </c>
      <c r="C252" s="48" t="inlineStr">
        <is>
          <t>항공</t>
        </is>
      </c>
      <c r="D252" s="48" t="inlineStr">
        <is>
          <t>인천공항</t>
        </is>
      </c>
      <c r="E252" s="46" t="inlineStr">
        <is>
          <t>ICN</t>
        </is>
      </c>
      <c r="F252" s="48" t="inlineStr">
        <is>
          <t>선전공항</t>
        </is>
      </c>
      <c r="G252" s="46" t="inlineStr">
        <is>
          <t>SZX</t>
        </is>
      </c>
      <c r="H252" s="47" t="n">
        <v>45131</v>
      </c>
      <c r="I252" s="52" t="n">
        <v>45132</v>
      </c>
      <c r="J252" s="52" t="n">
        <v>45132</v>
      </c>
      <c r="K252" s="53" t="n">
        <v>135</v>
      </c>
    </row>
    <row r="253" ht="15" customHeight="1" s="32">
      <c r="A253" s="46" t="inlineStr">
        <is>
          <t>L-HB-0252</t>
        </is>
      </c>
      <c r="B253" s="46" t="inlineStr">
        <is>
          <t>R-HB-0252</t>
        </is>
      </c>
      <c r="C253" s="48" t="inlineStr">
        <is>
          <t>항공</t>
        </is>
      </c>
      <c r="D253" s="48" t="inlineStr">
        <is>
          <t>인천공항</t>
        </is>
      </c>
      <c r="E253" s="46" t="inlineStr">
        <is>
          <t>ICN</t>
        </is>
      </c>
      <c r="F253" s="48" t="inlineStr">
        <is>
          <t>델리공항</t>
        </is>
      </c>
      <c r="G253" s="46" t="inlineStr">
        <is>
          <t>DEL</t>
        </is>
      </c>
      <c r="H253" s="47" t="n">
        <v>45132</v>
      </c>
      <c r="I253" s="52" t="n">
        <v>45136</v>
      </c>
      <c r="J253" s="52" t="n">
        <v>45136</v>
      </c>
      <c r="K253" s="53" t="n">
        <v>135</v>
      </c>
    </row>
    <row r="254" ht="15" customHeight="1" s="32">
      <c r="A254" s="46" t="inlineStr">
        <is>
          <t>L-HB-0253</t>
        </is>
      </c>
      <c r="B254" s="46" t="inlineStr">
        <is>
          <t>R-HB-0253</t>
        </is>
      </c>
      <c r="C254" s="48" t="inlineStr">
        <is>
          <t>항공</t>
        </is>
      </c>
      <c r="D254" s="48" t="inlineStr">
        <is>
          <t>인천공항</t>
        </is>
      </c>
      <c r="E254" s="46" t="inlineStr">
        <is>
          <t>ICN</t>
        </is>
      </c>
      <c r="F254" s="48" t="inlineStr">
        <is>
          <t>시애틀공항</t>
        </is>
      </c>
      <c r="G254" s="46" t="inlineStr">
        <is>
          <t>SEA</t>
        </is>
      </c>
      <c r="H254" s="47" t="n">
        <v>45141</v>
      </c>
      <c r="I254" s="52" t="n">
        <v>45144</v>
      </c>
      <c r="J254" s="52" t="n">
        <v>45144</v>
      </c>
      <c r="K254" s="53" t="n">
        <v>135</v>
      </c>
    </row>
    <row r="255" ht="15" customHeight="1" s="32">
      <c r="A255" s="46" t="inlineStr">
        <is>
          <t>L-HB-0254</t>
        </is>
      </c>
      <c r="B255" s="46" t="inlineStr">
        <is>
          <t>R-HB-0254</t>
        </is>
      </c>
      <c r="C255" s="48" t="inlineStr">
        <is>
          <t>항공</t>
        </is>
      </c>
      <c r="D255" s="48" t="inlineStr">
        <is>
          <t>인천공항</t>
        </is>
      </c>
      <c r="E255" s="46" t="inlineStr">
        <is>
          <t>ICN</t>
        </is>
      </c>
      <c r="F255" s="48" t="inlineStr">
        <is>
          <t>과달라하라공항</t>
        </is>
      </c>
      <c r="G255" s="46" t="inlineStr">
        <is>
          <t>GDL</t>
        </is>
      </c>
      <c r="H255" s="47" t="n">
        <v>45142</v>
      </c>
      <c r="I255" s="52" t="n">
        <v>45146</v>
      </c>
      <c r="J255" s="52" t="n">
        <v>45147</v>
      </c>
      <c r="K255" s="53" t="n">
        <v>135</v>
      </c>
    </row>
    <row r="256" ht="15" customHeight="1" s="32">
      <c r="A256" s="46" t="inlineStr">
        <is>
          <t>L-HB-0255</t>
        </is>
      </c>
      <c r="B256" s="46" t="inlineStr">
        <is>
          <t>R-HB-0255</t>
        </is>
      </c>
      <c r="C256" s="48" t="inlineStr">
        <is>
          <t>항공</t>
        </is>
      </c>
      <c r="D256" s="48" t="inlineStr">
        <is>
          <t>인천공항</t>
        </is>
      </c>
      <c r="E256" s="46" t="inlineStr">
        <is>
          <t>ICN</t>
        </is>
      </c>
      <c r="F256" s="48" t="inlineStr">
        <is>
          <t>하노이공항</t>
        </is>
      </c>
      <c r="G256" s="46" t="inlineStr">
        <is>
          <t>HAN</t>
        </is>
      </c>
      <c r="H256" s="47" t="n">
        <v>45143</v>
      </c>
      <c r="I256" s="52" t="n">
        <v>45145</v>
      </c>
      <c r="J256" s="52" t="n">
        <v>45144</v>
      </c>
      <c r="K256" s="53" t="n">
        <v>228.39</v>
      </c>
    </row>
    <row r="257" ht="15" customHeight="1" s="32">
      <c r="A257" s="46" t="inlineStr">
        <is>
          <t>L-HB-0256</t>
        </is>
      </c>
      <c r="B257" s="46" t="inlineStr">
        <is>
          <t>R-HB-0256</t>
        </is>
      </c>
      <c r="C257" s="48" t="inlineStr">
        <is>
          <t>항공</t>
        </is>
      </c>
      <c r="D257" s="48" t="inlineStr">
        <is>
          <t>인천공항</t>
        </is>
      </c>
      <c r="E257" s="46" t="inlineStr">
        <is>
          <t>ICN</t>
        </is>
      </c>
      <c r="F257" s="48" t="inlineStr">
        <is>
          <t>토론토공항</t>
        </is>
      </c>
      <c r="G257" s="46" t="inlineStr">
        <is>
          <t>YYZ</t>
        </is>
      </c>
      <c r="H257" s="47" t="n">
        <v>45144</v>
      </c>
      <c r="I257" s="52" t="n">
        <v>45148</v>
      </c>
      <c r="J257" s="52" t="n">
        <v>45148</v>
      </c>
      <c r="K257" s="53" t="n">
        <v>135</v>
      </c>
    </row>
    <row r="258" ht="15" customHeight="1" s="32">
      <c r="A258" s="46" t="inlineStr">
        <is>
          <t>L-HB-0257</t>
        </is>
      </c>
      <c r="B258" s="46" t="inlineStr">
        <is>
          <t>R-HB-0257</t>
        </is>
      </c>
      <c r="C258" s="48" t="inlineStr">
        <is>
          <t>항공</t>
        </is>
      </c>
      <c r="D258" s="48" t="inlineStr">
        <is>
          <t>인천공항</t>
        </is>
      </c>
      <c r="E258" s="46" t="inlineStr">
        <is>
          <t>ICN</t>
        </is>
      </c>
      <c r="F258" s="48" t="inlineStr">
        <is>
          <t>하노이공항</t>
        </is>
      </c>
      <c r="G258" s="46" t="inlineStr">
        <is>
          <t>HAN</t>
        </is>
      </c>
      <c r="H258" s="47" t="n">
        <v>45144</v>
      </c>
      <c r="I258" s="52" t="n">
        <v>45145</v>
      </c>
      <c r="J258" s="52" t="n">
        <v>45149</v>
      </c>
      <c r="K258" s="53" t="n">
        <v>135</v>
      </c>
    </row>
    <row r="259" ht="15" customHeight="1" s="32">
      <c r="A259" s="46" t="inlineStr">
        <is>
          <t>L-HB-0258</t>
        </is>
      </c>
      <c r="B259" s="46" t="inlineStr">
        <is>
          <t>R-HB-0258</t>
        </is>
      </c>
      <c r="C259" s="48" t="inlineStr">
        <is>
          <t>항공</t>
        </is>
      </c>
      <c r="D259" s="48" t="inlineStr">
        <is>
          <t>인천공항</t>
        </is>
      </c>
      <c r="E259" s="46" t="inlineStr">
        <is>
          <t>ICN</t>
        </is>
      </c>
      <c r="F259" s="48" t="inlineStr">
        <is>
          <t>과달라하라공항</t>
        </is>
      </c>
      <c r="G259" s="46" t="inlineStr">
        <is>
          <t>GDL</t>
        </is>
      </c>
      <c r="H259" s="47" t="n">
        <v>45145</v>
      </c>
      <c r="I259" s="52" t="n">
        <v>45148</v>
      </c>
      <c r="J259" s="52" t="n">
        <v>45148</v>
      </c>
      <c r="K259" s="53" t="n">
        <v>135</v>
      </c>
    </row>
    <row r="260" ht="15" customHeight="1" s="32">
      <c r="A260" s="46" t="inlineStr">
        <is>
          <t>L-HB-0259</t>
        </is>
      </c>
      <c r="B260" s="46" t="inlineStr">
        <is>
          <t>R-HB-0259</t>
        </is>
      </c>
      <c r="C260" s="48" t="inlineStr">
        <is>
          <t>항공</t>
        </is>
      </c>
      <c r="D260" s="48" t="inlineStr">
        <is>
          <t>인천공항</t>
        </is>
      </c>
      <c r="E260" s="46" t="inlineStr">
        <is>
          <t>ICN</t>
        </is>
      </c>
      <c r="F260" s="48" t="inlineStr">
        <is>
          <t>토론토공항</t>
        </is>
      </c>
      <c r="G260" s="46" t="inlineStr">
        <is>
          <t>YYZ</t>
        </is>
      </c>
      <c r="H260" s="47" t="n">
        <v>45145</v>
      </c>
      <c r="I260" s="52" t="n">
        <v>45150</v>
      </c>
      <c r="J260" s="52" t="n">
        <v>45150</v>
      </c>
      <c r="K260" s="53" t="n">
        <v>135</v>
      </c>
    </row>
    <row r="261" ht="15" customHeight="1" s="32">
      <c r="A261" s="46" t="inlineStr">
        <is>
          <t>L-HB-0260</t>
        </is>
      </c>
      <c r="B261" s="46" t="inlineStr">
        <is>
          <t>R-HB-0260</t>
        </is>
      </c>
      <c r="C261" s="48" t="inlineStr">
        <is>
          <t>해상</t>
        </is>
      </c>
      <c r="D261" s="48" t="inlineStr">
        <is>
          <t>부산항</t>
        </is>
      </c>
      <c r="E261" s="46" t="inlineStr">
        <is>
          <t>KRPUS</t>
        </is>
      </c>
      <c r="F261" s="48" t="inlineStr">
        <is>
          <t>하이퐁항</t>
        </is>
      </c>
      <c r="G261" s="46" t="inlineStr">
        <is>
          <t>VNHPH</t>
        </is>
      </c>
      <c r="H261" s="47" t="n">
        <v>45146</v>
      </c>
      <c r="I261" s="52" t="n">
        <v>45156</v>
      </c>
      <c r="J261" s="52" t="n">
        <v>45156</v>
      </c>
      <c r="K261" s="53" t="n">
        <v>530</v>
      </c>
    </row>
    <row r="262" ht="15" customHeight="1" s="32">
      <c r="A262" s="46" t="inlineStr">
        <is>
          <t>L-HB-0261</t>
        </is>
      </c>
      <c r="B262" s="46" t="inlineStr">
        <is>
          <t>R-HB-0261</t>
        </is>
      </c>
      <c r="C262" s="48" t="inlineStr">
        <is>
          <t>항공</t>
        </is>
      </c>
      <c r="D262" s="48" t="inlineStr">
        <is>
          <t>인천공항</t>
        </is>
      </c>
      <c r="E262" s="46" t="inlineStr">
        <is>
          <t>ICN</t>
        </is>
      </c>
      <c r="F262" s="48" t="inlineStr">
        <is>
          <t>충칭공항</t>
        </is>
      </c>
      <c r="G262" s="46" t="inlineStr">
        <is>
          <t>CKG</t>
        </is>
      </c>
      <c r="H262" s="47" t="n">
        <v>45146</v>
      </c>
      <c r="I262" s="52" t="n">
        <v>45148</v>
      </c>
      <c r="J262" s="52" t="n">
        <v>45149</v>
      </c>
      <c r="K262" s="53" t="n">
        <v>198.42</v>
      </c>
    </row>
    <row r="263" ht="15" customHeight="1" s="32">
      <c r="A263" s="46" t="inlineStr">
        <is>
          <t>L-HB-0262</t>
        </is>
      </c>
      <c r="B263" s="46" t="inlineStr">
        <is>
          <t>R-HB-0262</t>
        </is>
      </c>
      <c r="C263" s="48" t="inlineStr">
        <is>
          <t>항공</t>
        </is>
      </c>
      <c r="D263" s="48" t="inlineStr">
        <is>
          <t>인천공항</t>
        </is>
      </c>
      <c r="E263" s="46" t="inlineStr">
        <is>
          <t>ICN</t>
        </is>
      </c>
      <c r="F263" s="48" t="inlineStr">
        <is>
          <t>로스앤젤레스공항</t>
        </is>
      </c>
      <c r="G263" s="46" t="inlineStr">
        <is>
          <t>LAX</t>
        </is>
      </c>
      <c r="H263" s="47" t="n">
        <v>45148</v>
      </c>
      <c r="I263" s="52" t="n">
        <v>45152</v>
      </c>
      <c r="J263" s="52" t="n">
        <v>45152</v>
      </c>
      <c r="K263" s="53" t="n">
        <v>440.41</v>
      </c>
    </row>
    <row r="264" ht="15" customHeight="1" s="32">
      <c r="A264" s="46" t="inlineStr">
        <is>
          <t>L-HB-0263</t>
        </is>
      </c>
      <c r="B264" s="46" t="inlineStr">
        <is>
          <t>R-HB-0263</t>
        </is>
      </c>
      <c r="C264" s="48" t="inlineStr">
        <is>
          <t>항공</t>
        </is>
      </c>
      <c r="D264" s="48" t="inlineStr">
        <is>
          <t>인천공항</t>
        </is>
      </c>
      <c r="E264" s="46" t="inlineStr">
        <is>
          <t>ICN</t>
        </is>
      </c>
      <c r="F264" s="48" t="inlineStr">
        <is>
          <t>프랑크푸르트공항</t>
        </is>
      </c>
      <c r="G264" s="46" t="inlineStr">
        <is>
          <t>FRA</t>
        </is>
      </c>
      <c r="H264" s="47" t="n">
        <v>45148</v>
      </c>
      <c r="I264" s="52" t="n">
        <v>45152</v>
      </c>
      <c r="J264" s="52" t="n">
        <v>45151</v>
      </c>
      <c r="K264" s="53" t="n">
        <v>412.63</v>
      </c>
    </row>
    <row r="265" ht="15" customHeight="1" s="32">
      <c r="A265" s="46" t="inlineStr">
        <is>
          <t>L-HB-0264</t>
        </is>
      </c>
      <c r="B265" s="46" t="inlineStr">
        <is>
          <t>R-HB-0264</t>
        </is>
      </c>
      <c r="C265" s="48" t="inlineStr">
        <is>
          <t>항공</t>
        </is>
      </c>
      <c r="D265" s="48" t="inlineStr">
        <is>
          <t>인천공항</t>
        </is>
      </c>
      <c r="E265" s="46" t="inlineStr">
        <is>
          <t>ICN</t>
        </is>
      </c>
      <c r="F265" s="48" t="inlineStr">
        <is>
          <t>선전공항</t>
        </is>
      </c>
      <c r="G265" s="46" t="inlineStr">
        <is>
          <t>SZX</t>
        </is>
      </c>
      <c r="H265" s="47" t="n">
        <v>45148</v>
      </c>
      <c r="I265" s="52" t="n">
        <v>45149</v>
      </c>
      <c r="J265" s="52" t="n">
        <v>45148</v>
      </c>
      <c r="K265" s="53" t="n">
        <v>290.39</v>
      </c>
    </row>
    <row r="266" ht="15" customHeight="1" s="32">
      <c r="A266" s="46" t="inlineStr">
        <is>
          <t>L-HB-0265</t>
        </is>
      </c>
      <c r="B266" s="46" t="inlineStr">
        <is>
          <t>R-HB-0265</t>
        </is>
      </c>
      <c r="C266" s="48" t="inlineStr">
        <is>
          <t>해상</t>
        </is>
      </c>
      <c r="D266" s="48" t="inlineStr">
        <is>
          <t>부산항</t>
        </is>
      </c>
      <c r="E266" s="46" t="inlineStr">
        <is>
          <t>KRPUS</t>
        </is>
      </c>
      <c r="F266" s="48" t="inlineStr">
        <is>
          <t>상하이항</t>
        </is>
      </c>
      <c r="G266" s="46" t="inlineStr">
        <is>
          <t>CNSHA</t>
        </is>
      </c>
      <c r="H266" s="47" t="n">
        <v>45148</v>
      </c>
      <c r="I266" s="52" t="n">
        <v>45153</v>
      </c>
      <c r="J266" s="52" t="n">
        <v>45153</v>
      </c>
      <c r="K266" s="53" t="n">
        <v>530</v>
      </c>
    </row>
    <row r="267" ht="15" customHeight="1" s="32">
      <c r="A267" s="46" t="inlineStr">
        <is>
          <t>L-HB-0266</t>
        </is>
      </c>
      <c r="B267" s="46" t="inlineStr">
        <is>
          <t>R-HB-0266</t>
        </is>
      </c>
      <c r="C267" s="48" t="inlineStr">
        <is>
          <t>항공</t>
        </is>
      </c>
      <c r="D267" s="48" t="inlineStr">
        <is>
          <t>인천공항</t>
        </is>
      </c>
      <c r="E267" s="46" t="inlineStr">
        <is>
          <t>ICN</t>
        </is>
      </c>
      <c r="F267" s="48" t="inlineStr">
        <is>
          <t>프랑크푸르트공항</t>
        </is>
      </c>
      <c r="G267" s="46" t="inlineStr">
        <is>
          <t>FRA</t>
        </is>
      </c>
      <c r="H267" s="47" t="n">
        <v>45149</v>
      </c>
      <c r="I267" s="52" t="n">
        <v>45153</v>
      </c>
      <c r="J267" s="52" t="n">
        <v>45153</v>
      </c>
      <c r="K267" s="53" t="n">
        <v>222.61</v>
      </c>
    </row>
    <row r="268" ht="15" customHeight="1" s="32">
      <c r="A268" s="46" t="inlineStr">
        <is>
          <t>L-HB-0267</t>
        </is>
      </c>
      <c r="B268" s="46" t="inlineStr">
        <is>
          <t>R-HB-0267</t>
        </is>
      </c>
      <c r="C268" s="48" t="inlineStr">
        <is>
          <t>항공</t>
        </is>
      </c>
      <c r="D268" s="48" t="inlineStr">
        <is>
          <t>인천공항</t>
        </is>
      </c>
      <c r="E268" s="46" t="inlineStr">
        <is>
          <t>ICN</t>
        </is>
      </c>
      <c r="F268" s="48" t="inlineStr">
        <is>
          <t>충칭공항</t>
        </is>
      </c>
      <c r="G268" s="46" t="inlineStr">
        <is>
          <t>CKG</t>
        </is>
      </c>
      <c r="H268" s="47" t="n">
        <v>45149</v>
      </c>
      <c r="I268" s="52" t="n">
        <v>45151</v>
      </c>
      <c r="J268" s="52" t="n">
        <v>45151</v>
      </c>
      <c r="K268" s="53" t="n">
        <v>135</v>
      </c>
    </row>
    <row r="269" ht="15" customHeight="1" s="32">
      <c r="A269" s="46" t="inlineStr">
        <is>
          <t>L-HB-0268</t>
        </is>
      </c>
      <c r="B269" s="46" t="inlineStr">
        <is>
          <t>R-HB-0268</t>
        </is>
      </c>
      <c r="C269" s="48" t="inlineStr">
        <is>
          <t>항공</t>
        </is>
      </c>
      <c r="D269" s="48" t="inlineStr">
        <is>
          <t>인천공항</t>
        </is>
      </c>
      <c r="E269" s="46" t="inlineStr">
        <is>
          <t>ICN</t>
        </is>
      </c>
      <c r="F269" s="48" t="inlineStr">
        <is>
          <t>토론토공항</t>
        </is>
      </c>
      <c r="G269" s="46" t="inlineStr">
        <is>
          <t>YYZ</t>
        </is>
      </c>
      <c r="H269" s="47" t="n">
        <v>45150</v>
      </c>
      <c r="I269" s="52" t="n">
        <v>45155</v>
      </c>
      <c r="J269" s="52" t="n">
        <v>45155</v>
      </c>
      <c r="K269" s="53" t="n">
        <v>135</v>
      </c>
    </row>
    <row r="270" ht="15" customHeight="1" s="32">
      <c r="A270" s="46" t="inlineStr">
        <is>
          <t>L-HB-0269</t>
        </is>
      </c>
      <c r="B270" s="46" t="inlineStr">
        <is>
          <t>R-HB-0269</t>
        </is>
      </c>
      <c r="C270" s="48" t="inlineStr">
        <is>
          <t>항공</t>
        </is>
      </c>
      <c r="D270" s="48" t="inlineStr">
        <is>
          <t>인천공항</t>
        </is>
      </c>
      <c r="E270" s="46" t="inlineStr">
        <is>
          <t>ICN</t>
        </is>
      </c>
      <c r="F270" s="48" t="inlineStr">
        <is>
          <t>로스앤젤레스공항</t>
        </is>
      </c>
      <c r="G270" s="46" t="inlineStr">
        <is>
          <t>LAX</t>
        </is>
      </c>
      <c r="H270" s="47" t="n">
        <v>45151</v>
      </c>
      <c r="I270" s="52" t="n">
        <v>45153</v>
      </c>
      <c r="J270" s="52" t="n">
        <v>45153</v>
      </c>
      <c r="K270" s="53" t="n">
        <v>135</v>
      </c>
    </row>
    <row r="271" ht="15" customHeight="1" s="32">
      <c r="A271" s="46" t="inlineStr">
        <is>
          <t>L-HB-0270</t>
        </is>
      </c>
      <c r="B271" s="46" t="inlineStr">
        <is>
          <t>R-HB-0270</t>
        </is>
      </c>
      <c r="C271" s="48" t="inlineStr">
        <is>
          <t>항공</t>
        </is>
      </c>
      <c r="D271" s="48" t="inlineStr">
        <is>
          <t>인천공항</t>
        </is>
      </c>
      <c r="E271" s="46" t="inlineStr">
        <is>
          <t>ICN</t>
        </is>
      </c>
      <c r="F271" s="48" t="inlineStr">
        <is>
          <t>하노이공항</t>
        </is>
      </c>
      <c r="G271" s="46" t="inlineStr">
        <is>
          <t>HAN</t>
        </is>
      </c>
      <c r="H271" s="47" t="n">
        <v>45151</v>
      </c>
      <c r="I271" s="52" t="n">
        <v>45152</v>
      </c>
      <c r="J271" s="52" t="n">
        <v>45152</v>
      </c>
      <c r="K271" s="53" t="n">
        <v>135</v>
      </c>
    </row>
    <row r="272" ht="15" customHeight="1" s="32">
      <c r="A272" s="46" t="inlineStr">
        <is>
          <t>L-HB-0271</t>
        </is>
      </c>
      <c r="B272" s="46" t="inlineStr">
        <is>
          <t>R-HB-0271</t>
        </is>
      </c>
      <c r="C272" s="48" t="inlineStr">
        <is>
          <t>항공</t>
        </is>
      </c>
      <c r="D272" s="48" t="inlineStr">
        <is>
          <t>인천공항</t>
        </is>
      </c>
      <c r="E272" s="46" t="inlineStr">
        <is>
          <t>ICN</t>
        </is>
      </c>
      <c r="F272" s="48" t="inlineStr">
        <is>
          <t>시애틀공항</t>
        </is>
      </c>
      <c r="G272" s="46" t="inlineStr">
        <is>
          <t>SEA</t>
        </is>
      </c>
      <c r="H272" s="47" t="n">
        <v>45154</v>
      </c>
      <c r="I272" s="52" t="n">
        <v>45156</v>
      </c>
      <c r="J272" s="52" t="n">
        <v>45155</v>
      </c>
      <c r="K272" s="53" t="n">
        <v>166.59</v>
      </c>
    </row>
    <row r="273" ht="15" customHeight="1" s="32">
      <c r="A273" s="46" t="inlineStr">
        <is>
          <t>L-HB-0272</t>
        </is>
      </c>
      <c r="B273" s="46" t="inlineStr">
        <is>
          <t>R-HB-0272</t>
        </is>
      </c>
      <c r="C273" s="48" t="inlineStr">
        <is>
          <t>항공</t>
        </is>
      </c>
      <c r="D273" s="48" t="inlineStr">
        <is>
          <t>인천공항</t>
        </is>
      </c>
      <c r="E273" s="46" t="inlineStr">
        <is>
          <t>ICN</t>
        </is>
      </c>
      <c r="F273" s="48" t="inlineStr">
        <is>
          <t>충칭공항</t>
        </is>
      </c>
      <c r="G273" s="46" t="inlineStr">
        <is>
          <t>CKG</t>
        </is>
      </c>
      <c r="H273" s="47" t="n">
        <v>45154</v>
      </c>
      <c r="I273" s="52" t="n">
        <v>45157</v>
      </c>
      <c r="J273" s="52" t="n">
        <v>45156</v>
      </c>
      <c r="K273" s="53" t="n">
        <v>135</v>
      </c>
    </row>
    <row r="274" ht="15" customHeight="1" s="32">
      <c r="A274" s="46" t="inlineStr">
        <is>
          <t>L-HB-0273</t>
        </is>
      </c>
      <c r="B274" s="46" t="inlineStr">
        <is>
          <t>R-HB-0273</t>
        </is>
      </c>
      <c r="C274" s="48" t="inlineStr">
        <is>
          <t>항공</t>
        </is>
      </c>
      <c r="D274" s="48" t="inlineStr">
        <is>
          <t>인천공항</t>
        </is>
      </c>
      <c r="E274" s="46" t="inlineStr">
        <is>
          <t>ICN</t>
        </is>
      </c>
      <c r="F274" s="48" t="inlineStr">
        <is>
          <t>로스앤젤레스공항</t>
        </is>
      </c>
      <c r="G274" s="46" t="inlineStr">
        <is>
          <t>LAX</t>
        </is>
      </c>
      <c r="H274" s="47" t="n">
        <v>45155</v>
      </c>
      <c r="I274" s="52" t="n">
        <v>45157</v>
      </c>
      <c r="J274" s="52" t="n">
        <v>45157</v>
      </c>
      <c r="K274" s="53" t="n">
        <v>265.53</v>
      </c>
    </row>
    <row r="275" ht="15" customHeight="1" s="32">
      <c r="A275" s="46" t="inlineStr">
        <is>
          <t>L-HB-0274</t>
        </is>
      </c>
      <c r="B275" s="46" t="inlineStr">
        <is>
          <t>R-HB-0274</t>
        </is>
      </c>
      <c r="C275" s="48" t="inlineStr">
        <is>
          <t>항공</t>
        </is>
      </c>
      <c r="D275" s="48" t="inlineStr">
        <is>
          <t>인천공항</t>
        </is>
      </c>
      <c r="E275" s="46" t="inlineStr">
        <is>
          <t>ICN</t>
        </is>
      </c>
      <c r="F275" s="48" t="inlineStr">
        <is>
          <t>시애틀공항</t>
        </is>
      </c>
      <c r="G275" s="46" t="inlineStr">
        <is>
          <t>SEA</t>
        </is>
      </c>
      <c r="H275" s="47" t="n">
        <v>45155</v>
      </c>
      <c r="I275" s="52" t="n">
        <v>45157</v>
      </c>
      <c r="J275" s="52" t="n">
        <v>45159</v>
      </c>
      <c r="K275" s="53" t="n">
        <v>274.71</v>
      </c>
    </row>
    <row r="276" ht="15" customHeight="1" s="32">
      <c r="A276" s="46" t="inlineStr">
        <is>
          <t>L-HB-0275</t>
        </is>
      </c>
      <c r="B276" s="46" t="inlineStr">
        <is>
          <t>R-HB-0275</t>
        </is>
      </c>
      <c r="C276" s="48" t="inlineStr">
        <is>
          <t>항공</t>
        </is>
      </c>
      <c r="D276" s="48" t="inlineStr">
        <is>
          <t>인천공항</t>
        </is>
      </c>
      <c r="E276" s="46" t="inlineStr">
        <is>
          <t>ICN</t>
        </is>
      </c>
      <c r="F276" s="48" t="inlineStr">
        <is>
          <t>델리공항</t>
        </is>
      </c>
      <c r="G276" s="46" t="inlineStr">
        <is>
          <t>DEL</t>
        </is>
      </c>
      <c r="H276" s="47" t="n">
        <v>45155</v>
      </c>
      <c r="I276" s="52" t="n">
        <v>45159</v>
      </c>
      <c r="J276" s="52" t="n">
        <v>45159</v>
      </c>
      <c r="K276" s="53" t="n">
        <v>135</v>
      </c>
    </row>
    <row r="277" ht="15" customHeight="1" s="32">
      <c r="A277" s="46" t="inlineStr">
        <is>
          <t>L-HB-0276</t>
        </is>
      </c>
      <c r="B277" s="46" t="inlineStr">
        <is>
          <t>R-HB-0276</t>
        </is>
      </c>
      <c r="C277" s="48" t="inlineStr">
        <is>
          <t>항공</t>
        </is>
      </c>
      <c r="D277" s="48" t="inlineStr">
        <is>
          <t>인천공항</t>
        </is>
      </c>
      <c r="E277" s="46" t="inlineStr">
        <is>
          <t>ICN</t>
        </is>
      </c>
      <c r="F277" s="48" t="inlineStr">
        <is>
          <t>과달라하라공항</t>
        </is>
      </c>
      <c r="G277" s="46" t="inlineStr">
        <is>
          <t>GDL</t>
        </is>
      </c>
      <c r="H277" s="47" t="n">
        <v>45156</v>
      </c>
      <c r="I277" s="52" t="n">
        <v>45160</v>
      </c>
      <c r="J277" s="52" t="n">
        <v>45160</v>
      </c>
      <c r="K277" s="53" t="n">
        <v>135</v>
      </c>
    </row>
    <row r="278" ht="15" customHeight="1" s="32">
      <c r="A278" s="46" t="inlineStr">
        <is>
          <t>L-HB-0277</t>
        </is>
      </c>
      <c r="B278" s="46" t="inlineStr">
        <is>
          <t>R-HB-0277</t>
        </is>
      </c>
      <c r="C278" s="48" t="inlineStr">
        <is>
          <t>항공</t>
        </is>
      </c>
      <c r="D278" s="48" t="inlineStr">
        <is>
          <t>인천공항</t>
        </is>
      </c>
      <c r="E278" s="46" t="inlineStr">
        <is>
          <t>ICN</t>
        </is>
      </c>
      <c r="F278" s="48" t="inlineStr">
        <is>
          <t>로스앤젤레스공항</t>
        </is>
      </c>
      <c r="G278" s="46" t="inlineStr">
        <is>
          <t>LAX</t>
        </is>
      </c>
      <c r="H278" s="47" t="n">
        <v>45157</v>
      </c>
      <c r="I278" s="52" t="n">
        <v>45160</v>
      </c>
      <c r="J278" s="52" t="n">
        <v>45160</v>
      </c>
      <c r="K278" s="53" t="n">
        <v>135</v>
      </c>
    </row>
    <row r="279" ht="15" customHeight="1" s="32">
      <c r="A279" s="46" t="inlineStr">
        <is>
          <t>L-HB-0278</t>
        </is>
      </c>
      <c r="B279" s="46" t="inlineStr">
        <is>
          <t>R-HB-0278</t>
        </is>
      </c>
      <c r="C279" s="48" t="inlineStr">
        <is>
          <t>항공</t>
        </is>
      </c>
      <c r="D279" s="48" t="inlineStr">
        <is>
          <t>인천공항</t>
        </is>
      </c>
      <c r="E279" s="46" t="inlineStr">
        <is>
          <t>ICN</t>
        </is>
      </c>
      <c r="F279" s="48" t="inlineStr">
        <is>
          <t>델리공항</t>
        </is>
      </c>
      <c r="G279" s="46" t="inlineStr">
        <is>
          <t>DEL</t>
        </is>
      </c>
      <c r="H279" s="47" t="n">
        <v>45159</v>
      </c>
      <c r="I279" s="52" t="n">
        <v>45163</v>
      </c>
      <c r="J279" s="52" t="n">
        <v>45163</v>
      </c>
      <c r="K279" s="53" t="n">
        <v>182.08</v>
      </c>
    </row>
    <row r="280" ht="15" customHeight="1" s="32">
      <c r="A280" s="46" t="inlineStr">
        <is>
          <t>L-HB-0279</t>
        </is>
      </c>
      <c r="B280" s="46" t="inlineStr">
        <is>
          <t>R-HB-0279</t>
        </is>
      </c>
      <c r="C280" s="48" t="inlineStr">
        <is>
          <t>해상</t>
        </is>
      </c>
      <c r="D280" s="48" t="inlineStr">
        <is>
          <t>부산항</t>
        </is>
      </c>
      <c r="E280" s="46" t="inlineStr">
        <is>
          <t>KRPUS</t>
        </is>
      </c>
      <c r="F280" s="48" t="inlineStr">
        <is>
          <t>서커우항</t>
        </is>
      </c>
      <c r="G280" s="46" t="inlineStr">
        <is>
          <t>CNSHK</t>
        </is>
      </c>
      <c r="H280" s="47" t="n">
        <v>45159</v>
      </c>
      <c r="I280" s="52" t="n">
        <v>45165</v>
      </c>
      <c r="J280" s="52" t="n">
        <v>45165</v>
      </c>
      <c r="K280" s="53" t="n">
        <v>530</v>
      </c>
    </row>
    <row r="281" ht="15" customHeight="1" s="32">
      <c r="A281" s="46" t="inlineStr">
        <is>
          <t>L-HB-0280</t>
        </is>
      </c>
      <c r="B281" s="46" t="inlineStr">
        <is>
          <t>R-HB-0280</t>
        </is>
      </c>
      <c r="C281" s="48" t="inlineStr">
        <is>
          <t>항공</t>
        </is>
      </c>
      <c r="D281" s="48" t="inlineStr">
        <is>
          <t>인천공항</t>
        </is>
      </c>
      <c r="E281" s="46" t="inlineStr">
        <is>
          <t>ICN</t>
        </is>
      </c>
      <c r="F281" s="48" t="inlineStr">
        <is>
          <t>토론토공항</t>
        </is>
      </c>
      <c r="G281" s="46" t="inlineStr">
        <is>
          <t>YYZ</t>
        </is>
      </c>
      <c r="H281" s="47" t="n">
        <v>45160</v>
      </c>
      <c r="I281" s="52" t="n">
        <v>45163</v>
      </c>
      <c r="J281" s="52" t="n">
        <v>45163</v>
      </c>
      <c r="K281" s="53" t="n">
        <v>135</v>
      </c>
    </row>
    <row r="282" ht="15" customHeight="1" s="32">
      <c r="A282" s="46" t="inlineStr">
        <is>
          <t>L-HB-0281</t>
        </is>
      </c>
      <c r="B282" s="46" t="inlineStr">
        <is>
          <t>R-HB-0281</t>
        </is>
      </c>
      <c r="C282" s="48" t="inlineStr">
        <is>
          <t>항공</t>
        </is>
      </c>
      <c r="D282" s="48" t="inlineStr">
        <is>
          <t>인천공항</t>
        </is>
      </c>
      <c r="E282" s="46" t="inlineStr">
        <is>
          <t>ICN</t>
        </is>
      </c>
      <c r="F282" s="48" t="inlineStr">
        <is>
          <t>프랑크푸르트공항</t>
        </is>
      </c>
      <c r="G282" s="46" t="inlineStr">
        <is>
          <t>FRA</t>
        </is>
      </c>
      <c r="H282" s="47" t="n">
        <v>45162</v>
      </c>
      <c r="I282" s="52" t="n">
        <v>45167</v>
      </c>
      <c r="J282" s="52" t="n">
        <v>45167</v>
      </c>
      <c r="K282" s="53" t="n">
        <v>135</v>
      </c>
    </row>
    <row r="283" ht="15" customHeight="1" s="32">
      <c r="A283" s="46" t="inlineStr">
        <is>
          <t>L-HB-0282</t>
        </is>
      </c>
      <c r="B283" s="46" t="inlineStr">
        <is>
          <t>R-HB-0282</t>
        </is>
      </c>
      <c r="C283" s="48" t="inlineStr">
        <is>
          <t>항공</t>
        </is>
      </c>
      <c r="D283" s="48" t="inlineStr">
        <is>
          <t>인천공항</t>
        </is>
      </c>
      <c r="E283" s="46" t="inlineStr">
        <is>
          <t>ICN</t>
        </is>
      </c>
      <c r="F283" s="48" t="inlineStr">
        <is>
          <t>델리공항</t>
        </is>
      </c>
      <c r="G283" s="46" t="inlineStr">
        <is>
          <t>DEL</t>
        </is>
      </c>
      <c r="H283" s="47" t="n">
        <v>45162</v>
      </c>
      <c r="I283" s="52" t="n">
        <v>45164</v>
      </c>
      <c r="J283" s="52" t="n">
        <v>45164</v>
      </c>
      <c r="K283" s="53" t="n">
        <v>135</v>
      </c>
    </row>
    <row r="284" ht="15" customHeight="1" s="32">
      <c r="A284" s="46" t="inlineStr">
        <is>
          <t>L-HB-0283</t>
        </is>
      </c>
      <c r="B284" s="46" t="inlineStr">
        <is>
          <t>R-HB-0283</t>
        </is>
      </c>
      <c r="C284" s="48" t="inlineStr">
        <is>
          <t>항공</t>
        </is>
      </c>
      <c r="D284" s="48" t="inlineStr">
        <is>
          <t>인천공항</t>
        </is>
      </c>
      <c r="E284" s="46" t="inlineStr">
        <is>
          <t>ICN</t>
        </is>
      </c>
      <c r="F284" s="48" t="inlineStr">
        <is>
          <t>선전공항</t>
        </is>
      </c>
      <c r="G284" s="46" t="inlineStr">
        <is>
          <t>SZX</t>
        </is>
      </c>
      <c r="H284" s="47" t="n">
        <v>45162</v>
      </c>
      <c r="I284" s="52" t="n">
        <v>45164</v>
      </c>
      <c r="J284" s="52" t="n">
        <v>45164</v>
      </c>
      <c r="K284" s="53" t="n">
        <v>135</v>
      </c>
    </row>
    <row r="285" ht="15" customHeight="1" s="32">
      <c r="A285" s="46" t="inlineStr">
        <is>
          <t>L-HB-0284</t>
        </is>
      </c>
      <c r="B285" s="46" t="inlineStr">
        <is>
          <t>R-HB-0284</t>
        </is>
      </c>
      <c r="C285" s="48" t="inlineStr">
        <is>
          <t>항공</t>
        </is>
      </c>
      <c r="D285" s="48" t="inlineStr">
        <is>
          <t>인천공항</t>
        </is>
      </c>
      <c r="E285" s="46" t="inlineStr">
        <is>
          <t>ICN</t>
        </is>
      </c>
      <c r="F285" s="48" t="inlineStr">
        <is>
          <t>과달라하라공항</t>
        </is>
      </c>
      <c r="G285" s="46" t="inlineStr">
        <is>
          <t>GDL</t>
        </is>
      </c>
      <c r="H285" s="47" t="n">
        <v>45163</v>
      </c>
      <c r="I285" s="52" t="n">
        <v>45168</v>
      </c>
      <c r="J285" s="52" t="n">
        <v>45168</v>
      </c>
      <c r="K285" s="53" t="n">
        <v>135</v>
      </c>
    </row>
    <row r="286" ht="15" customHeight="1" s="32">
      <c r="A286" s="46" t="inlineStr">
        <is>
          <t>L-HB-0285</t>
        </is>
      </c>
      <c r="B286" s="46" t="inlineStr">
        <is>
          <t>R-HB-0285</t>
        </is>
      </c>
      <c r="C286" s="48" t="inlineStr">
        <is>
          <t>항공</t>
        </is>
      </c>
      <c r="D286" s="48" t="inlineStr">
        <is>
          <t>인천공항</t>
        </is>
      </c>
      <c r="E286" s="46" t="inlineStr">
        <is>
          <t>ICN</t>
        </is>
      </c>
      <c r="F286" s="48" t="inlineStr">
        <is>
          <t>프랑크푸르트공항</t>
        </is>
      </c>
      <c r="G286" s="46" t="inlineStr">
        <is>
          <t>FRA</t>
        </is>
      </c>
      <c r="H286" s="47" t="n">
        <v>45163</v>
      </c>
      <c r="I286" s="52" t="n">
        <v>45167</v>
      </c>
      <c r="J286" s="52" t="n">
        <v>45167</v>
      </c>
      <c r="K286" s="53" t="n">
        <v>135</v>
      </c>
    </row>
    <row r="287" ht="15" customHeight="1" s="32">
      <c r="A287" s="46" t="inlineStr">
        <is>
          <t>L-HB-0286</t>
        </is>
      </c>
      <c r="B287" s="46" t="inlineStr">
        <is>
          <t>R-HB-0286</t>
        </is>
      </c>
      <c r="C287" s="48" t="inlineStr">
        <is>
          <t>항공</t>
        </is>
      </c>
      <c r="D287" s="48" t="inlineStr">
        <is>
          <t>인천공항</t>
        </is>
      </c>
      <c r="E287" s="46" t="inlineStr">
        <is>
          <t>ICN</t>
        </is>
      </c>
      <c r="F287" s="48" t="inlineStr">
        <is>
          <t>시애틀공항</t>
        </is>
      </c>
      <c r="G287" s="46" t="inlineStr">
        <is>
          <t>SEA</t>
        </is>
      </c>
      <c r="H287" s="47" t="n">
        <v>45164</v>
      </c>
      <c r="I287" s="52" t="n">
        <v>45167</v>
      </c>
      <c r="J287" s="52" t="n">
        <v>45167</v>
      </c>
      <c r="K287" s="53" t="n">
        <v>135</v>
      </c>
    </row>
    <row r="288" ht="15" customHeight="1" s="32">
      <c r="A288" s="46" t="inlineStr">
        <is>
          <t>L-HB-0287</t>
        </is>
      </c>
      <c r="B288" s="46" t="inlineStr">
        <is>
          <t>R-HB-0287</t>
        </is>
      </c>
      <c r="C288" s="48" t="inlineStr">
        <is>
          <t>항공</t>
        </is>
      </c>
      <c r="D288" s="48" t="inlineStr">
        <is>
          <t>인천공항</t>
        </is>
      </c>
      <c r="E288" s="46" t="inlineStr">
        <is>
          <t>ICN</t>
        </is>
      </c>
      <c r="F288" s="48" t="inlineStr">
        <is>
          <t>델리공항</t>
        </is>
      </c>
      <c r="G288" s="46" t="inlineStr">
        <is>
          <t>DEL</t>
        </is>
      </c>
      <c r="H288" s="47" t="n">
        <v>45165</v>
      </c>
      <c r="I288" s="52" t="n">
        <v>45167</v>
      </c>
      <c r="J288" s="52" t="n">
        <v>45167</v>
      </c>
      <c r="K288" s="53" t="n">
        <v>135</v>
      </c>
    </row>
    <row r="289" ht="15" customHeight="1" s="32">
      <c r="A289" s="46" t="inlineStr">
        <is>
          <t>L-HB-0288</t>
        </is>
      </c>
      <c r="B289" s="46" t="inlineStr">
        <is>
          <t>R-HB-0288</t>
        </is>
      </c>
      <c r="C289" s="48" t="inlineStr">
        <is>
          <t>항공</t>
        </is>
      </c>
      <c r="D289" s="48" t="inlineStr">
        <is>
          <t>인천공항</t>
        </is>
      </c>
      <c r="E289" s="46" t="inlineStr">
        <is>
          <t>ICN</t>
        </is>
      </c>
      <c r="F289" s="48" t="inlineStr">
        <is>
          <t>선전공항</t>
        </is>
      </c>
      <c r="G289" s="46" t="inlineStr">
        <is>
          <t>SZX</t>
        </is>
      </c>
      <c r="H289" s="47" t="n">
        <v>45165</v>
      </c>
      <c r="I289" s="52" t="n">
        <v>45168</v>
      </c>
      <c r="J289" s="52" t="n">
        <v>45168</v>
      </c>
      <c r="K289" s="53" t="n">
        <v>135</v>
      </c>
    </row>
    <row r="290" ht="15" customHeight="1" s="32">
      <c r="A290" s="46" t="inlineStr">
        <is>
          <t>L-HB-0289</t>
        </is>
      </c>
      <c r="B290" s="46" t="inlineStr">
        <is>
          <t>R-HB-0289</t>
        </is>
      </c>
      <c r="C290" s="48" t="inlineStr">
        <is>
          <t>항공</t>
        </is>
      </c>
      <c r="D290" s="48" t="inlineStr">
        <is>
          <t>인천공항</t>
        </is>
      </c>
      <c r="E290" s="46" t="inlineStr">
        <is>
          <t>ICN</t>
        </is>
      </c>
      <c r="F290" s="48" t="inlineStr">
        <is>
          <t>시애틀공항</t>
        </is>
      </c>
      <c r="G290" s="46" t="inlineStr">
        <is>
          <t>SEA</t>
        </is>
      </c>
      <c r="H290" s="47" t="n">
        <v>45172</v>
      </c>
      <c r="I290" s="52" t="n">
        <v>45176</v>
      </c>
      <c r="J290" s="52" t="n">
        <v>45176</v>
      </c>
      <c r="K290" s="53" t="n">
        <v>135</v>
      </c>
    </row>
    <row r="291" ht="15" customHeight="1" s="32">
      <c r="A291" s="46" t="inlineStr">
        <is>
          <t>L-HB-0290</t>
        </is>
      </c>
      <c r="B291" s="46" t="inlineStr">
        <is>
          <t>R-HB-0290</t>
        </is>
      </c>
      <c r="C291" s="48" t="inlineStr">
        <is>
          <t>항공</t>
        </is>
      </c>
      <c r="D291" s="48" t="inlineStr">
        <is>
          <t>인천공항</t>
        </is>
      </c>
      <c r="E291" s="46" t="inlineStr">
        <is>
          <t>ICN</t>
        </is>
      </c>
      <c r="F291" s="48" t="inlineStr">
        <is>
          <t>시애틀공항</t>
        </is>
      </c>
      <c r="G291" s="46" t="inlineStr">
        <is>
          <t>SEA</t>
        </is>
      </c>
      <c r="H291" s="47" t="n">
        <v>45172</v>
      </c>
      <c r="I291" s="52" t="n">
        <v>45175</v>
      </c>
      <c r="J291" s="52" t="n">
        <v>45175</v>
      </c>
      <c r="K291" s="53" t="n">
        <v>170.17</v>
      </c>
    </row>
    <row r="292" ht="15" customHeight="1" s="32">
      <c r="A292" s="46" t="inlineStr">
        <is>
          <t>L-HB-0291</t>
        </is>
      </c>
      <c r="B292" s="46" t="inlineStr">
        <is>
          <t>R-HB-0291</t>
        </is>
      </c>
      <c r="C292" s="48" t="inlineStr">
        <is>
          <t>항공</t>
        </is>
      </c>
      <c r="D292" s="48" t="inlineStr">
        <is>
          <t>인천공항</t>
        </is>
      </c>
      <c r="E292" s="46" t="inlineStr">
        <is>
          <t>ICN</t>
        </is>
      </c>
      <c r="F292" s="48" t="inlineStr">
        <is>
          <t>선전공항</t>
        </is>
      </c>
      <c r="G292" s="46" t="inlineStr">
        <is>
          <t>SZX</t>
        </is>
      </c>
      <c r="H292" s="47" t="n">
        <v>45173</v>
      </c>
      <c r="I292" s="52" t="n">
        <v>45175</v>
      </c>
      <c r="J292" s="52" t="n">
        <v>45175</v>
      </c>
      <c r="K292" s="53" t="n">
        <v>135</v>
      </c>
    </row>
    <row r="293" ht="15" customHeight="1" s="32">
      <c r="A293" s="46" t="inlineStr">
        <is>
          <t>L-HB-0292</t>
        </is>
      </c>
      <c r="B293" s="46" t="inlineStr">
        <is>
          <t>R-HB-0292</t>
        </is>
      </c>
      <c r="C293" s="48" t="inlineStr">
        <is>
          <t>항공</t>
        </is>
      </c>
      <c r="D293" s="48" t="inlineStr">
        <is>
          <t>인천공항</t>
        </is>
      </c>
      <c r="E293" s="46" t="inlineStr">
        <is>
          <t>ICN</t>
        </is>
      </c>
      <c r="F293" s="48" t="inlineStr">
        <is>
          <t>충칭공항</t>
        </is>
      </c>
      <c r="G293" s="46" t="inlineStr">
        <is>
          <t>CKG</t>
        </is>
      </c>
      <c r="H293" s="47" t="n">
        <v>45173</v>
      </c>
      <c r="I293" s="52" t="n">
        <v>45175</v>
      </c>
      <c r="J293" s="52" t="n">
        <v>45174</v>
      </c>
      <c r="K293" s="53" t="n">
        <v>135</v>
      </c>
    </row>
    <row r="294" ht="15" customHeight="1" s="32">
      <c r="A294" s="46" t="inlineStr">
        <is>
          <t>L-HB-0293</t>
        </is>
      </c>
      <c r="B294" s="46" t="inlineStr">
        <is>
          <t>R-HB-0293</t>
        </is>
      </c>
      <c r="C294" s="48" t="inlineStr">
        <is>
          <t>항공</t>
        </is>
      </c>
      <c r="D294" s="48" t="inlineStr">
        <is>
          <t>인천공항</t>
        </is>
      </c>
      <c r="E294" s="46" t="inlineStr">
        <is>
          <t>ICN</t>
        </is>
      </c>
      <c r="F294" s="48" t="inlineStr">
        <is>
          <t>과달라하라공항</t>
        </is>
      </c>
      <c r="G294" s="46" t="inlineStr">
        <is>
          <t>GDL</t>
        </is>
      </c>
      <c r="H294" s="47" t="n">
        <v>45174</v>
      </c>
      <c r="I294" s="52" t="n">
        <v>45177</v>
      </c>
      <c r="J294" s="52" t="n">
        <v>45176</v>
      </c>
      <c r="K294" s="53" t="n">
        <v>135</v>
      </c>
    </row>
    <row r="295" ht="15" customHeight="1" s="32">
      <c r="A295" s="46" t="inlineStr">
        <is>
          <t>L-HB-0294</t>
        </is>
      </c>
      <c r="B295" s="46" t="inlineStr">
        <is>
          <t>R-HB-0294</t>
        </is>
      </c>
      <c r="C295" s="48" t="inlineStr">
        <is>
          <t>항공</t>
        </is>
      </c>
      <c r="D295" s="48" t="inlineStr">
        <is>
          <t>인천공항</t>
        </is>
      </c>
      <c r="E295" s="46" t="inlineStr">
        <is>
          <t>ICN</t>
        </is>
      </c>
      <c r="F295" s="48" t="inlineStr">
        <is>
          <t>프랑크푸르트공항</t>
        </is>
      </c>
      <c r="G295" s="46" t="inlineStr">
        <is>
          <t>FRA</t>
        </is>
      </c>
      <c r="H295" s="47" t="n">
        <v>45175</v>
      </c>
      <c r="I295" s="52" t="n">
        <v>45179</v>
      </c>
      <c r="J295" s="52" t="n">
        <v>45179</v>
      </c>
      <c r="K295" s="53" t="n">
        <v>142.06</v>
      </c>
    </row>
    <row r="296" ht="15" customHeight="1" s="32">
      <c r="A296" s="46" t="inlineStr">
        <is>
          <t>L-HB-0295</t>
        </is>
      </c>
      <c r="B296" s="46" t="inlineStr">
        <is>
          <t>R-HB-0295</t>
        </is>
      </c>
      <c r="C296" s="48" t="inlineStr">
        <is>
          <t>항공</t>
        </is>
      </c>
      <c r="D296" s="48" t="inlineStr">
        <is>
          <t>인천공항</t>
        </is>
      </c>
      <c r="E296" s="46" t="inlineStr">
        <is>
          <t>ICN</t>
        </is>
      </c>
      <c r="F296" s="48" t="inlineStr">
        <is>
          <t>로스앤젤레스공항</t>
        </is>
      </c>
      <c r="G296" s="46" t="inlineStr">
        <is>
          <t>LAX</t>
        </is>
      </c>
      <c r="H296" s="47" t="n">
        <v>45177</v>
      </c>
      <c r="I296" s="52" t="n">
        <v>45179</v>
      </c>
      <c r="J296" s="52" t="n">
        <v>45179</v>
      </c>
      <c r="K296" s="53" t="n">
        <v>140.07</v>
      </c>
    </row>
    <row r="297" ht="15" customHeight="1" s="32">
      <c r="A297" s="46" t="inlineStr">
        <is>
          <t>L-HB-0296</t>
        </is>
      </c>
      <c r="B297" s="46" t="inlineStr">
        <is>
          <t>R-HB-0296</t>
        </is>
      </c>
      <c r="C297" s="48" t="inlineStr">
        <is>
          <t>항공</t>
        </is>
      </c>
      <c r="D297" s="48" t="inlineStr">
        <is>
          <t>인천공항</t>
        </is>
      </c>
      <c r="E297" s="46" t="inlineStr">
        <is>
          <t>ICN</t>
        </is>
      </c>
      <c r="F297" s="48" t="inlineStr">
        <is>
          <t>과달라하라공항</t>
        </is>
      </c>
      <c r="G297" s="46" t="inlineStr">
        <is>
          <t>GDL</t>
        </is>
      </c>
      <c r="H297" s="47" t="n">
        <v>45177</v>
      </c>
      <c r="I297" s="52" t="n">
        <v>45180</v>
      </c>
      <c r="J297" s="52" t="n">
        <v>45180</v>
      </c>
      <c r="K297" s="53" t="n">
        <v>135</v>
      </c>
    </row>
    <row r="298" ht="15" customHeight="1" s="32">
      <c r="A298" s="46" t="inlineStr">
        <is>
          <t>L-HB-0297</t>
        </is>
      </c>
      <c r="B298" s="46" t="inlineStr">
        <is>
          <t>R-HB-0297</t>
        </is>
      </c>
      <c r="C298" s="48" t="inlineStr">
        <is>
          <t>항공</t>
        </is>
      </c>
      <c r="D298" s="48" t="inlineStr">
        <is>
          <t>인천공항</t>
        </is>
      </c>
      <c r="E298" s="46" t="inlineStr">
        <is>
          <t>ICN</t>
        </is>
      </c>
      <c r="F298" s="48" t="inlineStr">
        <is>
          <t>델리공항</t>
        </is>
      </c>
      <c r="G298" s="46" t="inlineStr">
        <is>
          <t>DEL</t>
        </is>
      </c>
      <c r="H298" s="47" t="n">
        <v>45178</v>
      </c>
      <c r="I298" s="52" t="n">
        <v>45181</v>
      </c>
      <c r="J298" s="52" t="n">
        <v>45181</v>
      </c>
      <c r="K298" s="53" t="n">
        <v>192.45</v>
      </c>
    </row>
    <row r="299" ht="15" customHeight="1" s="32">
      <c r="A299" s="46" t="inlineStr">
        <is>
          <t>L-HB-0298</t>
        </is>
      </c>
      <c r="B299" s="46" t="inlineStr">
        <is>
          <t>R-HB-0298</t>
        </is>
      </c>
      <c r="C299" s="48" t="inlineStr">
        <is>
          <t>항공</t>
        </is>
      </c>
      <c r="D299" s="48" t="inlineStr">
        <is>
          <t>인천공항</t>
        </is>
      </c>
      <c r="E299" s="46" t="inlineStr">
        <is>
          <t>ICN</t>
        </is>
      </c>
      <c r="F299" s="48" t="inlineStr">
        <is>
          <t>충칭공항</t>
        </is>
      </c>
      <c r="G299" s="46" t="inlineStr">
        <is>
          <t>CKG</t>
        </is>
      </c>
      <c r="H299" s="47" t="n">
        <v>45178</v>
      </c>
      <c r="I299" s="52" t="n">
        <v>45180</v>
      </c>
      <c r="J299" s="52" t="n">
        <v>45180</v>
      </c>
      <c r="K299" s="53" t="n">
        <v>135</v>
      </c>
    </row>
    <row r="300" ht="15" customHeight="1" s="32">
      <c r="A300" s="46" t="inlineStr">
        <is>
          <t>L-HB-0299</t>
        </is>
      </c>
      <c r="B300" s="46" t="inlineStr">
        <is>
          <t>R-HB-0299</t>
        </is>
      </c>
      <c r="C300" s="48" t="inlineStr">
        <is>
          <t>항공</t>
        </is>
      </c>
      <c r="D300" s="48" t="inlineStr">
        <is>
          <t>인천공항</t>
        </is>
      </c>
      <c r="E300" s="46" t="inlineStr">
        <is>
          <t>ICN</t>
        </is>
      </c>
      <c r="F300" s="48" t="inlineStr">
        <is>
          <t>로스앤젤레스공항</t>
        </is>
      </c>
      <c r="G300" s="46" t="inlineStr">
        <is>
          <t>LAX</t>
        </is>
      </c>
      <c r="H300" s="47" t="n">
        <v>45179</v>
      </c>
      <c r="I300" s="52" t="n">
        <v>45181</v>
      </c>
      <c r="J300" s="52" t="n">
        <v>45181</v>
      </c>
      <c r="K300" s="53" t="n">
        <v>455.89</v>
      </c>
    </row>
    <row r="301" ht="15" customHeight="1" s="32">
      <c r="A301" s="46" t="inlineStr">
        <is>
          <t>L-HB-0300</t>
        </is>
      </c>
      <c r="B301" s="46" t="inlineStr">
        <is>
          <t>R-HB-0300</t>
        </is>
      </c>
      <c r="C301" s="48" t="inlineStr">
        <is>
          <t>항공</t>
        </is>
      </c>
      <c r="D301" s="48" t="inlineStr">
        <is>
          <t>인천공항</t>
        </is>
      </c>
      <c r="E301" s="46" t="inlineStr">
        <is>
          <t>ICN</t>
        </is>
      </c>
      <c r="F301" s="48" t="inlineStr">
        <is>
          <t>프랑크푸르트공항</t>
        </is>
      </c>
      <c r="G301" s="46" t="inlineStr">
        <is>
          <t>FRA</t>
        </is>
      </c>
      <c r="H301" s="47" t="n">
        <v>45180</v>
      </c>
      <c r="I301" s="52" t="n">
        <v>45184</v>
      </c>
      <c r="J301" s="52" t="n">
        <v>45184</v>
      </c>
      <c r="K301" s="53" t="n">
        <v>239.07</v>
      </c>
    </row>
    <row r="302" ht="15" customHeight="1" s="32">
      <c r="A302" s="46" t="inlineStr">
        <is>
          <t>L-HB-0301</t>
        </is>
      </c>
      <c r="B302" s="46" t="inlineStr">
        <is>
          <t>R-HB-0301</t>
        </is>
      </c>
      <c r="C302" s="48" t="inlineStr">
        <is>
          <t>해상</t>
        </is>
      </c>
      <c r="D302" s="48" t="inlineStr">
        <is>
          <t>부산항</t>
        </is>
      </c>
      <c r="E302" s="46" t="inlineStr">
        <is>
          <t>KRPUS</t>
        </is>
      </c>
      <c r="F302" s="48" t="inlineStr">
        <is>
          <t>하이퐁항</t>
        </is>
      </c>
      <c r="G302" s="46" t="inlineStr">
        <is>
          <t>VNHPH</t>
        </is>
      </c>
      <c r="H302" s="47" t="n">
        <v>45180</v>
      </c>
      <c r="I302" s="52" t="n">
        <v>45188</v>
      </c>
      <c r="J302" s="52" t="n">
        <v>45187</v>
      </c>
      <c r="K302" s="53" t="n">
        <v>530</v>
      </c>
    </row>
    <row r="303" ht="15" customHeight="1" s="32">
      <c r="A303" s="46" t="inlineStr">
        <is>
          <t>L-HB-0302</t>
        </is>
      </c>
      <c r="B303" s="46" t="inlineStr">
        <is>
          <t>R-HB-0302</t>
        </is>
      </c>
      <c r="C303" s="48" t="inlineStr">
        <is>
          <t>항공</t>
        </is>
      </c>
      <c r="D303" s="48" t="inlineStr">
        <is>
          <t>인천공항</t>
        </is>
      </c>
      <c r="E303" s="46" t="inlineStr">
        <is>
          <t>ICN</t>
        </is>
      </c>
      <c r="F303" s="48" t="inlineStr">
        <is>
          <t>델리공항</t>
        </is>
      </c>
      <c r="G303" s="46" t="inlineStr">
        <is>
          <t>DEL</t>
        </is>
      </c>
      <c r="H303" s="47" t="n">
        <v>45181</v>
      </c>
      <c r="I303" s="52" t="n">
        <v>45184</v>
      </c>
      <c r="J303" s="52" t="n">
        <v>45184</v>
      </c>
      <c r="K303" s="53" t="n">
        <v>135</v>
      </c>
    </row>
    <row r="304" ht="15" customHeight="1" s="32">
      <c r="A304" s="46" t="inlineStr">
        <is>
          <t>L-HB-0303</t>
        </is>
      </c>
      <c r="B304" s="46" t="inlineStr">
        <is>
          <t>R-HB-0303</t>
        </is>
      </c>
      <c r="C304" s="48" t="inlineStr">
        <is>
          <t>해상</t>
        </is>
      </c>
      <c r="D304" s="48" t="inlineStr">
        <is>
          <t>부산항</t>
        </is>
      </c>
      <c r="E304" s="46" t="inlineStr">
        <is>
          <t>KRPUS</t>
        </is>
      </c>
      <c r="F304" s="48" t="inlineStr">
        <is>
          <t>상하이항</t>
        </is>
      </c>
      <c r="G304" s="46" t="inlineStr">
        <is>
          <t>CNSHA</t>
        </is>
      </c>
      <c r="H304" s="47" t="n">
        <v>45181</v>
      </c>
      <c r="I304" s="52" t="n">
        <v>45186</v>
      </c>
      <c r="J304" s="52" t="n">
        <v>45186</v>
      </c>
      <c r="K304" s="53" t="n">
        <v>530</v>
      </c>
    </row>
    <row r="305" ht="15" customHeight="1" s="32">
      <c r="A305" s="46" t="inlineStr">
        <is>
          <t>L-HB-0304</t>
        </is>
      </c>
      <c r="B305" s="46" t="inlineStr">
        <is>
          <t>R-HB-0304</t>
        </is>
      </c>
      <c r="C305" s="48" t="inlineStr">
        <is>
          <t>항공</t>
        </is>
      </c>
      <c r="D305" s="48" t="inlineStr">
        <is>
          <t>인천공항</t>
        </is>
      </c>
      <c r="E305" s="46" t="inlineStr">
        <is>
          <t>ICN</t>
        </is>
      </c>
      <c r="F305" s="48" t="inlineStr">
        <is>
          <t>하노이공항</t>
        </is>
      </c>
      <c r="G305" s="46" t="inlineStr">
        <is>
          <t>HAN</t>
        </is>
      </c>
      <c r="H305" s="47" t="n">
        <v>45183</v>
      </c>
      <c r="I305" s="52" t="n">
        <v>45185</v>
      </c>
      <c r="J305" s="52" t="n">
        <v>45185</v>
      </c>
      <c r="K305" s="53" t="n">
        <v>232.16</v>
      </c>
    </row>
    <row r="306" ht="15" customHeight="1" s="32">
      <c r="A306" s="46" t="inlineStr">
        <is>
          <t>L-HB-0305</t>
        </is>
      </c>
      <c r="B306" s="46" t="inlineStr">
        <is>
          <t>R-HB-0305</t>
        </is>
      </c>
      <c r="C306" s="48" t="inlineStr">
        <is>
          <t>항공</t>
        </is>
      </c>
      <c r="D306" s="48" t="inlineStr">
        <is>
          <t>인천공항</t>
        </is>
      </c>
      <c r="E306" s="46" t="inlineStr">
        <is>
          <t>ICN</t>
        </is>
      </c>
      <c r="F306" s="48" t="inlineStr">
        <is>
          <t>하노이공항</t>
        </is>
      </c>
      <c r="G306" s="46" t="inlineStr">
        <is>
          <t>HAN</t>
        </is>
      </c>
      <c r="H306" s="47" t="n">
        <v>45183</v>
      </c>
      <c r="I306" s="52" t="n">
        <v>45186</v>
      </c>
      <c r="J306" s="52" t="n">
        <v>45185</v>
      </c>
      <c r="K306" s="53" t="n">
        <v>135</v>
      </c>
    </row>
    <row r="307" ht="15" customHeight="1" s="32">
      <c r="A307" s="46" t="inlineStr">
        <is>
          <t>L-HB-0306</t>
        </is>
      </c>
      <c r="B307" s="46" t="inlineStr">
        <is>
          <t>R-HB-0306</t>
        </is>
      </c>
      <c r="C307" s="48" t="inlineStr">
        <is>
          <t>항공</t>
        </is>
      </c>
      <c r="D307" s="48" t="inlineStr">
        <is>
          <t>인천공항</t>
        </is>
      </c>
      <c r="E307" s="46" t="inlineStr">
        <is>
          <t>ICN</t>
        </is>
      </c>
      <c r="F307" s="48" t="inlineStr">
        <is>
          <t>시애틀공항</t>
        </is>
      </c>
      <c r="G307" s="46" t="inlineStr">
        <is>
          <t>SEA</t>
        </is>
      </c>
      <c r="H307" s="47" t="n">
        <v>45185</v>
      </c>
      <c r="I307" s="52" t="n">
        <v>45188</v>
      </c>
      <c r="J307" s="52" t="n">
        <v>45187</v>
      </c>
      <c r="K307" s="53" t="n">
        <v>234.54</v>
      </c>
    </row>
    <row r="308" ht="15" customHeight="1" s="32">
      <c r="A308" s="46" t="inlineStr">
        <is>
          <t>L-HB-0307</t>
        </is>
      </c>
      <c r="B308" s="46" t="inlineStr">
        <is>
          <t>R-HB-0307</t>
        </is>
      </c>
      <c r="C308" s="48" t="inlineStr">
        <is>
          <t>항공</t>
        </is>
      </c>
      <c r="D308" s="48" t="inlineStr">
        <is>
          <t>인천공항</t>
        </is>
      </c>
      <c r="E308" s="46" t="inlineStr">
        <is>
          <t>ICN</t>
        </is>
      </c>
      <c r="F308" s="48" t="inlineStr">
        <is>
          <t>시애틀공항</t>
        </is>
      </c>
      <c r="G308" s="46" t="inlineStr">
        <is>
          <t>SEA</t>
        </is>
      </c>
      <c r="H308" s="47" t="n">
        <v>45185</v>
      </c>
      <c r="I308" s="52" t="n">
        <v>45188</v>
      </c>
      <c r="J308" s="52" t="n">
        <v>45188</v>
      </c>
      <c r="K308" s="53" t="n">
        <v>135</v>
      </c>
    </row>
    <row r="309" ht="15" customHeight="1" s="32">
      <c r="A309" s="46" t="inlineStr">
        <is>
          <t>L-HB-0308</t>
        </is>
      </c>
      <c r="B309" s="46" t="inlineStr">
        <is>
          <t>R-HB-0308</t>
        </is>
      </c>
      <c r="C309" s="48" t="inlineStr">
        <is>
          <t>항공</t>
        </is>
      </c>
      <c r="D309" s="48" t="inlineStr">
        <is>
          <t>인천공항</t>
        </is>
      </c>
      <c r="E309" s="46" t="inlineStr">
        <is>
          <t>ICN</t>
        </is>
      </c>
      <c r="F309" s="48" t="inlineStr">
        <is>
          <t>토론토공항</t>
        </is>
      </c>
      <c r="G309" s="46" t="inlineStr">
        <is>
          <t>YYZ</t>
        </is>
      </c>
      <c r="H309" s="47" t="n">
        <v>45187</v>
      </c>
      <c r="I309" s="52" t="n">
        <v>45192</v>
      </c>
      <c r="J309" s="52" t="n">
        <v>45192</v>
      </c>
      <c r="K309" s="53" t="n">
        <v>135</v>
      </c>
    </row>
    <row r="310" ht="15" customHeight="1" s="32">
      <c r="A310" s="46" t="inlineStr">
        <is>
          <t>L-HB-0309</t>
        </is>
      </c>
      <c r="B310" s="46" t="inlineStr">
        <is>
          <t>R-HB-0309</t>
        </is>
      </c>
      <c r="C310" s="48" t="inlineStr">
        <is>
          <t>항공</t>
        </is>
      </c>
      <c r="D310" s="48" t="inlineStr">
        <is>
          <t>인천공항</t>
        </is>
      </c>
      <c r="E310" s="46" t="inlineStr">
        <is>
          <t>ICN</t>
        </is>
      </c>
      <c r="F310" s="48" t="inlineStr">
        <is>
          <t>충칭공항</t>
        </is>
      </c>
      <c r="G310" s="46" t="inlineStr">
        <is>
          <t>CKG</t>
        </is>
      </c>
      <c r="H310" s="47" t="n">
        <v>45188</v>
      </c>
      <c r="I310" s="52" t="n">
        <v>45190</v>
      </c>
      <c r="J310" s="52" t="n">
        <v>45190</v>
      </c>
      <c r="K310" s="53" t="n">
        <v>183.95</v>
      </c>
    </row>
    <row r="311" ht="15" customHeight="1" s="32">
      <c r="A311" s="46" t="inlineStr">
        <is>
          <t>L-HB-0310</t>
        </is>
      </c>
      <c r="B311" s="46" t="inlineStr">
        <is>
          <t>R-HB-0310</t>
        </is>
      </c>
      <c r="C311" s="48" t="inlineStr">
        <is>
          <t>항공</t>
        </is>
      </c>
      <c r="D311" s="48" t="inlineStr">
        <is>
          <t>인천공항</t>
        </is>
      </c>
      <c r="E311" s="46" t="inlineStr">
        <is>
          <t>ICN</t>
        </is>
      </c>
      <c r="F311" s="48" t="inlineStr">
        <is>
          <t>프랑크푸르트공항</t>
        </is>
      </c>
      <c r="G311" s="46" t="inlineStr">
        <is>
          <t>FRA</t>
        </is>
      </c>
      <c r="H311" s="47" t="n">
        <v>45189</v>
      </c>
      <c r="I311" s="52" t="n">
        <v>45192</v>
      </c>
      <c r="J311" s="52" t="n">
        <v>45192</v>
      </c>
      <c r="K311" s="53" t="n">
        <v>408.56</v>
      </c>
    </row>
    <row r="312" ht="15" customHeight="1" s="32">
      <c r="A312" s="46" t="inlineStr">
        <is>
          <t>L-HB-0311</t>
        </is>
      </c>
      <c r="B312" s="46" t="inlineStr">
        <is>
          <t>R-HB-0311</t>
        </is>
      </c>
      <c r="C312" s="48" t="inlineStr">
        <is>
          <t>항공</t>
        </is>
      </c>
      <c r="D312" s="48" t="inlineStr">
        <is>
          <t>인천공항</t>
        </is>
      </c>
      <c r="E312" s="46" t="inlineStr">
        <is>
          <t>ICN</t>
        </is>
      </c>
      <c r="F312" s="48" t="inlineStr">
        <is>
          <t>프랑크푸르트공항</t>
        </is>
      </c>
      <c r="G312" s="46" t="inlineStr">
        <is>
          <t>FRA</t>
        </is>
      </c>
      <c r="H312" s="47" t="n">
        <v>45189</v>
      </c>
      <c r="I312" s="52" t="n">
        <v>45193</v>
      </c>
      <c r="J312" s="52" t="n">
        <v>45193</v>
      </c>
      <c r="K312" s="53" t="n">
        <v>135</v>
      </c>
    </row>
    <row r="313" ht="15" customHeight="1" s="32">
      <c r="A313" s="46" t="inlineStr">
        <is>
          <t>L-HB-0312</t>
        </is>
      </c>
      <c r="B313" s="46" t="inlineStr">
        <is>
          <t>R-HB-0312</t>
        </is>
      </c>
      <c r="C313" s="48" t="inlineStr">
        <is>
          <t>항공</t>
        </is>
      </c>
      <c r="D313" s="48" t="inlineStr">
        <is>
          <t>인천공항</t>
        </is>
      </c>
      <c r="E313" s="46" t="inlineStr">
        <is>
          <t>ICN</t>
        </is>
      </c>
      <c r="F313" s="48" t="inlineStr">
        <is>
          <t>로스앤젤레스공항</t>
        </is>
      </c>
      <c r="G313" s="46" t="inlineStr">
        <is>
          <t>LAX</t>
        </is>
      </c>
      <c r="H313" s="47" t="n">
        <v>45190</v>
      </c>
      <c r="I313" s="52" t="n">
        <v>45192</v>
      </c>
      <c r="J313" s="52" t="n">
        <v>45192</v>
      </c>
      <c r="K313" s="53" t="n">
        <v>232.1</v>
      </c>
    </row>
    <row r="314" ht="15" customHeight="1" s="32">
      <c r="A314" s="46" t="inlineStr">
        <is>
          <t>L-HB-0313</t>
        </is>
      </c>
      <c r="B314" s="46" t="inlineStr">
        <is>
          <t>R-HB-0313</t>
        </is>
      </c>
      <c r="C314" s="48" t="inlineStr">
        <is>
          <t>항공</t>
        </is>
      </c>
      <c r="D314" s="48" t="inlineStr">
        <is>
          <t>인천공항</t>
        </is>
      </c>
      <c r="E314" s="46" t="inlineStr">
        <is>
          <t>ICN</t>
        </is>
      </c>
      <c r="F314" s="48" t="inlineStr">
        <is>
          <t>하노이공항</t>
        </is>
      </c>
      <c r="G314" s="46" t="inlineStr">
        <is>
          <t>HAN</t>
        </is>
      </c>
      <c r="H314" s="47" t="n">
        <v>45190</v>
      </c>
      <c r="I314" s="52" t="n">
        <v>45191</v>
      </c>
      <c r="J314" s="52" t="n">
        <v>45190</v>
      </c>
      <c r="K314" s="53" t="n">
        <v>135</v>
      </c>
    </row>
    <row r="315" ht="15" customHeight="1" s="32">
      <c r="A315" s="46" t="inlineStr">
        <is>
          <t>L-HB-0314</t>
        </is>
      </c>
      <c r="B315" s="46" t="inlineStr">
        <is>
          <t>R-HB-0314</t>
        </is>
      </c>
      <c r="C315" s="48" t="inlineStr">
        <is>
          <t>항공</t>
        </is>
      </c>
      <c r="D315" s="48" t="inlineStr">
        <is>
          <t>인천공항</t>
        </is>
      </c>
      <c r="E315" s="46" t="inlineStr">
        <is>
          <t>ICN</t>
        </is>
      </c>
      <c r="F315" s="48" t="inlineStr">
        <is>
          <t>델리공항</t>
        </is>
      </c>
      <c r="G315" s="46" t="inlineStr">
        <is>
          <t>DEL</t>
        </is>
      </c>
      <c r="H315" s="47" t="n">
        <v>45190</v>
      </c>
      <c r="I315" s="52" t="n">
        <v>45194</v>
      </c>
      <c r="J315" s="52" t="n">
        <v>45194</v>
      </c>
      <c r="K315" s="53" t="n">
        <v>135</v>
      </c>
    </row>
    <row r="316" ht="15" customHeight="1" s="32">
      <c r="A316" s="46" t="inlineStr">
        <is>
          <t>L-HB-0315</t>
        </is>
      </c>
      <c r="B316" s="46" t="inlineStr">
        <is>
          <t>R-HB-0315</t>
        </is>
      </c>
      <c r="C316" s="48" t="inlineStr">
        <is>
          <t>항공</t>
        </is>
      </c>
      <c r="D316" s="48" t="inlineStr">
        <is>
          <t>인천공항</t>
        </is>
      </c>
      <c r="E316" s="46" t="inlineStr">
        <is>
          <t>ICN</t>
        </is>
      </c>
      <c r="F316" s="48" t="inlineStr">
        <is>
          <t>선전공항</t>
        </is>
      </c>
      <c r="G316" s="46" t="inlineStr">
        <is>
          <t>SZX</t>
        </is>
      </c>
      <c r="H316" s="47" t="n">
        <v>45190</v>
      </c>
      <c r="I316" s="52" t="n">
        <v>45191</v>
      </c>
      <c r="J316" s="52" t="n">
        <v>45191</v>
      </c>
      <c r="K316" s="53" t="n">
        <v>279.09</v>
      </c>
    </row>
    <row r="317" ht="15" customHeight="1" s="32">
      <c r="A317" s="46" t="inlineStr">
        <is>
          <t>L-HB-0316</t>
        </is>
      </c>
      <c r="B317" s="46" t="inlineStr">
        <is>
          <t>R-HB-0316</t>
        </is>
      </c>
      <c r="C317" s="48" t="inlineStr">
        <is>
          <t>해상</t>
        </is>
      </c>
      <c r="D317" s="48" t="inlineStr">
        <is>
          <t>부산항</t>
        </is>
      </c>
      <c r="E317" s="46" t="inlineStr">
        <is>
          <t>KRPUS</t>
        </is>
      </c>
      <c r="F317" s="48" t="inlineStr">
        <is>
          <t>서커우항</t>
        </is>
      </c>
      <c r="G317" s="46" t="inlineStr">
        <is>
          <t>CNSHK</t>
        </is>
      </c>
      <c r="H317" s="47" t="n">
        <v>45190</v>
      </c>
      <c r="I317" s="52" t="n">
        <v>45195</v>
      </c>
      <c r="J317" s="52" t="n">
        <v>45195</v>
      </c>
      <c r="K317" s="53" t="n">
        <v>530</v>
      </c>
    </row>
    <row r="318" ht="15" customHeight="1" s="32">
      <c r="A318" s="46" t="inlineStr">
        <is>
          <t>L-HB-0317</t>
        </is>
      </c>
      <c r="B318" s="46" t="inlineStr">
        <is>
          <t>R-HB-0317</t>
        </is>
      </c>
      <c r="C318" s="48" t="inlineStr">
        <is>
          <t>항공</t>
        </is>
      </c>
      <c r="D318" s="48" t="inlineStr">
        <is>
          <t>인천공항</t>
        </is>
      </c>
      <c r="E318" s="46" t="inlineStr">
        <is>
          <t>ICN</t>
        </is>
      </c>
      <c r="F318" s="48" t="inlineStr">
        <is>
          <t>델리공항</t>
        </is>
      </c>
      <c r="G318" s="46" t="inlineStr">
        <is>
          <t>DEL</t>
        </is>
      </c>
      <c r="H318" s="47" t="n">
        <v>45191</v>
      </c>
      <c r="I318" s="52" t="n">
        <v>45193</v>
      </c>
      <c r="J318" s="52" t="n">
        <v>45193</v>
      </c>
      <c r="K318" s="53" t="n">
        <v>135</v>
      </c>
    </row>
    <row r="319" ht="15" customHeight="1" s="32">
      <c r="A319" s="46" t="inlineStr">
        <is>
          <t>L-HB-0318</t>
        </is>
      </c>
      <c r="B319" s="46" t="inlineStr">
        <is>
          <t>R-HB-0318</t>
        </is>
      </c>
      <c r="C319" s="48" t="inlineStr">
        <is>
          <t>항공</t>
        </is>
      </c>
      <c r="D319" s="48" t="inlineStr">
        <is>
          <t>인천공항</t>
        </is>
      </c>
      <c r="E319" s="46" t="inlineStr">
        <is>
          <t>ICN</t>
        </is>
      </c>
      <c r="F319" s="48" t="inlineStr">
        <is>
          <t>선전공항</t>
        </is>
      </c>
      <c r="G319" s="46" t="inlineStr">
        <is>
          <t>SZX</t>
        </is>
      </c>
      <c r="H319" s="47" t="n">
        <v>45193</v>
      </c>
      <c r="I319" s="52" t="n">
        <v>45195</v>
      </c>
      <c r="J319" s="52" t="n">
        <v>45195</v>
      </c>
      <c r="K319" s="53" t="n">
        <v>135</v>
      </c>
    </row>
    <row r="320" ht="15" customHeight="1" s="32">
      <c r="A320" s="46" t="inlineStr">
        <is>
          <t>L-HB-0319</t>
        </is>
      </c>
      <c r="B320" s="46" t="inlineStr">
        <is>
          <t>R-HB-0319</t>
        </is>
      </c>
      <c r="C320" s="48" t="inlineStr">
        <is>
          <t>항공</t>
        </is>
      </c>
      <c r="D320" s="48" t="inlineStr">
        <is>
          <t>인천공항</t>
        </is>
      </c>
      <c r="E320" s="46" t="inlineStr">
        <is>
          <t>ICN</t>
        </is>
      </c>
      <c r="F320" s="48" t="inlineStr">
        <is>
          <t>과달라하라공항</t>
        </is>
      </c>
      <c r="G320" s="46" t="inlineStr">
        <is>
          <t>GDL</t>
        </is>
      </c>
      <c r="H320" s="47" t="n">
        <v>45194</v>
      </c>
      <c r="I320" s="52" t="n">
        <v>45198</v>
      </c>
      <c r="J320" s="52" t="n">
        <v>45198</v>
      </c>
      <c r="K320" s="53" t="n">
        <v>135</v>
      </c>
    </row>
    <row r="321" ht="15" customHeight="1" s="32">
      <c r="A321" s="46" t="inlineStr">
        <is>
          <t>L-HB-0320</t>
        </is>
      </c>
      <c r="B321" s="46" t="inlineStr">
        <is>
          <t>R-HB-0320</t>
        </is>
      </c>
      <c r="C321" s="48" t="inlineStr">
        <is>
          <t>항공</t>
        </is>
      </c>
      <c r="D321" s="48" t="inlineStr">
        <is>
          <t>인천공항</t>
        </is>
      </c>
      <c r="E321" s="46" t="inlineStr">
        <is>
          <t>ICN</t>
        </is>
      </c>
      <c r="F321" s="48" t="inlineStr">
        <is>
          <t>과달라하라공항</t>
        </is>
      </c>
      <c r="G321" s="46" t="inlineStr">
        <is>
          <t>GDL</t>
        </is>
      </c>
      <c r="H321" s="47" t="n">
        <v>45195</v>
      </c>
      <c r="I321" s="52" t="n">
        <v>45200</v>
      </c>
      <c r="J321" s="52" t="n">
        <v>45199</v>
      </c>
      <c r="K321" s="53" t="n">
        <v>135</v>
      </c>
    </row>
    <row r="322" ht="15" customHeight="1" s="32">
      <c r="A322" s="46" t="inlineStr">
        <is>
          <t>L-HB-0321</t>
        </is>
      </c>
      <c r="B322" s="46" t="inlineStr">
        <is>
          <t>R-HB-0321</t>
        </is>
      </c>
      <c r="C322" s="48" t="inlineStr">
        <is>
          <t>항공</t>
        </is>
      </c>
      <c r="D322" s="48" t="inlineStr">
        <is>
          <t>인천공항</t>
        </is>
      </c>
      <c r="E322" s="46" t="inlineStr">
        <is>
          <t>ICN</t>
        </is>
      </c>
      <c r="F322" s="48" t="inlineStr">
        <is>
          <t>토론토공항</t>
        </is>
      </c>
      <c r="G322" s="46" t="inlineStr">
        <is>
          <t>YYZ</t>
        </is>
      </c>
      <c r="H322" s="47" t="n">
        <v>45195</v>
      </c>
      <c r="I322" s="52" t="n">
        <v>45198</v>
      </c>
      <c r="J322" s="52" t="n">
        <v>45198</v>
      </c>
      <c r="K322" s="53" t="n">
        <v>135</v>
      </c>
    </row>
    <row r="323" ht="15" customHeight="1" s="32">
      <c r="A323" s="46" t="inlineStr">
        <is>
          <t>L-HB-0322</t>
        </is>
      </c>
      <c r="B323" s="46" t="inlineStr">
        <is>
          <t>R-HB-0322</t>
        </is>
      </c>
      <c r="C323" s="48" t="inlineStr">
        <is>
          <t>항공</t>
        </is>
      </c>
      <c r="D323" s="48" t="inlineStr">
        <is>
          <t>인천공항</t>
        </is>
      </c>
      <c r="E323" s="46" t="inlineStr">
        <is>
          <t>ICN</t>
        </is>
      </c>
      <c r="F323" s="48" t="inlineStr">
        <is>
          <t>토론토공항</t>
        </is>
      </c>
      <c r="G323" s="46" t="inlineStr">
        <is>
          <t>YYZ</t>
        </is>
      </c>
      <c r="H323" s="47" t="n">
        <v>45195</v>
      </c>
      <c r="I323" s="52" t="n">
        <v>45200</v>
      </c>
      <c r="J323" s="52" t="n">
        <v>45200</v>
      </c>
      <c r="K323" s="53" t="n">
        <v>135</v>
      </c>
    </row>
    <row r="324" ht="15" customHeight="1" s="32">
      <c r="A324" s="46" t="inlineStr">
        <is>
          <t>L-HB-0323</t>
        </is>
      </c>
      <c r="B324" s="46" t="inlineStr">
        <is>
          <t>R-HB-0323</t>
        </is>
      </c>
      <c r="C324" s="48" t="inlineStr">
        <is>
          <t>항공</t>
        </is>
      </c>
      <c r="D324" s="48" t="inlineStr">
        <is>
          <t>인천공항</t>
        </is>
      </c>
      <c r="E324" s="46" t="inlineStr">
        <is>
          <t>ICN</t>
        </is>
      </c>
      <c r="F324" s="48" t="inlineStr">
        <is>
          <t>토론토공항</t>
        </is>
      </c>
      <c r="G324" s="46" t="inlineStr">
        <is>
          <t>YYZ</t>
        </is>
      </c>
      <c r="H324" s="47" t="n">
        <v>45195</v>
      </c>
      <c r="I324" s="52" t="n">
        <v>45199</v>
      </c>
      <c r="J324" s="52" t="n">
        <v>45199</v>
      </c>
      <c r="K324" s="53" t="n">
        <v>135</v>
      </c>
    </row>
    <row r="325" ht="15" customHeight="1" s="32">
      <c r="A325" s="46" t="inlineStr">
        <is>
          <t>L-HB-0324</t>
        </is>
      </c>
      <c r="B325" s="46" t="inlineStr">
        <is>
          <t>R-HB-0324</t>
        </is>
      </c>
      <c r="C325" s="48" t="inlineStr">
        <is>
          <t>항공</t>
        </is>
      </c>
      <c r="D325" s="48" t="inlineStr">
        <is>
          <t>인천공항</t>
        </is>
      </c>
      <c r="E325" s="46" t="inlineStr">
        <is>
          <t>ICN</t>
        </is>
      </c>
      <c r="F325" s="48" t="inlineStr">
        <is>
          <t>로스앤젤레스공항</t>
        </is>
      </c>
      <c r="G325" s="46" t="inlineStr">
        <is>
          <t>LAX</t>
        </is>
      </c>
      <c r="H325" s="47" t="n">
        <v>45196</v>
      </c>
      <c r="I325" s="52" t="n">
        <v>45198</v>
      </c>
      <c r="J325" s="52" t="n">
        <v>45198</v>
      </c>
      <c r="K325" s="53" t="n">
        <v>135</v>
      </c>
    </row>
    <row r="326" ht="15" customHeight="1" s="32">
      <c r="A326" s="46" t="inlineStr">
        <is>
          <t>L-HB-0325</t>
        </is>
      </c>
      <c r="B326" s="46" t="inlineStr">
        <is>
          <t>R-HB-0325</t>
        </is>
      </c>
      <c r="C326" s="48" t="inlineStr">
        <is>
          <t>항공</t>
        </is>
      </c>
      <c r="D326" s="48" t="inlineStr">
        <is>
          <t>인천공항</t>
        </is>
      </c>
      <c r="E326" s="46" t="inlineStr">
        <is>
          <t>ICN</t>
        </is>
      </c>
      <c r="F326" s="48" t="inlineStr">
        <is>
          <t>시애틀공항</t>
        </is>
      </c>
      <c r="G326" s="46" t="inlineStr">
        <is>
          <t>SEA</t>
        </is>
      </c>
      <c r="H326" s="47" t="n">
        <v>45202</v>
      </c>
      <c r="I326" s="52" t="n">
        <v>45204</v>
      </c>
      <c r="J326" s="52" t="n">
        <v>45207</v>
      </c>
      <c r="K326" s="53" t="n">
        <v>165.33</v>
      </c>
    </row>
    <row r="327" ht="15" customHeight="1" s="32">
      <c r="A327" s="46" t="inlineStr">
        <is>
          <t>L-HB-0326</t>
        </is>
      </c>
      <c r="B327" s="46" t="inlineStr">
        <is>
          <t>R-HB-0326</t>
        </is>
      </c>
      <c r="C327" s="48" t="inlineStr">
        <is>
          <t>항공</t>
        </is>
      </c>
      <c r="D327" s="48" t="inlineStr">
        <is>
          <t>인천공항</t>
        </is>
      </c>
      <c r="E327" s="46" t="inlineStr">
        <is>
          <t>ICN</t>
        </is>
      </c>
      <c r="F327" s="48" t="inlineStr">
        <is>
          <t>델리공항</t>
        </is>
      </c>
      <c r="G327" s="46" t="inlineStr">
        <is>
          <t>DEL</t>
        </is>
      </c>
      <c r="H327" s="47" t="n">
        <v>45203</v>
      </c>
      <c r="I327" s="52" t="n">
        <v>45206</v>
      </c>
      <c r="J327" s="52" t="n">
        <v>45207</v>
      </c>
      <c r="K327" s="53" t="n">
        <v>135</v>
      </c>
    </row>
    <row r="328" ht="15" customHeight="1" s="32">
      <c r="A328" s="46" t="inlineStr">
        <is>
          <t>L-HB-0327</t>
        </is>
      </c>
      <c r="B328" s="46" t="inlineStr">
        <is>
          <t>R-HB-0327</t>
        </is>
      </c>
      <c r="C328" s="48" t="inlineStr">
        <is>
          <t>항공</t>
        </is>
      </c>
      <c r="D328" s="48" t="inlineStr">
        <is>
          <t>인천공항</t>
        </is>
      </c>
      <c r="E328" s="46" t="inlineStr">
        <is>
          <t>ICN</t>
        </is>
      </c>
      <c r="F328" s="48" t="inlineStr">
        <is>
          <t>충칭공항</t>
        </is>
      </c>
      <c r="G328" s="46" t="inlineStr">
        <is>
          <t>CKG</t>
        </is>
      </c>
      <c r="H328" s="47" t="n">
        <v>45203</v>
      </c>
      <c r="I328" s="52" t="n">
        <v>45206</v>
      </c>
      <c r="J328" s="52" t="n">
        <v>45206</v>
      </c>
      <c r="K328" s="53" t="n">
        <v>135</v>
      </c>
    </row>
    <row r="329" ht="15" customHeight="1" s="32">
      <c r="A329" s="46" t="inlineStr">
        <is>
          <t>L-HB-0328</t>
        </is>
      </c>
      <c r="B329" s="46" t="inlineStr">
        <is>
          <t>R-HB-0328</t>
        </is>
      </c>
      <c r="C329" s="48" t="inlineStr">
        <is>
          <t>항공</t>
        </is>
      </c>
      <c r="D329" s="48" t="inlineStr">
        <is>
          <t>인천공항</t>
        </is>
      </c>
      <c r="E329" s="46" t="inlineStr">
        <is>
          <t>ICN</t>
        </is>
      </c>
      <c r="F329" s="48" t="inlineStr">
        <is>
          <t>과달라하라공항</t>
        </is>
      </c>
      <c r="G329" s="46" t="inlineStr">
        <is>
          <t>GDL</t>
        </is>
      </c>
      <c r="H329" s="47" t="n">
        <v>45205</v>
      </c>
      <c r="I329" s="52" t="n">
        <v>45208</v>
      </c>
      <c r="J329" s="52" t="n">
        <v>45208</v>
      </c>
      <c r="K329" s="53" t="n">
        <v>135</v>
      </c>
    </row>
    <row r="330" ht="15" customHeight="1" s="32">
      <c r="A330" s="46" t="inlineStr">
        <is>
          <t>L-HB-0329</t>
        </is>
      </c>
      <c r="B330" s="46" t="inlineStr">
        <is>
          <t>R-HB-0329</t>
        </is>
      </c>
      <c r="C330" s="48" t="inlineStr">
        <is>
          <t>항공</t>
        </is>
      </c>
      <c r="D330" s="48" t="inlineStr">
        <is>
          <t>인천공항</t>
        </is>
      </c>
      <c r="E330" s="46" t="inlineStr">
        <is>
          <t>ICN</t>
        </is>
      </c>
      <c r="F330" s="48" t="inlineStr">
        <is>
          <t>시애틀공항</t>
        </is>
      </c>
      <c r="G330" s="46" t="inlineStr">
        <is>
          <t>SEA</t>
        </is>
      </c>
      <c r="H330" s="47" t="n">
        <v>45206</v>
      </c>
      <c r="I330" s="52" t="n">
        <v>45210</v>
      </c>
      <c r="J330" s="52" t="n">
        <v>45210</v>
      </c>
      <c r="K330" s="53" t="n">
        <v>135</v>
      </c>
    </row>
    <row r="331" ht="15" customHeight="1" s="32">
      <c r="A331" s="46" t="inlineStr">
        <is>
          <t>L-HB-0330</t>
        </is>
      </c>
      <c r="B331" s="46" t="inlineStr">
        <is>
          <t>R-HB-0330</t>
        </is>
      </c>
      <c r="C331" s="48" t="inlineStr">
        <is>
          <t>해상</t>
        </is>
      </c>
      <c r="D331" s="48" t="inlineStr">
        <is>
          <t>부산항</t>
        </is>
      </c>
      <c r="E331" s="46" t="inlineStr">
        <is>
          <t>KRPUS</t>
        </is>
      </c>
      <c r="F331" s="48" t="inlineStr">
        <is>
          <t>상하이항</t>
        </is>
      </c>
      <c r="G331" s="46" t="inlineStr">
        <is>
          <t>CNSHA</t>
        </is>
      </c>
      <c r="H331" s="47" t="n">
        <v>45206</v>
      </c>
      <c r="I331" s="52" t="n">
        <v>45211</v>
      </c>
      <c r="J331" s="52" t="n">
        <v>45211</v>
      </c>
      <c r="K331" s="53" t="n">
        <v>530</v>
      </c>
    </row>
    <row r="332" ht="15" customHeight="1" s="32">
      <c r="A332" s="46" t="inlineStr">
        <is>
          <t>L-HB-0331</t>
        </is>
      </c>
      <c r="B332" s="46" t="inlineStr">
        <is>
          <t>R-HB-0331</t>
        </is>
      </c>
      <c r="C332" s="48" t="inlineStr">
        <is>
          <t>항공</t>
        </is>
      </c>
      <c r="D332" s="48" t="inlineStr">
        <is>
          <t>인천공항</t>
        </is>
      </c>
      <c r="E332" s="46" t="inlineStr">
        <is>
          <t>ICN</t>
        </is>
      </c>
      <c r="F332" s="48" t="inlineStr">
        <is>
          <t>토론토공항</t>
        </is>
      </c>
      <c r="G332" s="46" t="inlineStr">
        <is>
          <t>YYZ</t>
        </is>
      </c>
      <c r="H332" s="47" t="n">
        <v>45207</v>
      </c>
      <c r="I332" s="52" t="n">
        <v>45210</v>
      </c>
      <c r="J332" s="52" t="n">
        <v>45210</v>
      </c>
      <c r="K332" s="53" t="n">
        <v>135</v>
      </c>
    </row>
    <row r="333" ht="15" customHeight="1" s="32">
      <c r="A333" s="46" t="inlineStr">
        <is>
          <t>L-HB-0332</t>
        </is>
      </c>
      <c r="B333" s="46" t="inlineStr">
        <is>
          <t>R-HB-0332</t>
        </is>
      </c>
      <c r="C333" s="48" t="inlineStr">
        <is>
          <t>항공</t>
        </is>
      </c>
      <c r="D333" s="48" t="inlineStr">
        <is>
          <t>인천공항</t>
        </is>
      </c>
      <c r="E333" s="46" t="inlineStr">
        <is>
          <t>ICN</t>
        </is>
      </c>
      <c r="F333" s="48" t="inlineStr">
        <is>
          <t>하노이공항</t>
        </is>
      </c>
      <c r="G333" s="46" t="inlineStr">
        <is>
          <t>HAN</t>
        </is>
      </c>
      <c r="H333" s="47" t="n">
        <v>45207</v>
      </c>
      <c r="I333" s="52" t="n">
        <v>45209</v>
      </c>
      <c r="J333" s="52" t="n">
        <v>45209</v>
      </c>
      <c r="K333" s="53" t="n">
        <v>215.64</v>
      </c>
    </row>
    <row r="334" ht="15" customHeight="1" s="32">
      <c r="A334" s="46" t="inlineStr">
        <is>
          <t>L-HB-0333</t>
        </is>
      </c>
      <c r="B334" s="46" t="inlineStr">
        <is>
          <t>R-HB-0333</t>
        </is>
      </c>
      <c r="C334" s="48" t="inlineStr">
        <is>
          <t>항공</t>
        </is>
      </c>
      <c r="D334" s="48" t="inlineStr">
        <is>
          <t>인천공항</t>
        </is>
      </c>
      <c r="E334" s="46" t="inlineStr">
        <is>
          <t>ICN</t>
        </is>
      </c>
      <c r="F334" s="48" t="inlineStr">
        <is>
          <t>충칭공항</t>
        </is>
      </c>
      <c r="G334" s="46" t="inlineStr">
        <is>
          <t>CKG</t>
        </is>
      </c>
      <c r="H334" s="47" t="n">
        <v>45207</v>
      </c>
      <c r="I334" s="52" t="n">
        <v>45209</v>
      </c>
      <c r="J334" s="52" t="n">
        <v>45209</v>
      </c>
      <c r="K334" s="53" t="n">
        <v>135</v>
      </c>
    </row>
    <row r="335" ht="15" customHeight="1" s="32">
      <c r="A335" s="46" t="inlineStr">
        <is>
          <t>L-HB-0334</t>
        </is>
      </c>
      <c r="B335" s="46" t="inlineStr">
        <is>
          <t>R-HB-0334</t>
        </is>
      </c>
      <c r="C335" s="48" t="inlineStr">
        <is>
          <t>항공</t>
        </is>
      </c>
      <c r="D335" s="48" t="inlineStr">
        <is>
          <t>인천공항</t>
        </is>
      </c>
      <c r="E335" s="46" t="inlineStr">
        <is>
          <t>ICN</t>
        </is>
      </c>
      <c r="F335" s="48" t="inlineStr">
        <is>
          <t>로스앤젤레스공항</t>
        </is>
      </c>
      <c r="G335" s="46" t="inlineStr">
        <is>
          <t>LAX</t>
        </is>
      </c>
      <c r="H335" s="47" t="n">
        <v>45208</v>
      </c>
      <c r="I335" s="52" t="n">
        <v>45210</v>
      </c>
      <c r="J335" s="52" t="n">
        <v>45210</v>
      </c>
      <c r="K335" s="53" t="n">
        <v>135</v>
      </c>
    </row>
    <row r="336" ht="15" customHeight="1" s="32">
      <c r="A336" s="46" t="inlineStr">
        <is>
          <t>L-HB-0335</t>
        </is>
      </c>
      <c r="B336" s="46" t="inlineStr">
        <is>
          <t>R-HB-0335</t>
        </is>
      </c>
      <c r="C336" s="48" t="inlineStr">
        <is>
          <t>항공</t>
        </is>
      </c>
      <c r="D336" s="48" t="inlineStr">
        <is>
          <t>인천공항</t>
        </is>
      </c>
      <c r="E336" s="46" t="inlineStr">
        <is>
          <t>ICN</t>
        </is>
      </c>
      <c r="F336" s="48" t="inlineStr">
        <is>
          <t>프랑크푸르트공항</t>
        </is>
      </c>
      <c r="G336" s="46" t="inlineStr">
        <is>
          <t>FRA</t>
        </is>
      </c>
      <c r="H336" s="47" t="n">
        <v>45208</v>
      </c>
      <c r="I336" s="52" t="n">
        <v>45213</v>
      </c>
      <c r="J336" s="52" t="n">
        <v>45213</v>
      </c>
      <c r="K336" s="53" t="n">
        <v>398.37</v>
      </c>
    </row>
    <row r="337" ht="15" customHeight="1" s="32">
      <c r="A337" s="46" t="inlineStr">
        <is>
          <t>L-HB-0336</t>
        </is>
      </c>
      <c r="B337" s="46" t="inlineStr">
        <is>
          <t>R-HB-0336</t>
        </is>
      </c>
      <c r="C337" s="48" t="inlineStr">
        <is>
          <t>항공</t>
        </is>
      </c>
      <c r="D337" s="48" t="inlineStr">
        <is>
          <t>인천공항</t>
        </is>
      </c>
      <c r="E337" s="46" t="inlineStr">
        <is>
          <t>ICN</t>
        </is>
      </c>
      <c r="F337" s="48" t="inlineStr">
        <is>
          <t>선전공항</t>
        </is>
      </c>
      <c r="G337" s="46" t="inlineStr">
        <is>
          <t>SZX</t>
        </is>
      </c>
      <c r="H337" s="47" t="n">
        <v>45209</v>
      </c>
      <c r="I337" s="52" t="n">
        <v>45212</v>
      </c>
      <c r="J337" s="52" t="n">
        <v>45212</v>
      </c>
      <c r="K337" s="53" t="n">
        <v>249.44</v>
      </c>
    </row>
    <row r="338" ht="15" customHeight="1" s="32">
      <c r="A338" s="46" t="inlineStr">
        <is>
          <t>L-HB-0337</t>
        </is>
      </c>
      <c r="B338" s="46" t="inlineStr">
        <is>
          <t>R-HB-0337</t>
        </is>
      </c>
      <c r="C338" s="48" t="inlineStr">
        <is>
          <t>항공</t>
        </is>
      </c>
      <c r="D338" s="48" t="inlineStr">
        <is>
          <t>인천공항</t>
        </is>
      </c>
      <c r="E338" s="46" t="inlineStr">
        <is>
          <t>ICN</t>
        </is>
      </c>
      <c r="F338" s="48" t="inlineStr">
        <is>
          <t>델리공항</t>
        </is>
      </c>
      <c r="G338" s="46" t="inlineStr">
        <is>
          <t>DEL</t>
        </is>
      </c>
      <c r="H338" s="47" t="n">
        <v>45211</v>
      </c>
      <c r="I338" s="52" t="n">
        <v>45215</v>
      </c>
      <c r="J338" s="52" t="n">
        <v>45214</v>
      </c>
      <c r="K338" s="53" t="n">
        <v>199.33</v>
      </c>
    </row>
    <row r="339" ht="15" customHeight="1" s="32">
      <c r="A339" s="46" t="inlineStr">
        <is>
          <t>L-HB-0338</t>
        </is>
      </c>
      <c r="B339" s="46" t="inlineStr">
        <is>
          <t>R-HB-0338</t>
        </is>
      </c>
      <c r="C339" s="48" t="inlineStr">
        <is>
          <t>항공</t>
        </is>
      </c>
      <c r="D339" s="48" t="inlineStr">
        <is>
          <t>인천공항</t>
        </is>
      </c>
      <c r="E339" s="46" t="inlineStr">
        <is>
          <t>ICN</t>
        </is>
      </c>
      <c r="F339" s="48" t="inlineStr">
        <is>
          <t>충칭공항</t>
        </is>
      </c>
      <c r="G339" s="46" t="inlineStr">
        <is>
          <t>CKG</t>
        </is>
      </c>
      <c r="H339" s="47" t="n">
        <v>45212</v>
      </c>
      <c r="I339" s="52" t="n">
        <v>45213</v>
      </c>
      <c r="J339" s="52" t="n">
        <v>45213</v>
      </c>
      <c r="K339" s="53" t="n">
        <v>191.18</v>
      </c>
    </row>
    <row r="340" ht="15" customHeight="1" s="32">
      <c r="A340" s="46" t="inlineStr">
        <is>
          <t>L-HB-0339</t>
        </is>
      </c>
      <c r="B340" s="46" t="inlineStr">
        <is>
          <t>R-HB-0339</t>
        </is>
      </c>
      <c r="C340" s="48" t="inlineStr">
        <is>
          <t>항공</t>
        </is>
      </c>
      <c r="D340" s="48" t="inlineStr">
        <is>
          <t>인천공항</t>
        </is>
      </c>
      <c r="E340" s="46" t="inlineStr">
        <is>
          <t>ICN</t>
        </is>
      </c>
      <c r="F340" s="48" t="inlineStr">
        <is>
          <t>로스앤젤레스공항</t>
        </is>
      </c>
      <c r="G340" s="46" t="inlineStr">
        <is>
          <t>LAX</t>
        </is>
      </c>
      <c r="H340" s="47" t="n">
        <v>45214</v>
      </c>
      <c r="I340" s="52" t="n">
        <v>45216</v>
      </c>
      <c r="J340" s="52" t="n">
        <v>45216</v>
      </c>
      <c r="K340" s="53" t="n">
        <v>250.2</v>
      </c>
    </row>
    <row r="341" ht="15" customHeight="1" s="32">
      <c r="A341" s="46" t="inlineStr">
        <is>
          <t>L-HB-0340</t>
        </is>
      </c>
      <c r="B341" s="46" t="inlineStr">
        <is>
          <t>R-HB-0340</t>
        </is>
      </c>
      <c r="C341" s="48" t="inlineStr">
        <is>
          <t>항공</t>
        </is>
      </c>
      <c r="D341" s="48" t="inlineStr">
        <is>
          <t>인천공항</t>
        </is>
      </c>
      <c r="E341" s="46" t="inlineStr">
        <is>
          <t>ICN</t>
        </is>
      </c>
      <c r="F341" s="48" t="inlineStr">
        <is>
          <t>프랑크푸르트공항</t>
        </is>
      </c>
      <c r="G341" s="46" t="inlineStr">
        <is>
          <t>FRA</t>
        </is>
      </c>
      <c r="H341" s="47" t="n">
        <v>45214</v>
      </c>
      <c r="I341" s="52" t="n">
        <v>45218</v>
      </c>
      <c r="J341" s="52" t="n">
        <v>45218</v>
      </c>
      <c r="K341" s="53" t="n">
        <v>137.44</v>
      </c>
    </row>
    <row r="342" ht="15" customHeight="1" s="32">
      <c r="A342" s="46" t="inlineStr">
        <is>
          <t>L-HB-0341</t>
        </is>
      </c>
      <c r="B342" s="46" t="inlineStr">
        <is>
          <t>R-HB-0341</t>
        </is>
      </c>
      <c r="C342" s="48" t="inlineStr">
        <is>
          <t>항공</t>
        </is>
      </c>
      <c r="D342" s="48" t="inlineStr">
        <is>
          <t>인천공항</t>
        </is>
      </c>
      <c r="E342" s="46" t="inlineStr">
        <is>
          <t>ICN</t>
        </is>
      </c>
      <c r="F342" s="48" t="inlineStr">
        <is>
          <t>델리공항</t>
        </is>
      </c>
      <c r="G342" s="46" t="inlineStr">
        <is>
          <t>DEL</t>
        </is>
      </c>
      <c r="H342" s="47" t="n">
        <v>45214</v>
      </c>
      <c r="I342" s="52" t="n">
        <v>45216</v>
      </c>
      <c r="J342" s="52" t="n">
        <v>45216</v>
      </c>
      <c r="K342" s="53" t="n">
        <v>135</v>
      </c>
    </row>
    <row r="343" ht="15" customHeight="1" s="32">
      <c r="A343" s="46" t="inlineStr">
        <is>
          <t>L-HB-0342</t>
        </is>
      </c>
      <c r="B343" s="46" t="inlineStr">
        <is>
          <t>R-HB-0342</t>
        </is>
      </c>
      <c r="C343" s="48" t="inlineStr">
        <is>
          <t>해상</t>
        </is>
      </c>
      <c r="D343" s="48" t="inlineStr">
        <is>
          <t>부산항</t>
        </is>
      </c>
      <c r="E343" s="46" t="inlineStr">
        <is>
          <t>KRPUS</t>
        </is>
      </c>
      <c r="F343" s="48" t="inlineStr">
        <is>
          <t>서커우항</t>
        </is>
      </c>
      <c r="G343" s="46" t="inlineStr">
        <is>
          <t>CNSHK</t>
        </is>
      </c>
      <c r="H343" s="47" t="n">
        <v>45215</v>
      </c>
      <c r="I343" s="52" t="n">
        <v>45221</v>
      </c>
      <c r="J343" s="52" t="n">
        <v>45223</v>
      </c>
      <c r="K343" s="53" t="n">
        <v>530</v>
      </c>
    </row>
    <row r="344" ht="15" customHeight="1" s="32">
      <c r="A344" s="46" t="inlineStr">
        <is>
          <t>L-HB-0343</t>
        </is>
      </c>
      <c r="B344" s="46" t="inlineStr">
        <is>
          <t>R-HB-0343</t>
        </is>
      </c>
      <c r="C344" s="48" t="inlineStr">
        <is>
          <t>항공</t>
        </is>
      </c>
      <c r="D344" s="48" t="inlineStr">
        <is>
          <t>인천공항</t>
        </is>
      </c>
      <c r="E344" s="46" t="inlineStr">
        <is>
          <t>ICN</t>
        </is>
      </c>
      <c r="F344" s="48" t="inlineStr">
        <is>
          <t>과달라하라공항</t>
        </is>
      </c>
      <c r="G344" s="46" t="inlineStr">
        <is>
          <t>GDL</t>
        </is>
      </c>
      <c r="H344" s="47" t="n">
        <v>45216</v>
      </c>
      <c r="I344" s="52" t="n">
        <v>45220</v>
      </c>
      <c r="J344" s="52" t="n">
        <v>45221</v>
      </c>
      <c r="K344" s="53" t="n">
        <v>135</v>
      </c>
    </row>
    <row r="345" ht="15" customHeight="1" s="32">
      <c r="A345" s="46" t="inlineStr">
        <is>
          <t>L-HB-0344</t>
        </is>
      </c>
      <c r="B345" s="46" t="inlineStr">
        <is>
          <t>R-HB-0344</t>
        </is>
      </c>
      <c r="C345" s="48" t="inlineStr">
        <is>
          <t>항공</t>
        </is>
      </c>
      <c r="D345" s="48" t="inlineStr">
        <is>
          <t>인천공항</t>
        </is>
      </c>
      <c r="E345" s="46" t="inlineStr">
        <is>
          <t>ICN</t>
        </is>
      </c>
      <c r="F345" s="48" t="inlineStr">
        <is>
          <t>델리공항</t>
        </is>
      </c>
      <c r="G345" s="46" t="inlineStr">
        <is>
          <t>DEL</t>
        </is>
      </c>
      <c r="H345" s="47" t="n">
        <v>45216</v>
      </c>
      <c r="I345" s="52" t="n">
        <v>45219</v>
      </c>
      <c r="J345" s="52" t="n">
        <v>45219</v>
      </c>
      <c r="K345" s="53" t="n">
        <v>135</v>
      </c>
    </row>
    <row r="346" ht="15" customHeight="1" s="32">
      <c r="A346" s="46" t="inlineStr">
        <is>
          <t>L-HB-0345</t>
        </is>
      </c>
      <c r="B346" s="46" t="inlineStr">
        <is>
          <t>R-HB-0345</t>
        </is>
      </c>
      <c r="C346" s="48" t="inlineStr">
        <is>
          <t>항공</t>
        </is>
      </c>
      <c r="D346" s="48" t="inlineStr">
        <is>
          <t>인천공항</t>
        </is>
      </c>
      <c r="E346" s="46" t="inlineStr">
        <is>
          <t>ICN</t>
        </is>
      </c>
      <c r="F346" s="48" t="inlineStr">
        <is>
          <t>로스앤젤레스공항</t>
        </is>
      </c>
      <c r="G346" s="46" t="inlineStr">
        <is>
          <t>LAX</t>
        </is>
      </c>
      <c r="H346" s="47" t="n">
        <v>45217</v>
      </c>
      <c r="I346" s="52" t="n">
        <v>45219</v>
      </c>
      <c r="J346" s="52" t="n">
        <v>45218</v>
      </c>
      <c r="K346" s="53" t="n">
        <v>408.51</v>
      </c>
    </row>
    <row r="347" ht="15" customHeight="1" s="32">
      <c r="A347" s="46" t="inlineStr">
        <is>
          <t>L-HB-0346</t>
        </is>
      </c>
      <c r="B347" s="46" t="inlineStr">
        <is>
          <t>R-HB-0346</t>
        </is>
      </c>
      <c r="C347" s="48" t="inlineStr">
        <is>
          <t>항공</t>
        </is>
      </c>
      <c r="D347" s="48" t="inlineStr">
        <is>
          <t>인천공항</t>
        </is>
      </c>
      <c r="E347" s="46" t="inlineStr">
        <is>
          <t>ICN</t>
        </is>
      </c>
      <c r="F347" s="48" t="inlineStr">
        <is>
          <t>시애틀공항</t>
        </is>
      </c>
      <c r="G347" s="46" t="inlineStr">
        <is>
          <t>SEA</t>
        </is>
      </c>
      <c r="H347" s="47" t="n">
        <v>45217</v>
      </c>
      <c r="I347" s="52" t="n">
        <v>45220</v>
      </c>
      <c r="J347" s="52" t="n">
        <v>45219</v>
      </c>
      <c r="K347" s="53" t="n">
        <v>268.93</v>
      </c>
    </row>
    <row r="348" ht="15" customHeight="1" s="32">
      <c r="A348" s="46" t="inlineStr">
        <is>
          <t>L-HB-0347</t>
        </is>
      </c>
      <c r="B348" s="46" t="inlineStr">
        <is>
          <t>R-HB-0347</t>
        </is>
      </c>
      <c r="C348" s="48" t="inlineStr">
        <is>
          <t>항공</t>
        </is>
      </c>
      <c r="D348" s="48" t="inlineStr">
        <is>
          <t>인천공항</t>
        </is>
      </c>
      <c r="E348" s="46" t="inlineStr">
        <is>
          <t>ICN</t>
        </is>
      </c>
      <c r="F348" s="48" t="inlineStr">
        <is>
          <t>과달라하라공항</t>
        </is>
      </c>
      <c r="G348" s="46" t="inlineStr">
        <is>
          <t>GDL</t>
        </is>
      </c>
      <c r="H348" s="47" t="n">
        <v>45217</v>
      </c>
      <c r="I348" s="52" t="n">
        <v>45221</v>
      </c>
      <c r="J348" s="52" t="n">
        <v>45221</v>
      </c>
      <c r="K348" s="53" t="n">
        <v>135</v>
      </c>
    </row>
    <row r="349" ht="15" customHeight="1" s="32">
      <c r="A349" s="46" t="inlineStr">
        <is>
          <t>L-HB-0348</t>
        </is>
      </c>
      <c r="B349" s="46" t="inlineStr">
        <is>
          <t>R-HB-0348</t>
        </is>
      </c>
      <c r="C349" s="48" t="inlineStr">
        <is>
          <t>항공</t>
        </is>
      </c>
      <c r="D349" s="48" t="inlineStr">
        <is>
          <t>인천공항</t>
        </is>
      </c>
      <c r="E349" s="46" t="inlineStr">
        <is>
          <t>ICN</t>
        </is>
      </c>
      <c r="F349" s="48" t="inlineStr">
        <is>
          <t>토론토공항</t>
        </is>
      </c>
      <c r="G349" s="46" t="inlineStr">
        <is>
          <t>YYZ</t>
        </is>
      </c>
      <c r="H349" s="47" t="n">
        <v>45218</v>
      </c>
      <c r="I349" s="52" t="n">
        <v>45222</v>
      </c>
      <c r="J349" s="52" t="n">
        <v>45222</v>
      </c>
      <c r="K349" s="53" t="n">
        <v>135</v>
      </c>
    </row>
    <row r="350" ht="15" customHeight="1" s="32">
      <c r="A350" s="46" t="inlineStr">
        <is>
          <t>L-HB-0349</t>
        </is>
      </c>
      <c r="B350" s="46" t="inlineStr">
        <is>
          <t>R-HB-0349</t>
        </is>
      </c>
      <c r="C350" s="48" t="inlineStr">
        <is>
          <t>항공</t>
        </is>
      </c>
      <c r="D350" s="48" t="inlineStr">
        <is>
          <t>인천공항</t>
        </is>
      </c>
      <c r="E350" s="46" t="inlineStr">
        <is>
          <t>ICN</t>
        </is>
      </c>
      <c r="F350" s="48" t="inlineStr">
        <is>
          <t>토론토공항</t>
        </is>
      </c>
      <c r="G350" s="46" t="inlineStr">
        <is>
          <t>YYZ</t>
        </is>
      </c>
      <c r="H350" s="47" t="n">
        <v>45219</v>
      </c>
      <c r="I350" s="52" t="n">
        <v>45224</v>
      </c>
      <c r="J350" s="52" t="n">
        <v>45225</v>
      </c>
      <c r="K350" s="53" t="n">
        <v>135</v>
      </c>
    </row>
    <row r="351" ht="15" customHeight="1" s="32">
      <c r="A351" s="46" t="inlineStr">
        <is>
          <t>L-HB-0350</t>
        </is>
      </c>
      <c r="B351" s="46" t="inlineStr">
        <is>
          <t>R-HB-0350</t>
        </is>
      </c>
      <c r="C351" s="48" t="inlineStr">
        <is>
          <t>항공</t>
        </is>
      </c>
      <c r="D351" s="48" t="inlineStr">
        <is>
          <t>인천공항</t>
        </is>
      </c>
      <c r="E351" s="46" t="inlineStr">
        <is>
          <t>ICN</t>
        </is>
      </c>
      <c r="F351" s="48" t="inlineStr">
        <is>
          <t>시애틀공항</t>
        </is>
      </c>
      <c r="G351" s="46" t="inlineStr">
        <is>
          <t>SEA</t>
        </is>
      </c>
      <c r="H351" s="47" t="n">
        <v>45220</v>
      </c>
      <c r="I351" s="52" t="n">
        <v>45223</v>
      </c>
      <c r="J351" s="52" t="n">
        <v>45223</v>
      </c>
      <c r="K351" s="53" t="n">
        <v>135</v>
      </c>
    </row>
    <row r="352" ht="15" customHeight="1" s="32">
      <c r="A352" s="46" t="inlineStr">
        <is>
          <t>L-HB-0351</t>
        </is>
      </c>
      <c r="B352" s="46" t="inlineStr">
        <is>
          <t>R-HB-0351</t>
        </is>
      </c>
      <c r="C352" s="48" t="inlineStr">
        <is>
          <t>항공</t>
        </is>
      </c>
      <c r="D352" s="48" t="inlineStr">
        <is>
          <t>인천공항</t>
        </is>
      </c>
      <c r="E352" s="46" t="inlineStr">
        <is>
          <t>ICN</t>
        </is>
      </c>
      <c r="F352" s="48" t="inlineStr">
        <is>
          <t>선전공항</t>
        </is>
      </c>
      <c r="G352" s="46" t="inlineStr">
        <is>
          <t>SZX</t>
        </is>
      </c>
      <c r="H352" s="47" t="n">
        <v>45220</v>
      </c>
      <c r="I352" s="52" t="n">
        <v>45222</v>
      </c>
      <c r="J352" s="52" t="n">
        <v>45222</v>
      </c>
      <c r="K352" s="53" t="n">
        <v>135</v>
      </c>
    </row>
    <row r="353" ht="15" customHeight="1" s="32">
      <c r="A353" s="46" t="inlineStr">
        <is>
          <t>L-HB-0352</t>
        </is>
      </c>
      <c r="B353" s="46" t="inlineStr">
        <is>
          <t>R-HB-0352</t>
        </is>
      </c>
      <c r="C353" s="48" t="inlineStr">
        <is>
          <t>항공</t>
        </is>
      </c>
      <c r="D353" s="48" t="inlineStr">
        <is>
          <t>인천공항</t>
        </is>
      </c>
      <c r="E353" s="46" t="inlineStr">
        <is>
          <t>ICN</t>
        </is>
      </c>
      <c r="F353" s="48" t="inlineStr">
        <is>
          <t>프랑크푸르트공항</t>
        </is>
      </c>
      <c r="G353" s="46" t="inlineStr">
        <is>
          <t>FRA</t>
        </is>
      </c>
      <c r="H353" s="47" t="n">
        <v>45221</v>
      </c>
      <c r="I353" s="52" t="n">
        <v>45226</v>
      </c>
      <c r="J353" s="52" t="n">
        <v>45225</v>
      </c>
      <c r="K353" s="53" t="n">
        <v>240.04</v>
      </c>
    </row>
    <row r="354" ht="15" customHeight="1" s="32">
      <c r="A354" s="46" t="inlineStr">
        <is>
          <t>L-HB-0353</t>
        </is>
      </c>
      <c r="B354" s="46" t="inlineStr">
        <is>
          <t>R-HB-0353</t>
        </is>
      </c>
      <c r="C354" s="48" t="inlineStr">
        <is>
          <t>해상</t>
        </is>
      </c>
      <c r="D354" s="48" t="inlineStr">
        <is>
          <t>부산항</t>
        </is>
      </c>
      <c r="E354" s="46" t="inlineStr">
        <is>
          <t>KRPUS</t>
        </is>
      </c>
      <c r="F354" s="48" t="inlineStr">
        <is>
          <t>하이퐁항</t>
        </is>
      </c>
      <c r="G354" s="46" t="inlineStr">
        <is>
          <t>VNHPH</t>
        </is>
      </c>
      <c r="H354" s="47" t="n">
        <v>45221</v>
      </c>
      <c r="I354" s="52" t="n">
        <v>45232</v>
      </c>
      <c r="J354" s="52" t="n">
        <v>45232</v>
      </c>
      <c r="K354" s="53" t="n">
        <v>530</v>
      </c>
    </row>
    <row r="355" ht="15" customHeight="1" s="32">
      <c r="A355" s="46" t="inlineStr">
        <is>
          <t>L-HB-0354</t>
        </is>
      </c>
      <c r="B355" s="46" t="inlineStr">
        <is>
          <t>R-HB-0354</t>
        </is>
      </c>
      <c r="C355" s="48" t="inlineStr">
        <is>
          <t>항공</t>
        </is>
      </c>
      <c r="D355" s="48" t="inlineStr">
        <is>
          <t>인천공항</t>
        </is>
      </c>
      <c r="E355" s="46" t="inlineStr">
        <is>
          <t>ICN</t>
        </is>
      </c>
      <c r="F355" s="48" t="inlineStr">
        <is>
          <t>하노이공항</t>
        </is>
      </c>
      <c r="G355" s="46" t="inlineStr">
        <is>
          <t>HAN</t>
        </is>
      </c>
      <c r="H355" s="47" t="n">
        <v>45222</v>
      </c>
      <c r="I355" s="52" t="n">
        <v>45223</v>
      </c>
      <c r="J355" s="52" t="n">
        <v>45223</v>
      </c>
      <c r="K355" s="53" t="n">
        <v>135</v>
      </c>
    </row>
    <row r="356" ht="15" customHeight="1" s="32">
      <c r="A356" s="46" t="inlineStr">
        <is>
          <t>L-HB-0355</t>
        </is>
      </c>
      <c r="B356" s="46" t="inlineStr">
        <is>
          <t>R-HB-0355</t>
        </is>
      </c>
      <c r="C356" s="48" t="inlineStr">
        <is>
          <t>항공</t>
        </is>
      </c>
      <c r="D356" s="48" t="inlineStr">
        <is>
          <t>인천공항</t>
        </is>
      </c>
      <c r="E356" s="46" t="inlineStr">
        <is>
          <t>ICN</t>
        </is>
      </c>
      <c r="F356" s="48" t="inlineStr">
        <is>
          <t>로스앤젤레스공항</t>
        </is>
      </c>
      <c r="G356" s="46" t="inlineStr">
        <is>
          <t>LAX</t>
        </is>
      </c>
      <c r="H356" s="47" t="n">
        <v>45223</v>
      </c>
      <c r="I356" s="52" t="n">
        <v>45225</v>
      </c>
      <c r="J356" s="52" t="n">
        <v>45225</v>
      </c>
      <c r="K356" s="53" t="n">
        <v>135.94</v>
      </c>
    </row>
    <row r="357" ht="15" customHeight="1" s="32">
      <c r="A357" s="46" t="inlineStr">
        <is>
          <t>L-HB-0356</t>
        </is>
      </c>
      <c r="B357" s="46" t="inlineStr">
        <is>
          <t>R-HB-0356</t>
        </is>
      </c>
      <c r="C357" s="48" t="inlineStr">
        <is>
          <t>항공</t>
        </is>
      </c>
      <c r="D357" s="48" t="inlineStr">
        <is>
          <t>인천공항</t>
        </is>
      </c>
      <c r="E357" s="46" t="inlineStr">
        <is>
          <t>ICN</t>
        </is>
      </c>
      <c r="F357" s="48" t="inlineStr">
        <is>
          <t>과달라하라공항</t>
        </is>
      </c>
      <c r="G357" s="46" t="inlineStr">
        <is>
          <t>GDL</t>
        </is>
      </c>
      <c r="H357" s="47" t="n">
        <v>45223</v>
      </c>
      <c r="I357" s="52" t="n">
        <v>45226</v>
      </c>
      <c r="J357" s="52" t="n">
        <v>45226</v>
      </c>
      <c r="K357" s="53" t="n">
        <v>135</v>
      </c>
    </row>
    <row r="358" ht="15" customHeight="1" s="32">
      <c r="A358" s="46" t="inlineStr">
        <is>
          <t>L-HB-0357</t>
        </is>
      </c>
      <c r="B358" s="46" t="inlineStr">
        <is>
          <t>R-HB-0357</t>
        </is>
      </c>
      <c r="C358" s="48" t="inlineStr">
        <is>
          <t>항공</t>
        </is>
      </c>
      <c r="D358" s="48" t="inlineStr">
        <is>
          <t>인천공항</t>
        </is>
      </c>
      <c r="E358" s="46" t="inlineStr">
        <is>
          <t>ICN</t>
        </is>
      </c>
      <c r="F358" s="48" t="inlineStr">
        <is>
          <t>하노이공항</t>
        </is>
      </c>
      <c r="G358" s="46" t="inlineStr">
        <is>
          <t>HAN</t>
        </is>
      </c>
      <c r="H358" s="47" t="n">
        <v>45223</v>
      </c>
      <c r="I358" s="52" t="n">
        <v>45225</v>
      </c>
      <c r="J358" s="52" t="n">
        <v>45225</v>
      </c>
      <c r="K358" s="53" t="n">
        <v>135</v>
      </c>
    </row>
    <row r="359" ht="15" customHeight="1" s="32">
      <c r="A359" s="46" t="inlineStr">
        <is>
          <t>L-HB-0358</t>
        </is>
      </c>
      <c r="B359" s="46" t="inlineStr">
        <is>
          <t>R-HB-0358</t>
        </is>
      </c>
      <c r="C359" s="48" t="inlineStr">
        <is>
          <t>항공</t>
        </is>
      </c>
      <c r="D359" s="48" t="inlineStr">
        <is>
          <t>인천공항</t>
        </is>
      </c>
      <c r="E359" s="46" t="inlineStr">
        <is>
          <t>ICN</t>
        </is>
      </c>
      <c r="F359" s="48" t="inlineStr">
        <is>
          <t>프랑크푸르트공항</t>
        </is>
      </c>
      <c r="G359" s="46" t="inlineStr">
        <is>
          <t>FRA</t>
        </is>
      </c>
      <c r="H359" s="47" t="n">
        <v>45224</v>
      </c>
      <c r="I359" s="52" t="n">
        <v>45228</v>
      </c>
      <c r="J359" s="52" t="n">
        <v>45228</v>
      </c>
      <c r="K359" s="53" t="n">
        <v>135</v>
      </c>
    </row>
    <row r="360" ht="15" customHeight="1" s="32">
      <c r="A360" s="46" t="inlineStr">
        <is>
          <t>L-HB-0359</t>
        </is>
      </c>
      <c r="B360" s="46" t="inlineStr">
        <is>
          <t>R-HB-0359</t>
        </is>
      </c>
      <c r="C360" s="48" t="inlineStr">
        <is>
          <t>항공</t>
        </is>
      </c>
      <c r="D360" s="48" t="inlineStr">
        <is>
          <t>인천공항</t>
        </is>
      </c>
      <c r="E360" s="46" t="inlineStr">
        <is>
          <t>ICN</t>
        </is>
      </c>
      <c r="F360" s="48" t="inlineStr">
        <is>
          <t>선전공항</t>
        </is>
      </c>
      <c r="G360" s="46" t="inlineStr">
        <is>
          <t>SZX</t>
        </is>
      </c>
      <c r="H360" s="47" t="n">
        <v>45224</v>
      </c>
      <c r="I360" s="52" t="n">
        <v>45226</v>
      </c>
      <c r="J360" s="52" t="n">
        <v>45226</v>
      </c>
      <c r="K360" s="53" t="n">
        <v>135</v>
      </c>
    </row>
    <row r="361" ht="15" customHeight="1" s="32">
      <c r="A361" s="46" t="inlineStr">
        <is>
          <t>L-HB-0360</t>
        </is>
      </c>
      <c r="B361" s="46" t="inlineStr">
        <is>
          <t>R-HB-0360</t>
        </is>
      </c>
      <c r="C361" s="48" t="inlineStr">
        <is>
          <t>항공</t>
        </is>
      </c>
      <c r="D361" s="48" t="inlineStr">
        <is>
          <t>인천공항</t>
        </is>
      </c>
      <c r="E361" s="46" t="inlineStr">
        <is>
          <t>ICN</t>
        </is>
      </c>
      <c r="F361" s="48" t="inlineStr">
        <is>
          <t>토론토공항</t>
        </is>
      </c>
      <c r="G361" s="46" t="inlineStr">
        <is>
          <t>YYZ</t>
        </is>
      </c>
      <c r="H361" s="47" t="n">
        <v>45226</v>
      </c>
      <c r="I361" s="52" t="n">
        <v>45230</v>
      </c>
      <c r="J361" s="52" t="n">
        <v>45230</v>
      </c>
      <c r="K361" s="53" t="n">
        <v>135</v>
      </c>
    </row>
    <row r="362" ht="15" customHeight="1" s="32">
      <c r="A362" s="46" t="inlineStr">
        <is>
          <t>L-HB-0361</t>
        </is>
      </c>
      <c r="B362" s="46" t="inlineStr">
        <is>
          <t>R-HB-0361</t>
        </is>
      </c>
      <c r="C362" s="48" t="inlineStr">
        <is>
          <t>항공</t>
        </is>
      </c>
      <c r="D362" s="48" t="inlineStr">
        <is>
          <t>인천공항</t>
        </is>
      </c>
      <c r="E362" s="46" t="inlineStr">
        <is>
          <t>ICN</t>
        </is>
      </c>
      <c r="F362" s="48" t="inlineStr">
        <is>
          <t>과달라하라공항</t>
        </is>
      </c>
      <c r="G362" s="46" t="inlineStr">
        <is>
          <t>GDL</t>
        </is>
      </c>
      <c r="H362" s="47" t="n">
        <v>45233</v>
      </c>
      <c r="I362" s="52" t="n">
        <v>45237</v>
      </c>
      <c r="J362" s="52" t="n">
        <v>45237</v>
      </c>
      <c r="K362" s="53" t="n">
        <v>135</v>
      </c>
    </row>
    <row r="363" ht="15" customHeight="1" s="32">
      <c r="A363" s="46" t="inlineStr">
        <is>
          <t>L-HB-0362</t>
        </is>
      </c>
      <c r="B363" s="46" t="inlineStr">
        <is>
          <t>R-HB-0362</t>
        </is>
      </c>
      <c r="C363" s="48" t="inlineStr">
        <is>
          <t>항공</t>
        </is>
      </c>
      <c r="D363" s="48" t="inlineStr">
        <is>
          <t>인천공항</t>
        </is>
      </c>
      <c r="E363" s="46" t="inlineStr">
        <is>
          <t>ICN</t>
        </is>
      </c>
      <c r="F363" s="48" t="inlineStr">
        <is>
          <t>델리공항</t>
        </is>
      </c>
      <c r="G363" s="46" t="inlineStr">
        <is>
          <t>DEL</t>
        </is>
      </c>
      <c r="H363" s="47" t="n">
        <v>45235</v>
      </c>
      <c r="I363" s="52" t="n">
        <v>45237</v>
      </c>
      <c r="J363" s="52" t="n">
        <v>45237</v>
      </c>
      <c r="K363" s="53" t="n">
        <v>135</v>
      </c>
    </row>
    <row r="364" ht="15" customHeight="1" s="32">
      <c r="A364" s="46" t="inlineStr">
        <is>
          <t>L-HB-0363</t>
        </is>
      </c>
      <c r="B364" s="46" t="inlineStr">
        <is>
          <t>R-HB-0363</t>
        </is>
      </c>
      <c r="C364" s="48" t="inlineStr">
        <is>
          <t>항공</t>
        </is>
      </c>
      <c r="D364" s="48" t="inlineStr">
        <is>
          <t>인천공항</t>
        </is>
      </c>
      <c r="E364" s="46" t="inlineStr">
        <is>
          <t>ICN</t>
        </is>
      </c>
      <c r="F364" s="48" t="inlineStr">
        <is>
          <t>과달라하라공항</t>
        </is>
      </c>
      <c r="G364" s="46" t="inlineStr">
        <is>
          <t>GDL</t>
        </is>
      </c>
      <c r="H364" s="47" t="n">
        <v>45238</v>
      </c>
      <c r="I364" s="52" t="n">
        <v>45241</v>
      </c>
      <c r="J364" s="52" t="n">
        <v>45241</v>
      </c>
      <c r="K364" s="53" t="n">
        <v>135</v>
      </c>
    </row>
    <row r="365" ht="15" customHeight="1" s="32">
      <c r="A365" s="46" t="inlineStr">
        <is>
          <t>L-HB-0364</t>
        </is>
      </c>
      <c r="B365" s="46" t="inlineStr">
        <is>
          <t>R-HB-0364</t>
        </is>
      </c>
      <c r="C365" s="48" t="inlineStr">
        <is>
          <t>항공</t>
        </is>
      </c>
      <c r="D365" s="48" t="inlineStr">
        <is>
          <t>인천공항</t>
        </is>
      </c>
      <c r="E365" s="46" t="inlineStr">
        <is>
          <t>ICN</t>
        </is>
      </c>
      <c r="F365" s="48" t="inlineStr">
        <is>
          <t>과달라하라공항</t>
        </is>
      </c>
      <c r="G365" s="46" t="inlineStr">
        <is>
          <t>GDL</t>
        </is>
      </c>
      <c r="H365" s="47" t="n">
        <v>45238</v>
      </c>
      <c r="I365" s="52" t="n">
        <v>45243</v>
      </c>
      <c r="J365" s="52" t="n">
        <v>45243</v>
      </c>
      <c r="K365" s="53" t="n">
        <v>135</v>
      </c>
    </row>
    <row r="366" ht="15" customHeight="1" s="32">
      <c r="A366" s="46" t="inlineStr">
        <is>
          <t>L-HB-0365</t>
        </is>
      </c>
      <c r="B366" s="46" t="inlineStr">
        <is>
          <t>R-HB-0365</t>
        </is>
      </c>
      <c r="C366" s="48" t="inlineStr">
        <is>
          <t>항공</t>
        </is>
      </c>
      <c r="D366" s="48" t="inlineStr">
        <is>
          <t>인천공항</t>
        </is>
      </c>
      <c r="E366" s="46" t="inlineStr">
        <is>
          <t>ICN</t>
        </is>
      </c>
      <c r="F366" s="48" t="inlineStr">
        <is>
          <t>하노이공항</t>
        </is>
      </c>
      <c r="G366" s="46" t="inlineStr">
        <is>
          <t>HAN</t>
        </is>
      </c>
      <c r="H366" s="47" t="n">
        <v>45238</v>
      </c>
      <c r="I366" s="52" t="n">
        <v>45239</v>
      </c>
      <c r="J366" s="52" t="n">
        <v>45238</v>
      </c>
      <c r="K366" s="53" t="n">
        <v>135</v>
      </c>
    </row>
    <row r="367" ht="15" customHeight="1" s="32">
      <c r="A367" s="46" t="inlineStr">
        <is>
          <t>L-HB-0366</t>
        </is>
      </c>
      <c r="B367" s="46" t="inlineStr">
        <is>
          <t>R-HB-0366</t>
        </is>
      </c>
      <c r="C367" s="48" t="inlineStr">
        <is>
          <t>항공</t>
        </is>
      </c>
      <c r="D367" s="48" t="inlineStr">
        <is>
          <t>인천공항</t>
        </is>
      </c>
      <c r="E367" s="46" t="inlineStr">
        <is>
          <t>ICN</t>
        </is>
      </c>
      <c r="F367" s="48" t="inlineStr">
        <is>
          <t>시애틀공항</t>
        </is>
      </c>
      <c r="G367" s="46" t="inlineStr">
        <is>
          <t>SEA</t>
        </is>
      </c>
      <c r="H367" s="47" t="n">
        <v>45239</v>
      </c>
      <c r="I367" s="52" t="n">
        <v>45243</v>
      </c>
      <c r="J367" s="52" t="n">
        <v>45243</v>
      </c>
      <c r="K367" s="53" t="n">
        <v>135</v>
      </c>
    </row>
    <row r="368" ht="15" customHeight="1" s="32">
      <c r="A368" s="46" t="inlineStr">
        <is>
          <t>L-HB-0367</t>
        </is>
      </c>
      <c r="B368" s="46" t="inlineStr">
        <is>
          <t>R-HB-0367</t>
        </is>
      </c>
      <c r="C368" s="48" t="inlineStr">
        <is>
          <t>항공</t>
        </is>
      </c>
      <c r="D368" s="48" t="inlineStr">
        <is>
          <t>인천공항</t>
        </is>
      </c>
      <c r="E368" s="46" t="inlineStr">
        <is>
          <t>ICN</t>
        </is>
      </c>
      <c r="F368" s="48" t="inlineStr">
        <is>
          <t>선전공항</t>
        </is>
      </c>
      <c r="G368" s="46" t="inlineStr">
        <is>
          <t>SZX</t>
        </is>
      </c>
      <c r="H368" s="47" t="n">
        <v>45239</v>
      </c>
      <c r="I368" s="52" t="n">
        <v>45242</v>
      </c>
      <c r="J368" s="52" t="n">
        <v>45241</v>
      </c>
      <c r="K368" s="53" t="n">
        <v>326.26</v>
      </c>
    </row>
    <row r="369" ht="15" customHeight="1" s="32">
      <c r="A369" s="46" t="inlineStr">
        <is>
          <t>L-HB-0368</t>
        </is>
      </c>
      <c r="B369" s="46" t="inlineStr">
        <is>
          <t>R-HB-0368</t>
        </is>
      </c>
      <c r="C369" s="48" t="inlineStr">
        <is>
          <t>항공</t>
        </is>
      </c>
      <c r="D369" s="48" t="inlineStr">
        <is>
          <t>인천공항</t>
        </is>
      </c>
      <c r="E369" s="46" t="inlineStr">
        <is>
          <t>ICN</t>
        </is>
      </c>
      <c r="F369" s="48" t="inlineStr">
        <is>
          <t>로스앤젤레스공항</t>
        </is>
      </c>
      <c r="G369" s="46" t="inlineStr">
        <is>
          <t>LAX</t>
        </is>
      </c>
      <c r="H369" s="47" t="n">
        <v>45240</v>
      </c>
      <c r="I369" s="52" t="n">
        <v>45244</v>
      </c>
      <c r="J369" s="52" t="n">
        <v>45245</v>
      </c>
      <c r="K369" s="53" t="n">
        <v>142.86</v>
      </c>
    </row>
    <row r="370" ht="15" customHeight="1" s="32">
      <c r="A370" s="46" t="inlineStr">
        <is>
          <t>L-HB-0369</t>
        </is>
      </c>
      <c r="B370" s="46" t="inlineStr">
        <is>
          <t>R-HB-0369</t>
        </is>
      </c>
      <c r="C370" s="48" t="inlineStr">
        <is>
          <t>해상</t>
        </is>
      </c>
      <c r="D370" s="48" t="inlineStr">
        <is>
          <t>부산항</t>
        </is>
      </c>
      <c r="E370" s="46" t="inlineStr">
        <is>
          <t>KRPUS</t>
        </is>
      </c>
      <c r="F370" s="48" t="inlineStr">
        <is>
          <t>하이퐁항</t>
        </is>
      </c>
      <c r="G370" s="46" t="inlineStr">
        <is>
          <t>VNHPH</t>
        </is>
      </c>
      <c r="H370" s="47" t="n">
        <v>45240</v>
      </c>
      <c r="I370" s="52" t="n">
        <v>45249</v>
      </c>
      <c r="J370" s="52" t="n">
        <v>45249</v>
      </c>
      <c r="K370" s="53" t="n">
        <v>530</v>
      </c>
    </row>
    <row r="371" ht="15" customHeight="1" s="32">
      <c r="A371" s="46" t="inlineStr">
        <is>
          <t>L-HB-0370</t>
        </is>
      </c>
      <c r="B371" s="46" t="inlineStr">
        <is>
          <t>R-HB-0370</t>
        </is>
      </c>
      <c r="C371" s="48" t="inlineStr">
        <is>
          <t>항공</t>
        </is>
      </c>
      <c r="D371" s="48" t="inlineStr">
        <is>
          <t>인천공항</t>
        </is>
      </c>
      <c r="E371" s="46" t="inlineStr">
        <is>
          <t>ICN</t>
        </is>
      </c>
      <c r="F371" s="48" t="inlineStr">
        <is>
          <t>충칭공항</t>
        </is>
      </c>
      <c r="G371" s="46" t="inlineStr">
        <is>
          <t>CKG</t>
        </is>
      </c>
      <c r="H371" s="47" t="n">
        <v>45241</v>
      </c>
      <c r="I371" s="52" t="n">
        <v>45243</v>
      </c>
      <c r="J371" s="52" t="n">
        <v>45243</v>
      </c>
      <c r="K371" s="53" t="n">
        <v>135</v>
      </c>
    </row>
    <row r="372" ht="15" customHeight="1" s="32">
      <c r="A372" s="46" t="inlineStr">
        <is>
          <t>L-HB-0371</t>
        </is>
      </c>
      <c r="B372" s="46" t="inlineStr">
        <is>
          <t>R-HB-0371</t>
        </is>
      </c>
      <c r="C372" s="48" t="inlineStr">
        <is>
          <t>항공</t>
        </is>
      </c>
      <c r="D372" s="48" t="inlineStr">
        <is>
          <t>인천공항</t>
        </is>
      </c>
      <c r="E372" s="46" t="inlineStr">
        <is>
          <t>ICN</t>
        </is>
      </c>
      <c r="F372" s="48" t="inlineStr">
        <is>
          <t>프랑크푸르트공항</t>
        </is>
      </c>
      <c r="G372" s="46" t="inlineStr">
        <is>
          <t>FRA</t>
        </is>
      </c>
      <c r="H372" s="47" t="n">
        <v>45242</v>
      </c>
      <c r="I372" s="52" t="n">
        <v>45245</v>
      </c>
      <c r="J372" s="52" t="n">
        <v>45248</v>
      </c>
      <c r="K372" s="53" t="n">
        <v>135</v>
      </c>
    </row>
    <row r="373" ht="15" customHeight="1" s="32">
      <c r="A373" s="46" t="inlineStr">
        <is>
          <t>L-HB-0372</t>
        </is>
      </c>
      <c r="B373" s="46" t="inlineStr">
        <is>
          <t>R-HB-0372</t>
        </is>
      </c>
      <c r="C373" s="48" t="inlineStr">
        <is>
          <t>항공</t>
        </is>
      </c>
      <c r="D373" s="48" t="inlineStr">
        <is>
          <t>인천공항</t>
        </is>
      </c>
      <c r="E373" s="46" t="inlineStr">
        <is>
          <t>ICN</t>
        </is>
      </c>
      <c r="F373" s="48" t="inlineStr">
        <is>
          <t>델리공항</t>
        </is>
      </c>
      <c r="G373" s="46" t="inlineStr">
        <is>
          <t>DEL</t>
        </is>
      </c>
      <c r="H373" s="47" t="n">
        <v>45242</v>
      </c>
      <c r="I373" s="52" t="n">
        <v>45245</v>
      </c>
      <c r="J373" s="52" t="n">
        <v>45244</v>
      </c>
      <c r="K373" s="53" t="n">
        <v>210.91</v>
      </c>
    </row>
    <row r="374" ht="15" customHeight="1" s="32">
      <c r="A374" s="46" t="inlineStr">
        <is>
          <t>L-HB-0373</t>
        </is>
      </c>
      <c r="B374" s="46" t="inlineStr">
        <is>
          <t>R-HB-0373</t>
        </is>
      </c>
      <c r="C374" s="48" t="inlineStr">
        <is>
          <t>항공</t>
        </is>
      </c>
      <c r="D374" s="48" t="inlineStr">
        <is>
          <t>인천공항</t>
        </is>
      </c>
      <c r="E374" s="46" t="inlineStr">
        <is>
          <t>ICN</t>
        </is>
      </c>
      <c r="F374" s="48" t="inlineStr">
        <is>
          <t>델리공항</t>
        </is>
      </c>
      <c r="G374" s="46" t="inlineStr">
        <is>
          <t>DEL</t>
        </is>
      </c>
      <c r="H374" s="47" t="n">
        <v>45243</v>
      </c>
      <c r="I374" s="52" t="n">
        <v>45247</v>
      </c>
      <c r="J374" s="52" t="n">
        <v>45246</v>
      </c>
      <c r="K374" s="53" t="n">
        <v>135</v>
      </c>
    </row>
    <row r="375" ht="15" customHeight="1" s="32">
      <c r="A375" s="46" t="inlineStr">
        <is>
          <t>L-HB-0374</t>
        </is>
      </c>
      <c r="B375" s="46" t="inlineStr">
        <is>
          <t>R-HB-0374</t>
        </is>
      </c>
      <c r="C375" s="48" t="inlineStr">
        <is>
          <t>항공</t>
        </is>
      </c>
      <c r="D375" s="48" t="inlineStr">
        <is>
          <t>인천공항</t>
        </is>
      </c>
      <c r="E375" s="46" t="inlineStr">
        <is>
          <t>ICN</t>
        </is>
      </c>
      <c r="F375" s="48" t="inlineStr">
        <is>
          <t>시애틀공항</t>
        </is>
      </c>
      <c r="G375" s="46" t="inlineStr">
        <is>
          <t>SEA</t>
        </is>
      </c>
      <c r="H375" s="47" t="n">
        <v>45244</v>
      </c>
      <c r="I375" s="52" t="n">
        <v>45248</v>
      </c>
      <c r="J375" s="52" t="n">
        <v>45250</v>
      </c>
      <c r="K375" s="53" t="n">
        <v>135</v>
      </c>
    </row>
    <row r="376" ht="15" customHeight="1" s="32">
      <c r="A376" s="46" t="inlineStr">
        <is>
          <t>L-HB-0375</t>
        </is>
      </c>
      <c r="B376" s="46" t="inlineStr">
        <is>
          <t>R-HB-0375</t>
        </is>
      </c>
      <c r="C376" s="48" t="inlineStr">
        <is>
          <t>항공</t>
        </is>
      </c>
      <c r="D376" s="48" t="inlineStr">
        <is>
          <t>인천공항</t>
        </is>
      </c>
      <c r="E376" s="46" t="inlineStr">
        <is>
          <t>ICN</t>
        </is>
      </c>
      <c r="F376" s="48" t="inlineStr">
        <is>
          <t>토론토공항</t>
        </is>
      </c>
      <c r="G376" s="46" t="inlineStr">
        <is>
          <t>YYZ</t>
        </is>
      </c>
      <c r="H376" s="47" t="n">
        <v>45244</v>
      </c>
      <c r="I376" s="52" t="n">
        <v>45249</v>
      </c>
      <c r="J376" s="52" t="n">
        <v>45251</v>
      </c>
      <c r="K376" s="53" t="n">
        <v>135</v>
      </c>
    </row>
    <row r="377" ht="15" customHeight="1" s="32">
      <c r="A377" s="46" t="inlineStr">
        <is>
          <t>L-HB-0376</t>
        </is>
      </c>
      <c r="B377" s="46" t="inlineStr">
        <is>
          <t>R-HB-0376</t>
        </is>
      </c>
      <c r="C377" s="48" t="inlineStr">
        <is>
          <t>항공</t>
        </is>
      </c>
      <c r="D377" s="48" t="inlineStr">
        <is>
          <t>인천공항</t>
        </is>
      </c>
      <c r="E377" s="46" t="inlineStr">
        <is>
          <t>ICN</t>
        </is>
      </c>
      <c r="F377" s="48" t="inlineStr">
        <is>
          <t>충칭공항</t>
        </is>
      </c>
      <c r="G377" s="46" t="inlineStr">
        <is>
          <t>CKG</t>
        </is>
      </c>
      <c r="H377" s="47" t="n">
        <v>45246</v>
      </c>
      <c r="I377" s="52" t="n">
        <v>45248</v>
      </c>
      <c r="J377" s="52" t="n">
        <v>45248</v>
      </c>
      <c r="K377" s="53" t="n">
        <v>135</v>
      </c>
    </row>
    <row r="378" ht="15" customHeight="1" s="32">
      <c r="A378" s="46" t="inlineStr">
        <is>
          <t>L-HB-0377</t>
        </is>
      </c>
      <c r="B378" s="46" t="inlineStr">
        <is>
          <t>R-HB-0377</t>
        </is>
      </c>
      <c r="C378" s="48" t="inlineStr">
        <is>
          <t>항공</t>
        </is>
      </c>
      <c r="D378" s="48" t="inlineStr">
        <is>
          <t>인천공항</t>
        </is>
      </c>
      <c r="E378" s="46" t="inlineStr">
        <is>
          <t>ICN</t>
        </is>
      </c>
      <c r="F378" s="48" t="inlineStr">
        <is>
          <t>선전공항</t>
        </is>
      </c>
      <c r="G378" s="46" t="inlineStr">
        <is>
          <t>SZX</t>
        </is>
      </c>
      <c r="H378" s="47" t="n">
        <v>45247</v>
      </c>
      <c r="I378" s="52" t="n">
        <v>45248</v>
      </c>
      <c r="J378" s="52" t="n">
        <v>45247</v>
      </c>
      <c r="K378" s="53" t="n">
        <v>135</v>
      </c>
    </row>
    <row r="379" ht="15" customHeight="1" s="32">
      <c r="A379" s="46" t="inlineStr">
        <is>
          <t>L-HB-0378</t>
        </is>
      </c>
      <c r="B379" s="46" t="inlineStr">
        <is>
          <t>R-HB-0378</t>
        </is>
      </c>
      <c r="C379" s="48" t="inlineStr">
        <is>
          <t>항공</t>
        </is>
      </c>
      <c r="D379" s="48" t="inlineStr">
        <is>
          <t>인천공항</t>
        </is>
      </c>
      <c r="E379" s="46" t="inlineStr">
        <is>
          <t>ICN</t>
        </is>
      </c>
      <c r="F379" s="48" t="inlineStr">
        <is>
          <t>하노이공항</t>
        </is>
      </c>
      <c r="G379" s="46" t="inlineStr">
        <is>
          <t>HAN</t>
        </is>
      </c>
      <c r="H379" s="47" t="n">
        <v>45248</v>
      </c>
      <c r="I379" s="52" t="n">
        <v>45249</v>
      </c>
      <c r="J379" s="52" t="n">
        <v>45248</v>
      </c>
      <c r="K379" s="53" t="n">
        <v>246.97</v>
      </c>
    </row>
    <row r="380" ht="15" customHeight="1" s="32">
      <c r="A380" s="46" t="inlineStr">
        <is>
          <t>L-HB-0379</t>
        </is>
      </c>
      <c r="B380" s="46" t="inlineStr">
        <is>
          <t>R-HB-0379</t>
        </is>
      </c>
      <c r="C380" s="48" t="inlineStr">
        <is>
          <t>해상</t>
        </is>
      </c>
      <c r="D380" s="48" t="inlineStr">
        <is>
          <t>부산항</t>
        </is>
      </c>
      <c r="E380" s="46" t="inlineStr">
        <is>
          <t>KRPUS</t>
        </is>
      </c>
      <c r="F380" s="48" t="inlineStr">
        <is>
          <t>서커우항</t>
        </is>
      </c>
      <c r="G380" s="46" t="inlineStr">
        <is>
          <t>CNSHK</t>
        </is>
      </c>
      <c r="H380" s="47" t="n">
        <v>45248</v>
      </c>
      <c r="I380" s="52" t="n">
        <v>45254</v>
      </c>
      <c r="J380" s="52" t="n">
        <v>45254</v>
      </c>
      <c r="K380" s="53" t="n">
        <v>530</v>
      </c>
    </row>
    <row r="381" ht="15" customHeight="1" s="32">
      <c r="A381" s="46" t="inlineStr">
        <is>
          <t>L-HB-0380</t>
        </is>
      </c>
      <c r="B381" s="46" t="inlineStr">
        <is>
          <t>R-HB-0380</t>
        </is>
      </c>
      <c r="C381" s="48" t="inlineStr">
        <is>
          <t>항공</t>
        </is>
      </c>
      <c r="D381" s="48" t="inlineStr">
        <is>
          <t>인천공항</t>
        </is>
      </c>
      <c r="E381" s="46" t="inlineStr">
        <is>
          <t>ICN</t>
        </is>
      </c>
      <c r="F381" s="48" t="inlineStr">
        <is>
          <t>충칭공항</t>
        </is>
      </c>
      <c r="G381" s="46" t="inlineStr">
        <is>
          <t>CKG</t>
        </is>
      </c>
      <c r="H381" s="47" t="n">
        <v>45248</v>
      </c>
      <c r="I381" s="52" t="n">
        <v>45250</v>
      </c>
      <c r="J381" s="52" t="n">
        <v>45250</v>
      </c>
      <c r="K381" s="53" t="n">
        <v>194.95</v>
      </c>
    </row>
    <row r="382" ht="15" customHeight="1" s="32">
      <c r="A382" s="46" t="inlineStr">
        <is>
          <t>L-HB-0381</t>
        </is>
      </c>
      <c r="B382" s="46" t="inlineStr">
        <is>
          <t>R-HB-0381</t>
        </is>
      </c>
      <c r="C382" s="48" t="inlineStr">
        <is>
          <t>해상</t>
        </is>
      </c>
      <c r="D382" s="48" t="inlineStr">
        <is>
          <t>부산항</t>
        </is>
      </c>
      <c r="E382" s="46" t="inlineStr">
        <is>
          <t>KRPUS</t>
        </is>
      </c>
      <c r="F382" s="48" t="inlineStr">
        <is>
          <t>상하이항</t>
        </is>
      </c>
      <c r="G382" s="46" t="inlineStr">
        <is>
          <t>CNSHA</t>
        </is>
      </c>
      <c r="H382" s="47" t="n">
        <v>45248</v>
      </c>
      <c r="I382" s="52" t="n">
        <v>45253</v>
      </c>
      <c r="J382" s="52" t="n">
        <v>45251</v>
      </c>
      <c r="K382" s="53" t="n">
        <v>530</v>
      </c>
    </row>
    <row r="383" ht="15" customHeight="1" s="32">
      <c r="A383" s="46" t="inlineStr">
        <is>
          <t>L-HB-0382</t>
        </is>
      </c>
      <c r="B383" s="46" t="inlineStr">
        <is>
          <t>R-HB-0382</t>
        </is>
      </c>
      <c r="C383" s="48" t="inlineStr">
        <is>
          <t>항공</t>
        </is>
      </c>
      <c r="D383" s="48" t="inlineStr">
        <is>
          <t>인천공항</t>
        </is>
      </c>
      <c r="E383" s="46" t="inlineStr">
        <is>
          <t>ICN</t>
        </is>
      </c>
      <c r="F383" s="48" t="inlineStr">
        <is>
          <t>과달라하라공항</t>
        </is>
      </c>
      <c r="G383" s="46" t="inlineStr">
        <is>
          <t>GDL</t>
        </is>
      </c>
      <c r="H383" s="47" t="n">
        <v>45249</v>
      </c>
      <c r="I383" s="52" t="n">
        <v>45253</v>
      </c>
      <c r="J383" s="52" t="n">
        <v>45257</v>
      </c>
      <c r="K383" s="53" t="n">
        <v>135</v>
      </c>
    </row>
    <row r="384" ht="15" customHeight="1" s="32">
      <c r="A384" s="46" t="inlineStr">
        <is>
          <t>L-HB-0383</t>
        </is>
      </c>
      <c r="B384" s="46" t="inlineStr">
        <is>
          <t>R-HB-0383</t>
        </is>
      </c>
      <c r="C384" s="48" t="inlineStr">
        <is>
          <t>항공</t>
        </is>
      </c>
      <c r="D384" s="48" t="inlineStr">
        <is>
          <t>인천공항</t>
        </is>
      </c>
      <c r="E384" s="46" t="inlineStr">
        <is>
          <t>ICN</t>
        </is>
      </c>
      <c r="F384" s="48" t="inlineStr">
        <is>
          <t>프랑크푸르트공항</t>
        </is>
      </c>
      <c r="G384" s="46" t="inlineStr">
        <is>
          <t>FRA</t>
        </is>
      </c>
      <c r="H384" s="47" t="n">
        <v>45249</v>
      </c>
      <c r="I384" s="52" t="n">
        <v>45254</v>
      </c>
      <c r="J384" s="52" t="n">
        <v>45254</v>
      </c>
      <c r="K384" s="53" t="n">
        <v>459.74</v>
      </c>
    </row>
    <row r="385" ht="15" customHeight="1" s="32">
      <c r="A385" s="46" t="inlineStr">
        <is>
          <t>L-HB-0384</t>
        </is>
      </c>
      <c r="B385" s="46" t="inlineStr">
        <is>
          <t>R-HB-0384</t>
        </is>
      </c>
      <c r="C385" s="48" t="inlineStr">
        <is>
          <t>항공</t>
        </is>
      </c>
      <c r="D385" s="48" t="inlineStr">
        <is>
          <t>인천공항</t>
        </is>
      </c>
      <c r="E385" s="46" t="inlineStr">
        <is>
          <t>ICN</t>
        </is>
      </c>
      <c r="F385" s="48" t="inlineStr">
        <is>
          <t>프랑크푸르트공항</t>
        </is>
      </c>
      <c r="G385" s="46" t="inlineStr">
        <is>
          <t>FRA</t>
        </is>
      </c>
      <c r="H385" s="47" t="n">
        <v>45249</v>
      </c>
      <c r="I385" s="52" t="n">
        <v>45253</v>
      </c>
      <c r="J385" s="52" t="n">
        <v>45256</v>
      </c>
      <c r="K385" s="53" t="n">
        <v>267.73</v>
      </c>
    </row>
    <row r="386" ht="15" customHeight="1" s="32">
      <c r="A386" s="46" t="inlineStr">
        <is>
          <t>L-HB-0385</t>
        </is>
      </c>
      <c r="B386" s="46" t="inlineStr">
        <is>
          <t>R-HB-0385</t>
        </is>
      </c>
      <c r="C386" s="48" t="inlineStr">
        <is>
          <t>항공</t>
        </is>
      </c>
      <c r="D386" s="48" t="inlineStr">
        <is>
          <t>인천공항</t>
        </is>
      </c>
      <c r="E386" s="46" t="inlineStr">
        <is>
          <t>ICN</t>
        </is>
      </c>
      <c r="F386" s="48" t="inlineStr">
        <is>
          <t>토론토공항</t>
        </is>
      </c>
      <c r="G386" s="46" t="inlineStr">
        <is>
          <t>YYZ</t>
        </is>
      </c>
      <c r="H386" s="47" t="n">
        <v>45250</v>
      </c>
      <c r="I386" s="52" t="n">
        <v>45253</v>
      </c>
      <c r="J386" s="52" t="n">
        <v>45256</v>
      </c>
      <c r="K386" s="53" t="n">
        <v>135</v>
      </c>
    </row>
    <row r="387" ht="15" customHeight="1" s="32">
      <c r="A387" s="46" t="inlineStr">
        <is>
          <t>L-HB-0386</t>
        </is>
      </c>
      <c r="B387" s="46" t="inlineStr">
        <is>
          <t>R-HB-0386</t>
        </is>
      </c>
      <c r="C387" s="48" t="inlineStr">
        <is>
          <t>항공</t>
        </is>
      </c>
      <c r="D387" s="48" t="inlineStr">
        <is>
          <t>인천공항</t>
        </is>
      </c>
      <c r="E387" s="46" t="inlineStr">
        <is>
          <t>ICN</t>
        </is>
      </c>
      <c r="F387" s="48" t="inlineStr">
        <is>
          <t>하노이공항</t>
        </is>
      </c>
      <c r="G387" s="46" t="inlineStr">
        <is>
          <t>HAN</t>
        </is>
      </c>
      <c r="H387" s="47" t="n">
        <v>45251</v>
      </c>
      <c r="I387" s="52" t="n">
        <v>45252</v>
      </c>
      <c r="J387" s="52" t="n">
        <v>45252</v>
      </c>
      <c r="K387" s="53" t="n">
        <v>135</v>
      </c>
    </row>
    <row r="388" ht="15" customHeight="1" s="32">
      <c r="A388" s="46" t="inlineStr">
        <is>
          <t>L-HB-0387</t>
        </is>
      </c>
      <c r="B388" s="46" t="inlineStr">
        <is>
          <t>R-HB-0387</t>
        </is>
      </c>
      <c r="C388" s="48" t="inlineStr">
        <is>
          <t>항공</t>
        </is>
      </c>
      <c r="D388" s="48" t="inlineStr">
        <is>
          <t>인천공항</t>
        </is>
      </c>
      <c r="E388" s="46" t="inlineStr">
        <is>
          <t>ICN</t>
        </is>
      </c>
      <c r="F388" s="48" t="inlineStr">
        <is>
          <t>로스앤젤레스공항</t>
        </is>
      </c>
      <c r="G388" s="46" t="inlineStr">
        <is>
          <t>LAX</t>
        </is>
      </c>
      <c r="H388" s="47" t="n">
        <v>45252</v>
      </c>
      <c r="I388" s="52" t="n">
        <v>45256</v>
      </c>
      <c r="J388" s="52" t="n">
        <v>45256</v>
      </c>
      <c r="K388" s="53" t="n">
        <v>507.09</v>
      </c>
    </row>
    <row r="389" ht="15" customHeight="1" s="32">
      <c r="A389" s="46" t="inlineStr">
        <is>
          <t>L-HB-0388</t>
        </is>
      </c>
      <c r="B389" s="46" t="inlineStr">
        <is>
          <t>R-HB-0388</t>
        </is>
      </c>
      <c r="C389" s="48" t="inlineStr">
        <is>
          <t>항공</t>
        </is>
      </c>
      <c r="D389" s="48" t="inlineStr">
        <is>
          <t>인천공항</t>
        </is>
      </c>
      <c r="E389" s="46" t="inlineStr">
        <is>
          <t>ICN</t>
        </is>
      </c>
      <c r="F389" s="48" t="inlineStr">
        <is>
          <t>로스앤젤레스공항</t>
        </is>
      </c>
      <c r="G389" s="46" t="inlineStr">
        <is>
          <t>LAX</t>
        </is>
      </c>
      <c r="H389" s="47" t="n">
        <v>45252</v>
      </c>
      <c r="I389" s="52" t="n">
        <v>45254</v>
      </c>
      <c r="J389" s="52" t="n">
        <v>45254</v>
      </c>
      <c r="K389" s="53" t="n">
        <v>269.34</v>
      </c>
    </row>
    <row r="390" ht="15" customHeight="1" s="32">
      <c r="A390" s="46" t="inlineStr">
        <is>
          <t>L-HB-0389</t>
        </is>
      </c>
      <c r="B390" s="46" t="inlineStr">
        <is>
          <t>R-HB-0389</t>
        </is>
      </c>
      <c r="C390" s="48" t="inlineStr">
        <is>
          <t>항공</t>
        </is>
      </c>
      <c r="D390" s="48" t="inlineStr">
        <is>
          <t>인천공항</t>
        </is>
      </c>
      <c r="E390" s="46" t="inlineStr">
        <is>
          <t>ICN</t>
        </is>
      </c>
      <c r="F390" s="48" t="inlineStr">
        <is>
          <t>토론토공항</t>
        </is>
      </c>
      <c r="G390" s="46" t="inlineStr">
        <is>
          <t>YYZ</t>
        </is>
      </c>
      <c r="H390" s="47" t="n">
        <v>45252</v>
      </c>
      <c r="I390" s="52" t="n">
        <v>45256</v>
      </c>
      <c r="J390" s="52" t="n">
        <v>45256</v>
      </c>
      <c r="K390" s="53" t="n">
        <v>135</v>
      </c>
    </row>
    <row r="391" ht="15" customHeight="1" s="32">
      <c r="A391" s="46" t="inlineStr">
        <is>
          <t>L-HB-0390</t>
        </is>
      </c>
      <c r="B391" s="46" t="inlineStr">
        <is>
          <t>R-HB-0390</t>
        </is>
      </c>
      <c r="C391" s="48" t="inlineStr">
        <is>
          <t>항공</t>
        </is>
      </c>
      <c r="D391" s="48" t="inlineStr">
        <is>
          <t>인천공항</t>
        </is>
      </c>
      <c r="E391" s="46" t="inlineStr">
        <is>
          <t>ICN</t>
        </is>
      </c>
      <c r="F391" s="48" t="inlineStr">
        <is>
          <t>프랑크푸르트공항</t>
        </is>
      </c>
      <c r="G391" s="46" t="inlineStr">
        <is>
          <t>FRA</t>
        </is>
      </c>
      <c r="H391" s="47" t="n">
        <v>45253</v>
      </c>
      <c r="I391" s="52" t="n">
        <v>45258</v>
      </c>
      <c r="J391" s="52" t="n">
        <v>45258</v>
      </c>
      <c r="K391" s="53" t="n">
        <v>157.93</v>
      </c>
    </row>
    <row r="392" ht="15" customHeight="1" s="32">
      <c r="A392" s="46" t="inlineStr">
        <is>
          <t>L-HB-0391</t>
        </is>
      </c>
      <c r="B392" s="46" t="inlineStr">
        <is>
          <t>R-HB-0391</t>
        </is>
      </c>
      <c r="C392" s="48" t="inlineStr">
        <is>
          <t>항공</t>
        </is>
      </c>
      <c r="D392" s="48" t="inlineStr">
        <is>
          <t>인천공항</t>
        </is>
      </c>
      <c r="E392" s="46" t="inlineStr">
        <is>
          <t>ICN</t>
        </is>
      </c>
      <c r="F392" s="48" t="inlineStr">
        <is>
          <t>로스앤젤레스공항</t>
        </is>
      </c>
      <c r="G392" s="46" t="inlineStr">
        <is>
          <t>LAX</t>
        </is>
      </c>
      <c r="H392" s="47" t="n">
        <v>45254</v>
      </c>
      <c r="I392" s="52" t="n">
        <v>45257</v>
      </c>
      <c r="J392" s="52" t="n">
        <v>45257</v>
      </c>
      <c r="K392" s="53" t="n">
        <v>135</v>
      </c>
    </row>
    <row r="393" ht="15" customHeight="1" s="32">
      <c r="A393" s="46" t="inlineStr">
        <is>
          <t>L-HB-0392</t>
        </is>
      </c>
      <c r="B393" s="46" t="inlineStr">
        <is>
          <t>R-HB-0392</t>
        </is>
      </c>
      <c r="C393" s="48" t="inlineStr">
        <is>
          <t>항공</t>
        </is>
      </c>
      <c r="D393" s="48" t="inlineStr">
        <is>
          <t>인천공항</t>
        </is>
      </c>
      <c r="E393" s="46" t="inlineStr">
        <is>
          <t>ICN</t>
        </is>
      </c>
      <c r="F393" s="48" t="inlineStr">
        <is>
          <t>시애틀공항</t>
        </is>
      </c>
      <c r="G393" s="46" t="inlineStr">
        <is>
          <t>SEA</t>
        </is>
      </c>
      <c r="H393" s="47" t="n">
        <v>45256</v>
      </c>
      <c r="I393" s="52" t="n">
        <v>45259</v>
      </c>
      <c r="J393" s="52" t="n">
        <v>45259</v>
      </c>
      <c r="K393" s="53" t="n">
        <v>277.74</v>
      </c>
    </row>
    <row r="394" ht="15" customHeight="1" s="32">
      <c r="A394" s="46" t="inlineStr">
        <is>
          <t>L-HB-0393</t>
        </is>
      </c>
      <c r="B394" s="46" t="inlineStr">
        <is>
          <t>R-HB-0393</t>
        </is>
      </c>
      <c r="C394" s="48" t="inlineStr">
        <is>
          <t>항공</t>
        </is>
      </c>
      <c r="D394" s="48" t="inlineStr">
        <is>
          <t>인천공항</t>
        </is>
      </c>
      <c r="E394" s="46" t="inlineStr">
        <is>
          <t>ICN</t>
        </is>
      </c>
      <c r="F394" s="48" t="inlineStr">
        <is>
          <t>토론토공항</t>
        </is>
      </c>
      <c r="G394" s="46" t="inlineStr">
        <is>
          <t>YYZ</t>
        </is>
      </c>
      <c r="H394" s="47" t="n">
        <v>45256</v>
      </c>
      <c r="I394" s="52" t="n">
        <v>45259</v>
      </c>
      <c r="J394" s="52" t="n">
        <v>45259</v>
      </c>
      <c r="K394" s="53" t="n">
        <v>135</v>
      </c>
    </row>
    <row r="395" ht="15" customHeight="1" s="32">
      <c r="A395" s="46" t="inlineStr">
        <is>
          <t>L-HB-0394</t>
        </is>
      </c>
      <c r="B395" s="46" t="inlineStr">
        <is>
          <t>R-HB-0394</t>
        </is>
      </c>
      <c r="C395" s="48" t="inlineStr">
        <is>
          <t>항공</t>
        </is>
      </c>
      <c r="D395" s="48" t="inlineStr">
        <is>
          <t>인천공항</t>
        </is>
      </c>
      <c r="E395" s="46" t="inlineStr">
        <is>
          <t>ICN</t>
        </is>
      </c>
      <c r="F395" s="48" t="inlineStr">
        <is>
          <t>델리공항</t>
        </is>
      </c>
      <c r="G395" s="46" t="inlineStr">
        <is>
          <t>DEL</t>
        </is>
      </c>
      <c r="H395" s="47" t="n">
        <v>45256</v>
      </c>
      <c r="I395" s="52" t="n">
        <v>45259</v>
      </c>
      <c r="J395" s="52" t="n">
        <v>45259</v>
      </c>
      <c r="K395" s="53" t="n">
        <v>135</v>
      </c>
    </row>
    <row r="396" ht="15" customHeight="1" s="32">
      <c r="A396" s="46" t="inlineStr">
        <is>
          <t>L-HB-0395</t>
        </is>
      </c>
      <c r="B396" s="46" t="inlineStr">
        <is>
          <t>R-HB-0395</t>
        </is>
      </c>
      <c r="C396" s="48" t="inlineStr">
        <is>
          <t>항공</t>
        </is>
      </c>
      <c r="D396" s="48" t="inlineStr">
        <is>
          <t>인천공항</t>
        </is>
      </c>
      <c r="E396" s="46" t="inlineStr">
        <is>
          <t>ICN</t>
        </is>
      </c>
      <c r="F396" s="48" t="inlineStr">
        <is>
          <t>시애틀공항</t>
        </is>
      </c>
      <c r="G396" s="46" t="inlineStr">
        <is>
          <t>SEA</t>
        </is>
      </c>
      <c r="H396" s="47" t="n">
        <v>45257</v>
      </c>
      <c r="I396" s="52" t="n">
        <v>45260</v>
      </c>
      <c r="J396" s="52" t="n">
        <v>45261</v>
      </c>
      <c r="K396" s="53" t="n">
        <v>165.35</v>
      </c>
    </row>
    <row r="397" ht="15" customHeight="1" s="32">
      <c r="A397" s="46" t="inlineStr">
        <is>
          <t>L-HB-0396</t>
        </is>
      </c>
      <c r="B397" s="46" t="inlineStr">
        <is>
          <t>R-HB-0396</t>
        </is>
      </c>
      <c r="C397" s="48" t="inlineStr">
        <is>
          <t>항공</t>
        </is>
      </c>
      <c r="D397" s="48" t="inlineStr">
        <is>
          <t>인천공항</t>
        </is>
      </c>
      <c r="E397" s="46" t="inlineStr">
        <is>
          <t>ICN</t>
        </is>
      </c>
      <c r="F397" s="48" t="inlineStr">
        <is>
          <t>선전공항</t>
        </is>
      </c>
      <c r="G397" s="46" t="inlineStr">
        <is>
          <t>SZX</t>
        </is>
      </c>
      <c r="H397" s="47" t="n">
        <v>45257</v>
      </c>
      <c r="I397" s="52" t="n">
        <v>45258</v>
      </c>
      <c r="J397" s="52" t="n">
        <v>45258</v>
      </c>
      <c r="K397" s="53" t="n">
        <v>135</v>
      </c>
    </row>
    <row r="398" ht="15" customHeight="1" s="32">
      <c r="A398" s="46" t="inlineStr">
        <is>
          <t>L-HB-0397</t>
        </is>
      </c>
      <c r="B398" s="46" t="inlineStr">
        <is>
          <t>R-HB-0397</t>
        </is>
      </c>
      <c r="C398" s="48" t="inlineStr">
        <is>
          <t>항공</t>
        </is>
      </c>
      <c r="D398" s="48" t="inlineStr">
        <is>
          <t>인천공항</t>
        </is>
      </c>
      <c r="E398" s="46" t="inlineStr">
        <is>
          <t>ICN</t>
        </is>
      </c>
      <c r="F398" s="48" t="inlineStr">
        <is>
          <t>시애틀공항</t>
        </is>
      </c>
      <c r="G398" s="46" t="inlineStr">
        <is>
          <t>SEA</t>
        </is>
      </c>
      <c r="H398" s="47" t="n">
        <v>45263</v>
      </c>
      <c r="I398" s="52" t="n">
        <v>45266</v>
      </c>
      <c r="J398" s="52" t="n">
        <v>45265</v>
      </c>
      <c r="K398" s="53" t="n">
        <v>135</v>
      </c>
    </row>
    <row r="399" ht="15" customHeight="1" s="32">
      <c r="A399" s="46" t="inlineStr">
        <is>
          <t>L-HB-0398</t>
        </is>
      </c>
      <c r="B399" s="46" t="inlineStr">
        <is>
          <t>R-HB-0398</t>
        </is>
      </c>
      <c r="C399" s="48" t="inlineStr">
        <is>
          <t>항공</t>
        </is>
      </c>
      <c r="D399" s="48" t="inlineStr">
        <is>
          <t>인천공항</t>
        </is>
      </c>
      <c r="E399" s="46" t="inlineStr">
        <is>
          <t>ICN</t>
        </is>
      </c>
      <c r="F399" s="48" t="inlineStr">
        <is>
          <t>토론토공항</t>
        </is>
      </c>
      <c r="G399" s="46" t="inlineStr">
        <is>
          <t>YYZ</t>
        </is>
      </c>
      <c r="H399" s="47" t="n">
        <v>45264</v>
      </c>
      <c r="I399" s="52" t="n">
        <v>45267</v>
      </c>
      <c r="J399" s="52" t="n">
        <v>45266</v>
      </c>
      <c r="K399" s="53" t="n">
        <v>135</v>
      </c>
    </row>
    <row r="400" ht="15" customHeight="1" s="32">
      <c r="A400" s="46" t="inlineStr">
        <is>
          <t>L-HB-0399</t>
        </is>
      </c>
      <c r="B400" s="46" t="inlineStr">
        <is>
          <t>R-HB-0399</t>
        </is>
      </c>
      <c r="C400" s="48" t="inlineStr">
        <is>
          <t>항공</t>
        </is>
      </c>
      <c r="D400" s="48" t="inlineStr">
        <is>
          <t>인천공항</t>
        </is>
      </c>
      <c r="E400" s="46" t="inlineStr">
        <is>
          <t>ICN</t>
        </is>
      </c>
      <c r="F400" s="48" t="inlineStr">
        <is>
          <t>선전공항</t>
        </is>
      </c>
      <c r="G400" s="46" t="inlineStr">
        <is>
          <t>SZX</t>
        </is>
      </c>
      <c r="H400" s="47" t="n">
        <v>45264</v>
      </c>
      <c r="I400" s="52" t="n">
        <v>45267</v>
      </c>
      <c r="J400" s="52" t="n">
        <v>45267</v>
      </c>
      <c r="K400" s="53" t="n">
        <v>271.08</v>
      </c>
    </row>
    <row r="401" ht="15" customHeight="1" s="32">
      <c r="A401" s="46" t="inlineStr">
        <is>
          <t>L-HB-0400</t>
        </is>
      </c>
      <c r="B401" s="46" t="inlineStr">
        <is>
          <t>R-HB-0400</t>
        </is>
      </c>
      <c r="C401" s="48" t="inlineStr">
        <is>
          <t>항공</t>
        </is>
      </c>
      <c r="D401" s="48" t="inlineStr">
        <is>
          <t>인천공항</t>
        </is>
      </c>
      <c r="E401" s="46" t="inlineStr">
        <is>
          <t>ICN</t>
        </is>
      </c>
      <c r="F401" s="48" t="inlineStr">
        <is>
          <t>시애틀공항</t>
        </is>
      </c>
      <c r="G401" s="46" t="inlineStr">
        <is>
          <t>SEA</t>
        </is>
      </c>
      <c r="H401" s="47" t="n">
        <v>45266</v>
      </c>
      <c r="I401" s="52" t="n">
        <v>45269</v>
      </c>
      <c r="J401" s="52" t="n">
        <v>45269</v>
      </c>
      <c r="K401" s="53" t="n">
        <v>163.1</v>
      </c>
    </row>
    <row r="402" ht="15" customHeight="1" s="32">
      <c r="A402" s="46" t="inlineStr">
        <is>
          <t>L-HB-0401</t>
        </is>
      </c>
      <c r="B402" s="46" t="inlineStr">
        <is>
          <t>R-HB-0401</t>
        </is>
      </c>
      <c r="C402" s="48" t="inlineStr">
        <is>
          <t>항공</t>
        </is>
      </c>
      <c r="D402" s="48" t="inlineStr">
        <is>
          <t>인천공항</t>
        </is>
      </c>
      <c r="E402" s="46" t="inlineStr">
        <is>
          <t>ICN</t>
        </is>
      </c>
      <c r="F402" s="48" t="inlineStr">
        <is>
          <t>하노이공항</t>
        </is>
      </c>
      <c r="G402" s="46" t="inlineStr">
        <is>
          <t>HAN</t>
        </is>
      </c>
      <c r="H402" s="47" t="n">
        <v>45266</v>
      </c>
      <c r="I402" s="52" t="n">
        <v>45268</v>
      </c>
      <c r="J402" s="52" t="n">
        <v>45269</v>
      </c>
      <c r="K402" s="53" t="n">
        <v>135</v>
      </c>
    </row>
    <row r="403" ht="15" customHeight="1" s="32">
      <c r="A403" s="46" t="inlineStr">
        <is>
          <t>L-HB-0402</t>
        </is>
      </c>
      <c r="B403" s="46" t="inlineStr">
        <is>
          <t>R-HB-0402</t>
        </is>
      </c>
      <c r="C403" s="48" t="inlineStr">
        <is>
          <t>항공</t>
        </is>
      </c>
      <c r="D403" s="48" t="inlineStr">
        <is>
          <t>인천공항</t>
        </is>
      </c>
      <c r="E403" s="46" t="inlineStr">
        <is>
          <t>ICN</t>
        </is>
      </c>
      <c r="F403" s="48" t="inlineStr">
        <is>
          <t>선전공항</t>
        </is>
      </c>
      <c r="G403" s="46" t="inlineStr">
        <is>
          <t>SZX</t>
        </is>
      </c>
      <c r="H403" s="47" t="n">
        <v>45266</v>
      </c>
      <c r="I403" s="52" t="n">
        <v>45267</v>
      </c>
      <c r="J403" s="52" t="n">
        <v>45267</v>
      </c>
      <c r="K403" s="53" t="n">
        <v>135</v>
      </c>
    </row>
    <row r="404" ht="15" customHeight="1" s="32">
      <c r="A404" s="46" t="inlineStr">
        <is>
          <t>L-HB-0403</t>
        </is>
      </c>
      <c r="B404" s="46" t="inlineStr">
        <is>
          <t>R-HB-0403</t>
        </is>
      </c>
      <c r="C404" s="48" t="inlineStr">
        <is>
          <t>항공</t>
        </is>
      </c>
      <c r="D404" s="48" t="inlineStr">
        <is>
          <t>인천공항</t>
        </is>
      </c>
      <c r="E404" s="46" t="inlineStr">
        <is>
          <t>ICN</t>
        </is>
      </c>
      <c r="F404" s="48" t="inlineStr">
        <is>
          <t>충칭공항</t>
        </is>
      </c>
      <c r="G404" s="46" t="inlineStr">
        <is>
          <t>CKG</t>
        </is>
      </c>
      <c r="H404" s="47" t="n">
        <v>45266</v>
      </c>
      <c r="I404" s="52" t="n">
        <v>45268</v>
      </c>
      <c r="J404" s="52" t="n">
        <v>45268</v>
      </c>
      <c r="K404" s="53" t="n">
        <v>135</v>
      </c>
    </row>
    <row r="405" ht="15" customHeight="1" s="32">
      <c r="A405" s="46" t="inlineStr">
        <is>
          <t>L-HB-0404</t>
        </is>
      </c>
      <c r="B405" s="46" t="inlineStr">
        <is>
          <t>R-HB-0404</t>
        </is>
      </c>
      <c r="C405" s="48" t="inlineStr">
        <is>
          <t>항공</t>
        </is>
      </c>
      <c r="D405" s="48" t="inlineStr">
        <is>
          <t>인천공항</t>
        </is>
      </c>
      <c r="E405" s="46" t="inlineStr">
        <is>
          <t>ICN</t>
        </is>
      </c>
      <c r="F405" s="48" t="inlineStr">
        <is>
          <t>로스앤젤레스공항</t>
        </is>
      </c>
      <c r="G405" s="46" t="inlineStr">
        <is>
          <t>LAX</t>
        </is>
      </c>
      <c r="H405" s="47" t="n">
        <v>45267</v>
      </c>
      <c r="I405" s="52" t="n">
        <v>45270</v>
      </c>
      <c r="J405" s="52" t="n">
        <v>45270</v>
      </c>
      <c r="K405" s="53" t="n">
        <v>456.22</v>
      </c>
    </row>
    <row r="406" ht="15" customHeight="1" s="32">
      <c r="A406" s="46" t="inlineStr">
        <is>
          <t>L-HB-0405</t>
        </is>
      </c>
      <c r="B406" s="46" t="inlineStr">
        <is>
          <t>R-HB-0405</t>
        </is>
      </c>
      <c r="C406" s="48" t="inlineStr">
        <is>
          <t>항공</t>
        </is>
      </c>
      <c r="D406" s="48" t="inlineStr">
        <is>
          <t>인천공항</t>
        </is>
      </c>
      <c r="E406" s="46" t="inlineStr">
        <is>
          <t>ICN</t>
        </is>
      </c>
      <c r="F406" s="48" t="inlineStr">
        <is>
          <t>충칭공항</t>
        </is>
      </c>
      <c r="G406" s="46" t="inlineStr">
        <is>
          <t>CKG</t>
        </is>
      </c>
      <c r="H406" s="47" t="n">
        <v>45268</v>
      </c>
      <c r="I406" s="52" t="n">
        <v>45269</v>
      </c>
      <c r="J406" s="52" t="n">
        <v>45269</v>
      </c>
      <c r="K406" s="53" t="n">
        <v>135</v>
      </c>
    </row>
    <row r="407" ht="15" customHeight="1" s="32">
      <c r="A407" s="46" t="inlineStr">
        <is>
          <t>L-HB-0406</t>
        </is>
      </c>
      <c r="B407" s="46" t="inlineStr">
        <is>
          <t>R-HB-0406</t>
        </is>
      </c>
      <c r="C407" s="48" t="inlineStr">
        <is>
          <t>항공</t>
        </is>
      </c>
      <c r="D407" s="48" t="inlineStr">
        <is>
          <t>인천공항</t>
        </is>
      </c>
      <c r="E407" s="46" t="inlineStr">
        <is>
          <t>ICN</t>
        </is>
      </c>
      <c r="F407" s="48" t="inlineStr">
        <is>
          <t>하노이공항</t>
        </is>
      </c>
      <c r="G407" s="46" t="inlineStr">
        <is>
          <t>HAN</t>
        </is>
      </c>
      <c r="H407" s="47" t="n">
        <v>45269</v>
      </c>
      <c r="I407" s="52" t="n">
        <v>45271</v>
      </c>
      <c r="J407" s="52" t="n">
        <v>45270</v>
      </c>
      <c r="K407" s="53" t="n">
        <v>259.12</v>
      </c>
    </row>
    <row r="408" ht="15" customHeight="1" s="32">
      <c r="A408" s="46" t="inlineStr">
        <is>
          <t>L-HB-0407</t>
        </is>
      </c>
      <c r="B408" s="46" t="inlineStr">
        <is>
          <t>R-HB-0407</t>
        </is>
      </c>
      <c r="C408" s="48" t="inlineStr">
        <is>
          <t>항공</t>
        </is>
      </c>
      <c r="D408" s="48" t="inlineStr">
        <is>
          <t>인천공항</t>
        </is>
      </c>
      <c r="E408" s="46" t="inlineStr">
        <is>
          <t>ICN</t>
        </is>
      </c>
      <c r="F408" s="48" t="inlineStr">
        <is>
          <t>프랑크푸르트공항</t>
        </is>
      </c>
      <c r="G408" s="46" t="inlineStr">
        <is>
          <t>FRA</t>
        </is>
      </c>
      <c r="H408" s="47" t="n">
        <v>45270</v>
      </c>
      <c r="I408" s="52" t="n">
        <v>45273</v>
      </c>
      <c r="J408" s="52" t="n">
        <v>45273</v>
      </c>
      <c r="K408" s="53" t="n">
        <v>135</v>
      </c>
    </row>
    <row r="409" ht="15" customHeight="1" s="32">
      <c r="A409" s="46" t="inlineStr">
        <is>
          <t>L-HB-0408</t>
        </is>
      </c>
      <c r="B409" s="46" t="inlineStr">
        <is>
          <t>R-HB-0408</t>
        </is>
      </c>
      <c r="C409" s="48" t="inlineStr">
        <is>
          <t>항공</t>
        </is>
      </c>
      <c r="D409" s="48" t="inlineStr">
        <is>
          <t>인천공항</t>
        </is>
      </c>
      <c r="E409" s="46" t="inlineStr">
        <is>
          <t>ICN</t>
        </is>
      </c>
      <c r="F409" s="48" t="inlineStr">
        <is>
          <t>델리공항</t>
        </is>
      </c>
      <c r="G409" s="46" t="inlineStr">
        <is>
          <t>DEL</t>
        </is>
      </c>
      <c r="H409" s="47" t="n">
        <v>45270</v>
      </c>
      <c r="I409" s="52" t="n">
        <v>45274</v>
      </c>
      <c r="J409" s="52" t="n">
        <v>45274</v>
      </c>
      <c r="K409" s="53" t="n">
        <v>135.63</v>
      </c>
    </row>
    <row r="410" ht="15" customHeight="1" s="32">
      <c r="A410" s="46" t="inlineStr">
        <is>
          <t>L-HB-0409</t>
        </is>
      </c>
      <c r="B410" s="46" t="inlineStr">
        <is>
          <t>R-HB-0409</t>
        </is>
      </c>
      <c r="C410" s="48" t="inlineStr">
        <is>
          <t>항공</t>
        </is>
      </c>
      <c r="D410" s="48" t="inlineStr">
        <is>
          <t>인천공항</t>
        </is>
      </c>
      <c r="E410" s="46" t="inlineStr">
        <is>
          <t>ICN</t>
        </is>
      </c>
      <c r="F410" s="48" t="inlineStr">
        <is>
          <t>로스앤젤레스공항</t>
        </is>
      </c>
      <c r="G410" s="46" t="inlineStr">
        <is>
          <t>LAX</t>
        </is>
      </c>
      <c r="H410" s="47" t="n">
        <v>45271</v>
      </c>
      <c r="I410" s="52" t="n">
        <v>45274</v>
      </c>
      <c r="J410" s="52" t="n">
        <v>45273</v>
      </c>
      <c r="K410" s="53" t="n">
        <v>269.49</v>
      </c>
    </row>
    <row r="411" ht="15" customHeight="1" s="32">
      <c r="A411" s="46" t="inlineStr">
        <is>
          <t>L-HB-0410</t>
        </is>
      </c>
      <c r="B411" s="46" t="inlineStr">
        <is>
          <t>R-HB-0410</t>
        </is>
      </c>
      <c r="C411" s="48" t="inlineStr">
        <is>
          <t>항공</t>
        </is>
      </c>
      <c r="D411" s="48" t="inlineStr">
        <is>
          <t>인천공항</t>
        </is>
      </c>
      <c r="E411" s="46" t="inlineStr">
        <is>
          <t>ICN</t>
        </is>
      </c>
      <c r="F411" s="48" t="inlineStr">
        <is>
          <t>과달라하라공항</t>
        </is>
      </c>
      <c r="G411" s="46" t="inlineStr">
        <is>
          <t>GDL</t>
        </is>
      </c>
      <c r="H411" s="47" t="n">
        <v>45271</v>
      </c>
      <c r="I411" s="52" t="n">
        <v>45274</v>
      </c>
      <c r="J411" s="52" t="n">
        <v>45274</v>
      </c>
      <c r="K411" s="53" t="n">
        <v>135</v>
      </c>
    </row>
    <row r="412" ht="15" customHeight="1" s="32">
      <c r="A412" s="46" t="inlineStr">
        <is>
          <t>L-HB-0411</t>
        </is>
      </c>
      <c r="B412" s="46" t="inlineStr">
        <is>
          <t>R-HB-0411</t>
        </is>
      </c>
      <c r="C412" s="48" t="inlineStr">
        <is>
          <t>항공</t>
        </is>
      </c>
      <c r="D412" s="48" t="inlineStr">
        <is>
          <t>인천공항</t>
        </is>
      </c>
      <c r="E412" s="46" t="inlineStr">
        <is>
          <t>ICN</t>
        </is>
      </c>
      <c r="F412" s="48" t="inlineStr">
        <is>
          <t>과달라하라공항</t>
        </is>
      </c>
      <c r="G412" s="46" t="inlineStr">
        <is>
          <t>GDL</t>
        </is>
      </c>
      <c r="H412" s="47" t="n">
        <v>45271</v>
      </c>
      <c r="I412" s="52" t="n">
        <v>45274</v>
      </c>
      <c r="J412" s="52" t="n">
        <v>45274</v>
      </c>
      <c r="K412" s="53" t="n">
        <v>135</v>
      </c>
    </row>
    <row r="413" ht="15" customHeight="1" s="32">
      <c r="A413" s="46" t="inlineStr">
        <is>
          <t>L-HB-0412</t>
        </is>
      </c>
      <c r="B413" s="46" t="inlineStr">
        <is>
          <t>R-HB-0412</t>
        </is>
      </c>
      <c r="C413" s="48" t="inlineStr">
        <is>
          <t>항공</t>
        </is>
      </c>
      <c r="D413" s="48" t="inlineStr">
        <is>
          <t>인천공항</t>
        </is>
      </c>
      <c r="E413" s="46" t="inlineStr">
        <is>
          <t>ICN</t>
        </is>
      </c>
      <c r="F413" s="48" t="inlineStr">
        <is>
          <t>델리공항</t>
        </is>
      </c>
      <c r="G413" s="46" t="inlineStr">
        <is>
          <t>DEL</t>
        </is>
      </c>
      <c r="H413" s="47" t="n">
        <v>45272</v>
      </c>
      <c r="I413" s="52" t="n">
        <v>45275</v>
      </c>
      <c r="J413" s="52" t="n">
        <v>45275</v>
      </c>
      <c r="K413" s="53" t="n">
        <v>135</v>
      </c>
    </row>
    <row r="414" ht="15" customHeight="1" s="32">
      <c r="A414" s="46" t="inlineStr">
        <is>
          <t>L-HB-0413</t>
        </is>
      </c>
      <c r="B414" s="46" t="inlineStr">
        <is>
          <t>R-HB-0413</t>
        </is>
      </c>
      <c r="C414" s="48" t="inlineStr">
        <is>
          <t>항공</t>
        </is>
      </c>
      <c r="D414" s="48" t="inlineStr">
        <is>
          <t>인천공항</t>
        </is>
      </c>
      <c r="E414" s="46" t="inlineStr">
        <is>
          <t>ICN</t>
        </is>
      </c>
      <c r="F414" s="48" t="inlineStr">
        <is>
          <t>과달라하라공항</t>
        </is>
      </c>
      <c r="G414" s="46" t="inlineStr">
        <is>
          <t>GDL</t>
        </is>
      </c>
      <c r="H414" s="47" t="n">
        <v>45273</v>
      </c>
      <c r="I414" s="52" t="n">
        <v>45277</v>
      </c>
      <c r="J414" s="52" t="n">
        <v>45277</v>
      </c>
      <c r="K414" s="53" t="n">
        <v>135</v>
      </c>
    </row>
    <row r="415" ht="15" customHeight="1" s="32">
      <c r="A415" s="46" t="inlineStr">
        <is>
          <t>L-HB-0414</t>
        </is>
      </c>
      <c r="B415" s="46" t="inlineStr">
        <is>
          <t>R-HB-0414</t>
        </is>
      </c>
      <c r="C415" s="48" t="inlineStr">
        <is>
          <t>항공</t>
        </is>
      </c>
      <c r="D415" s="48" t="inlineStr">
        <is>
          <t>인천공항</t>
        </is>
      </c>
      <c r="E415" s="46" t="inlineStr">
        <is>
          <t>ICN</t>
        </is>
      </c>
      <c r="F415" s="48" t="inlineStr">
        <is>
          <t>프랑크푸르트공항</t>
        </is>
      </c>
      <c r="G415" s="46" t="inlineStr">
        <is>
          <t>FRA</t>
        </is>
      </c>
      <c r="H415" s="47" t="n">
        <v>45273</v>
      </c>
      <c r="I415" s="52" t="n">
        <v>45278</v>
      </c>
      <c r="J415" s="52" t="n">
        <v>45278</v>
      </c>
      <c r="K415" s="53" t="n">
        <v>262.9</v>
      </c>
    </row>
    <row r="416" ht="15" customHeight="1" s="32">
      <c r="A416" s="46" t="inlineStr">
        <is>
          <t>L-HB-0415</t>
        </is>
      </c>
      <c r="B416" s="46" t="inlineStr">
        <is>
          <t>R-HB-0415</t>
        </is>
      </c>
      <c r="C416" s="48" t="inlineStr">
        <is>
          <t>해상</t>
        </is>
      </c>
      <c r="D416" s="48" t="inlineStr">
        <is>
          <t>부산항</t>
        </is>
      </c>
      <c r="E416" s="46" t="inlineStr">
        <is>
          <t>KRPUS</t>
        </is>
      </c>
      <c r="F416" s="48" t="inlineStr">
        <is>
          <t>하이퐁항</t>
        </is>
      </c>
      <c r="G416" s="46" t="inlineStr">
        <is>
          <t>VNHPH</t>
        </is>
      </c>
      <c r="H416" s="47" t="n">
        <v>45275</v>
      </c>
      <c r="I416" s="52" t="n">
        <v>45285</v>
      </c>
      <c r="J416" s="52" t="n">
        <v>45285</v>
      </c>
      <c r="K416" s="53" t="n">
        <v>530</v>
      </c>
    </row>
    <row r="417" ht="15" customHeight="1" s="32">
      <c r="A417" s="46" t="inlineStr">
        <is>
          <t>L-HB-0416</t>
        </is>
      </c>
      <c r="B417" s="46" t="inlineStr">
        <is>
          <t>R-HB-0416</t>
        </is>
      </c>
      <c r="C417" s="48" t="inlineStr">
        <is>
          <t>항공</t>
        </is>
      </c>
      <c r="D417" s="48" t="inlineStr">
        <is>
          <t>인천공항</t>
        </is>
      </c>
      <c r="E417" s="46" t="inlineStr">
        <is>
          <t>ICN</t>
        </is>
      </c>
      <c r="F417" s="48" t="inlineStr">
        <is>
          <t>델리공항</t>
        </is>
      </c>
      <c r="G417" s="46" t="inlineStr">
        <is>
          <t>DEL</t>
        </is>
      </c>
      <c r="H417" s="47" t="n">
        <v>45275</v>
      </c>
      <c r="I417" s="52" t="n">
        <v>45279</v>
      </c>
      <c r="J417" s="52" t="n">
        <v>45279</v>
      </c>
      <c r="K417" s="53" t="n">
        <v>135</v>
      </c>
    </row>
    <row r="418" ht="15" customHeight="1" s="32">
      <c r="A418" s="46" t="inlineStr">
        <is>
          <t>L-HB-0417</t>
        </is>
      </c>
      <c r="B418" s="46" t="inlineStr">
        <is>
          <t>R-HB-0417</t>
        </is>
      </c>
      <c r="C418" s="48" t="inlineStr">
        <is>
          <t>항공</t>
        </is>
      </c>
      <c r="D418" s="48" t="inlineStr">
        <is>
          <t>인천공항</t>
        </is>
      </c>
      <c r="E418" s="46" t="inlineStr">
        <is>
          <t>ICN</t>
        </is>
      </c>
      <c r="F418" s="48" t="inlineStr">
        <is>
          <t>시애틀공항</t>
        </is>
      </c>
      <c r="G418" s="46" t="inlineStr">
        <is>
          <t>SEA</t>
        </is>
      </c>
      <c r="H418" s="47" t="n">
        <v>45276</v>
      </c>
      <c r="I418" s="52" t="n">
        <v>45278</v>
      </c>
      <c r="J418" s="52" t="n">
        <v>45280</v>
      </c>
      <c r="K418" s="53" t="n">
        <v>135</v>
      </c>
    </row>
    <row r="419" ht="15" customHeight="1" s="32">
      <c r="A419" s="46" t="inlineStr">
        <is>
          <t>L-HB-0418</t>
        </is>
      </c>
      <c r="B419" s="46" t="inlineStr">
        <is>
          <t>R-HB-0418</t>
        </is>
      </c>
      <c r="C419" s="48" t="inlineStr">
        <is>
          <t>항공</t>
        </is>
      </c>
      <c r="D419" s="48" t="inlineStr">
        <is>
          <t>인천공항</t>
        </is>
      </c>
      <c r="E419" s="46" t="inlineStr">
        <is>
          <t>ICN</t>
        </is>
      </c>
      <c r="F419" s="48" t="inlineStr">
        <is>
          <t>로스앤젤레스공항</t>
        </is>
      </c>
      <c r="G419" s="46" t="inlineStr">
        <is>
          <t>LAX</t>
        </is>
      </c>
      <c r="H419" s="47" t="n">
        <v>45277</v>
      </c>
      <c r="I419" s="52" t="n">
        <v>45279</v>
      </c>
      <c r="J419" s="52" t="n">
        <v>45279</v>
      </c>
      <c r="K419" s="53" t="n">
        <v>169.74</v>
      </c>
    </row>
    <row r="420" ht="15" customHeight="1" s="32">
      <c r="A420" s="46" t="inlineStr">
        <is>
          <t>L-HB-0419</t>
        </is>
      </c>
      <c r="B420" s="46" t="inlineStr">
        <is>
          <t>R-HB-0419</t>
        </is>
      </c>
      <c r="C420" s="48" t="inlineStr">
        <is>
          <t>항공</t>
        </is>
      </c>
      <c r="D420" s="48" t="inlineStr">
        <is>
          <t>인천공항</t>
        </is>
      </c>
      <c r="E420" s="46" t="inlineStr">
        <is>
          <t>ICN</t>
        </is>
      </c>
      <c r="F420" s="48" t="inlineStr">
        <is>
          <t>프랑크푸르트공항</t>
        </is>
      </c>
      <c r="G420" s="46" t="inlineStr">
        <is>
          <t>FRA</t>
        </is>
      </c>
      <c r="H420" s="47" t="n">
        <v>45279</v>
      </c>
      <c r="I420" s="52" t="n">
        <v>45282</v>
      </c>
      <c r="J420" s="52" t="n">
        <v>45282</v>
      </c>
      <c r="K420" s="53" t="n">
        <v>156.78</v>
      </c>
    </row>
    <row r="421" ht="15" customHeight="1" s="32">
      <c r="A421" s="46" t="inlineStr">
        <is>
          <t>L-HB-0420</t>
        </is>
      </c>
      <c r="B421" s="46" t="inlineStr">
        <is>
          <t>R-HB-0420</t>
        </is>
      </c>
      <c r="C421" s="48" t="inlineStr">
        <is>
          <t>항공</t>
        </is>
      </c>
      <c r="D421" s="48" t="inlineStr">
        <is>
          <t>인천공항</t>
        </is>
      </c>
      <c r="E421" s="46" t="inlineStr">
        <is>
          <t>ICN</t>
        </is>
      </c>
      <c r="F421" s="48" t="inlineStr">
        <is>
          <t>선전공항</t>
        </is>
      </c>
      <c r="G421" s="46" t="inlineStr">
        <is>
          <t>SZX</t>
        </is>
      </c>
      <c r="H421" s="47" t="n">
        <v>45279</v>
      </c>
      <c r="I421" s="52" t="n">
        <v>45280</v>
      </c>
      <c r="J421" s="52" t="n">
        <v>45280</v>
      </c>
      <c r="K421" s="53" t="n">
        <v>135</v>
      </c>
    </row>
    <row r="422" ht="15" customHeight="1" s="32">
      <c r="A422" s="46" t="inlineStr">
        <is>
          <t>L-HB-0421</t>
        </is>
      </c>
      <c r="B422" s="46" t="inlineStr">
        <is>
          <t>R-HB-0421</t>
        </is>
      </c>
      <c r="C422" s="48" t="inlineStr">
        <is>
          <t>항공</t>
        </is>
      </c>
      <c r="D422" s="48" t="inlineStr">
        <is>
          <t>인천공항</t>
        </is>
      </c>
      <c r="E422" s="46" t="inlineStr">
        <is>
          <t>ICN</t>
        </is>
      </c>
      <c r="F422" s="48" t="inlineStr">
        <is>
          <t>토론토공항</t>
        </is>
      </c>
      <c r="G422" s="46" t="inlineStr">
        <is>
          <t>YYZ</t>
        </is>
      </c>
      <c r="H422" s="47" t="n">
        <v>45280</v>
      </c>
      <c r="I422" s="52" t="n">
        <v>45284</v>
      </c>
      <c r="J422" s="52" t="n">
        <v>45286</v>
      </c>
      <c r="K422" s="53" t="n">
        <v>135</v>
      </c>
    </row>
    <row r="423" ht="15" customHeight="1" s="32">
      <c r="A423" s="46" t="inlineStr">
        <is>
          <t>L-HB-0422</t>
        </is>
      </c>
      <c r="B423" s="46" t="inlineStr">
        <is>
          <t>R-HB-0422</t>
        </is>
      </c>
      <c r="C423" s="48" t="inlineStr">
        <is>
          <t>해상</t>
        </is>
      </c>
      <c r="D423" s="48" t="inlineStr">
        <is>
          <t>부산항</t>
        </is>
      </c>
      <c r="E423" s="46" t="inlineStr">
        <is>
          <t>KRPUS</t>
        </is>
      </c>
      <c r="F423" s="48" t="inlineStr">
        <is>
          <t>서커우항</t>
        </is>
      </c>
      <c r="G423" s="46" t="inlineStr">
        <is>
          <t>CNSHK</t>
        </is>
      </c>
      <c r="H423" s="47" t="n">
        <v>45280</v>
      </c>
      <c r="I423" s="52" t="n">
        <v>45288</v>
      </c>
      <c r="J423" s="52" t="n">
        <v>45288</v>
      </c>
      <c r="K423" s="53" t="n">
        <v>530</v>
      </c>
    </row>
    <row r="424" ht="15" customHeight="1" s="32">
      <c r="A424" s="46" t="inlineStr">
        <is>
          <t>L-HB-0423</t>
        </is>
      </c>
      <c r="B424" s="46" t="inlineStr">
        <is>
          <t>R-HB-0423</t>
        </is>
      </c>
      <c r="C424" s="48" t="inlineStr">
        <is>
          <t>항공</t>
        </is>
      </c>
      <c r="D424" s="48" t="inlineStr">
        <is>
          <t>인천공항</t>
        </is>
      </c>
      <c r="E424" s="46" t="inlineStr">
        <is>
          <t>ICN</t>
        </is>
      </c>
      <c r="F424" s="48" t="inlineStr">
        <is>
          <t>시애틀공항</t>
        </is>
      </c>
      <c r="G424" s="46" t="inlineStr">
        <is>
          <t>SEA</t>
        </is>
      </c>
      <c r="H424" s="47" t="n">
        <v>45281</v>
      </c>
      <c r="I424" s="52" t="n">
        <v>45284</v>
      </c>
      <c r="J424" s="52" t="n">
        <v>45284</v>
      </c>
      <c r="K424" s="53" t="n">
        <v>252.58</v>
      </c>
    </row>
    <row r="425" ht="15" customHeight="1" s="32">
      <c r="A425" s="46" t="inlineStr">
        <is>
          <t>L-HB-0424</t>
        </is>
      </c>
      <c r="B425" s="46" t="inlineStr">
        <is>
          <t>R-HB-0424</t>
        </is>
      </c>
      <c r="C425" s="48" t="inlineStr">
        <is>
          <t>항공</t>
        </is>
      </c>
      <c r="D425" s="48" t="inlineStr">
        <is>
          <t>인천공항</t>
        </is>
      </c>
      <c r="E425" s="46" t="inlineStr">
        <is>
          <t>ICN</t>
        </is>
      </c>
      <c r="F425" s="48" t="inlineStr">
        <is>
          <t>토론토공항</t>
        </is>
      </c>
      <c r="G425" s="46" t="inlineStr">
        <is>
          <t>YYZ</t>
        </is>
      </c>
      <c r="H425" s="47" t="n">
        <v>45281</v>
      </c>
      <c r="I425" s="52" t="n">
        <v>45286</v>
      </c>
      <c r="J425" s="52" t="n">
        <v>45286</v>
      </c>
      <c r="K425" s="53" t="n">
        <v>135</v>
      </c>
    </row>
    <row r="426" ht="15" customHeight="1" s="32">
      <c r="A426" s="46" t="inlineStr">
        <is>
          <t>L-HB-0425</t>
        </is>
      </c>
      <c r="B426" s="46" t="inlineStr">
        <is>
          <t>R-HB-0425</t>
        </is>
      </c>
      <c r="C426" s="48" t="inlineStr">
        <is>
          <t>항공</t>
        </is>
      </c>
      <c r="D426" s="48" t="inlineStr">
        <is>
          <t>인천공항</t>
        </is>
      </c>
      <c r="E426" s="46" t="inlineStr">
        <is>
          <t>ICN</t>
        </is>
      </c>
      <c r="F426" s="48" t="inlineStr">
        <is>
          <t>프랑크푸르트공항</t>
        </is>
      </c>
      <c r="G426" s="46" t="inlineStr">
        <is>
          <t>FRA</t>
        </is>
      </c>
      <c r="H426" s="47" t="n">
        <v>45282</v>
      </c>
      <c r="I426" s="52" t="n">
        <v>45287</v>
      </c>
      <c r="J426" s="52" t="n">
        <v>45287</v>
      </c>
      <c r="K426" s="53" t="n">
        <v>509.38</v>
      </c>
    </row>
    <row r="427" ht="15" customHeight="1" s="32">
      <c r="A427" s="46" t="inlineStr">
        <is>
          <t>L-HB-0426</t>
        </is>
      </c>
      <c r="B427" s="46" t="inlineStr">
        <is>
          <t>R-HB-0426</t>
        </is>
      </c>
      <c r="C427" s="48" t="inlineStr">
        <is>
          <t>항공</t>
        </is>
      </c>
      <c r="D427" s="48" t="inlineStr">
        <is>
          <t>인천공항</t>
        </is>
      </c>
      <c r="E427" s="46" t="inlineStr">
        <is>
          <t>ICN</t>
        </is>
      </c>
      <c r="F427" s="48" t="inlineStr">
        <is>
          <t>토론토공항</t>
        </is>
      </c>
      <c r="G427" s="46" t="inlineStr">
        <is>
          <t>YYZ</t>
        </is>
      </c>
      <c r="H427" s="47" t="n">
        <v>45283</v>
      </c>
      <c r="I427" s="52" t="n">
        <v>45286</v>
      </c>
      <c r="J427" s="52" t="n">
        <v>45286</v>
      </c>
      <c r="K427" s="53" t="n">
        <v>135</v>
      </c>
    </row>
    <row r="428" ht="15" customHeight="1" s="32">
      <c r="A428" s="46" t="inlineStr">
        <is>
          <t>L-HB-0427</t>
        </is>
      </c>
      <c r="B428" s="46" t="inlineStr">
        <is>
          <t>R-HB-0427</t>
        </is>
      </c>
      <c r="C428" s="48" t="inlineStr">
        <is>
          <t>항공</t>
        </is>
      </c>
      <c r="D428" s="48" t="inlineStr">
        <is>
          <t>인천공항</t>
        </is>
      </c>
      <c r="E428" s="46" t="inlineStr">
        <is>
          <t>ICN</t>
        </is>
      </c>
      <c r="F428" s="48" t="inlineStr">
        <is>
          <t>로스앤젤레스공항</t>
        </is>
      </c>
      <c r="G428" s="46" t="inlineStr">
        <is>
          <t>LAX</t>
        </is>
      </c>
      <c r="H428" s="47" t="n">
        <v>45285</v>
      </c>
      <c r="I428" s="52" t="n">
        <v>45287</v>
      </c>
      <c r="J428" s="52" t="n">
        <v>45287</v>
      </c>
      <c r="K428" s="53" t="n">
        <v>135</v>
      </c>
    </row>
    <row r="429" ht="15" customHeight="1" s="32">
      <c r="A429" s="46" t="inlineStr">
        <is>
          <t>L-HB-0428</t>
        </is>
      </c>
      <c r="B429" s="46" t="inlineStr">
        <is>
          <t>R-HB-0428</t>
        </is>
      </c>
      <c r="C429" s="48" t="inlineStr">
        <is>
          <t>항공</t>
        </is>
      </c>
      <c r="D429" s="48" t="inlineStr">
        <is>
          <t>인천공항</t>
        </is>
      </c>
      <c r="E429" s="46" t="inlineStr">
        <is>
          <t>ICN</t>
        </is>
      </c>
      <c r="F429" s="48" t="inlineStr">
        <is>
          <t>하노이공항</t>
        </is>
      </c>
      <c r="G429" s="46" t="inlineStr">
        <is>
          <t>HAN</t>
        </is>
      </c>
      <c r="H429" s="47" t="n">
        <v>45285</v>
      </c>
      <c r="I429" s="52" t="n">
        <v>45288</v>
      </c>
      <c r="J429" s="52" t="n">
        <v>45289</v>
      </c>
      <c r="K429" s="53" t="n">
        <v>135</v>
      </c>
    </row>
    <row r="430" ht="15" customHeight="1" s="32">
      <c r="A430" s="46" t="inlineStr">
        <is>
          <t>L-HB-0429</t>
        </is>
      </c>
      <c r="B430" s="46" t="inlineStr">
        <is>
          <t>R-HB-0429</t>
        </is>
      </c>
      <c r="C430" s="48" t="inlineStr">
        <is>
          <t>항공</t>
        </is>
      </c>
      <c r="D430" s="48" t="inlineStr">
        <is>
          <t>인천공항</t>
        </is>
      </c>
      <c r="E430" s="46" t="inlineStr">
        <is>
          <t>ICN</t>
        </is>
      </c>
      <c r="F430" s="48" t="inlineStr">
        <is>
          <t>델리공항</t>
        </is>
      </c>
      <c r="G430" s="46" t="inlineStr">
        <is>
          <t>DEL</t>
        </is>
      </c>
      <c r="H430" s="47" t="n">
        <v>45285</v>
      </c>
      <c r="I430" s="52" t="n">
        <v>45288</v>
      </c>
      <c r="J430" s="52" t="n">
        <v>45287</v>
      </c>
      <c r="K430" s="53" t="n">
        <v>226.18</v>
      </c>
    </row>
    <row r="431" ht="15" customHeight="1" s="32">
      <c r="A431" s="46" t="inlineStr">
        <is>
          <t>L-HB-0430</t>
        </is>
      </c>
      <c r="B431" s="46" t="inlineStr">
        <is>
          <t>R-HB-0430</t>
        </is>
      </c>
      <c r="C431" s="48" t="inlineStr">
        <is>
          <t>항공</t>
        </is>
      </c>
      <c r="D431" s="48" t="inlineStr">
        <is>
          <t>인천공항</t>
        </is>
      </c>
      <c r="E431" s="46" t="inlineStr">
        <is>
          <t>ICN</t>
        </is>
      </c>
      <c r="F431" s="48" t="inlineStr">
        <is>
          <t>과달라하라공항</t>
        </is>
      </c>
      <c r="G431" s="46" t="inlineStr">
        <is>
          <t>GDL</t>
        </is>
      </c>
      <c r="H431" s="47" t="n">
        <v>45286</v>
      </c>
      <c r="I431" s="52" t="n">
        <v>45290</v>
      </c>
      <c r="J431" s="52" t="n">
        <v>45292</v>
      </c>
      <c r="K431" s="53" t="n">
        <v>139.69</v>
      </c>
    </row>
    <row r="432" ht="15" customHeight="1" s="32">
      <c r="A432" s="46" t="inlineStr">
        <is>
          <t>L-HB-0431</t>
        </is>
      </c>
      <c r="B432" s="46" t="inlineStr">
        <is>
          <t>R-HB-0431</t>
        </is>
      </c>
      <c r="C432" s="48" t="inlineStr">
        <is>
          <t>항공</t>
        </is>
      </c>
      <c r="D432" s="48" t="inlineStr">
        <is>
          <t>인천공항</t>
        </is>
      </c>
      <c r="E432" s="46" t="inlineStr">
        <is>
          <t>ICN</t>
        </is>
      </c>
      <c r="F432" s="48" t="inlineStr">
        <is>
          <t>충칭공항</t>
        </is>
      </c>
      <c r="G432" s="46" t="inlineStr">
        <is>
          <t>CKG</t>
        </is>
      </c>
      <c r="H432" s="47" t="n">
        <v>45287</v>
      </c>
      <c r="I432" s="52" t="n">
        <v>45289</v>
      </c>
      <c r="J432" s="52" t="n">
        <v>45289</v>
      </c>
      <c r="K432" s="53" t="n">
        <v>204.75</v>
      </c>
    </row>
    <row r="433" ht="15" customHeight="1" s="32">
      <c r="A433" s="46" t="inlineStr">
        <is>
          <t>L-HB-0432</t>
        </is>
      </c>
      <c r="B433" s="46" t="inlineStr">
        <is>
          <t>R-HB-0432</t>
        </is>
      </c>
      <c r="C433" s="48" t="inlineStr">
        <is>
          <t>해상</t>
        </is>
      </c>
      <c r="D433" s="48" t="inlineStr">
        <is>
          <t>부산항</t>
        </is>
      </c>
      <c r="E433" s="46" t="inlineStr">
        <is>
          <t>KRPUS</t>
        </is>
      </c>
      <c r="F433" s="48" t="inlineStr">
        <is>
          <t>상하이항</t>
        </is>
      </c>
      <c r="G433" s="46" t="inlineStr">
        <is>
          <t>CNSHA</t>
        </is>
      </c>
      <c r="H433" s="47" t="n">
        <v>45287</v>
      </c>
      <c r="I433" s="52" t="n">
        <v>45291</v>
      </c>
      <c r="J433" s="52" t="n">
        <v>45298</v>
      </c>
      <c r="K433" s="53" t="n">
        <v>530</v>
      </c>
    </row>
    <row r="434" ht="15" customHeight="1" s="32">
      <c r="A434" s="46" t="inlineStr">
        <is>
          <t>L-HB-0433</t>
        </is>
      </c>
      <c r="B434" s="46" t="inlineStr">
        <is>
          <t>R-HB-0433</t>
        </is>
      </c>
      <c r="C434" s="48" t="inlineStr">
        <is>
          <t>항공</t>
        </is>
      </c>
      <c r="D434" s="48" t="inlineStr">
        <is>
          <t>인천공항</t>
        </is>
      </c>
      <c r="E434" s="46" t="inlineStr">
        <is>
          <t>ICN</t>
        </is>
      </c>
      <c r="F434" s="48" t="inlineStr">
        <is>
          <t>시애틀공항</t>
        </is>
      </c>
      <c r="G434" s="46" t="inlineStr">
        <is>
          <t>SEA</t>
        </is>
      </c>
      <c r="H434" s="47" t="n">
        <v>45294</v>
      </c>
      <c r="I434" s="52" t="n">
        <v>45296</v>
      </c>
      <c r="J434" s="52" t="n">
        <v>45296</v>
      </c>
      <c r="K434" s="53" t="n">
        <v>170.06</v>
      </c>
    </row>
    <row r="435" ht="15" customHeight="1" s="32">
      <c r="A435" s="46" t="inlineStr">
        <is>
          <t>L-HB-0434</t>
        </is>
      </c>
      <c r="B435" s="46" t="inlineStr">
        <is>
          <t>R-HB-0434</t>
        </is>
      </c>
      <c r="C435" s="48" t="inlineStr">
        <is>
          <t>항공</t>
        </is>
      </c>
      <c r="D435" s="48" t="inlineStr">
        <is>
          <t>인천공항</t>
        </is>
      </c>
      <c r="E435" s="46" t="inlineStr">
        <is>
          <t>ICN</t>
        </is>
      </c>
      <c r="F435" s="48" t="inlineStr">
        <is>
          <t>충칭공항</t>
        </is>
      </c>
      <c r="G435" s="46" t="inlineStr">
        <is>
          <t>CKG</t>
        </is>
      </c>
      <c r="H435" s="47" t="n">
        <v>45294</v>
      </c>
      <c r="I435" s="52" t="n">
        <v>45295</v>
      </c>
      <c r="J435" s="52" t="n">
        <v>45295</v>
      </c>
      <c r="K435" s="53" t="n">
        <v>135</v>
      </c>
    </row>
    <row r="436" ht="15" customHeight="1" s="32">
      <c r="A436" s="46" t="inlineStr">
        <is>
          <t>L-HB-0435</t>
        </is>
      </c>
      <c r="B436" s="46" t="inlineStr">
        <is>
          <t>R-HB-0435</t>
        </is>
      </c>
      <c r="C436" s="48" t="inlineStr">
        <is>
          <t>항공</t>
        </is>
      </c>
      <c r="D436" s="48" t="inlineStr">
        <is>
          <t>인천공항</t>
        </is>
      </c>
      <c r="E436" s="46" t="inlineStr">
        <is>
          <t>ICN</t>
        </is>
      </c>
      <c r="F436" s="48" t="inlineStr">
        <is>
          <t>과달라하라공항</t>
        </is>
      </c>
      <c r="G436" s="46" t="inlineStr">
        <is>
          <t>GDL</t>
        </is>
      </c>
      <c r="H436" s="47" t="n">
        <v>45295</v>
      </c>
      <c r="I436" s="52" t="n">
        <v>45300</v>
      </c>
      <c r="J436" s="52" t="n">
        <v>45303</v>
      </c>
      <c r="K436" s="53" t="n">
        <v>135</v>
      </c>
    </row>
    <row r="437" ht="15" customHeight="1" s="32">
      <c r="A437" s="46" t="inlineStr">
        <is>
          <t>L-HB-0436</t>
        </is>
      </c>
      <c r="B437" s="46" t="inlineStr">
        <is>
          <t>R-HB-0436</t>
        </is>
      </c>
      <c r="C437" s="48" t="inlineStr">
        <is>
          <t>항공</t>
        </is>
      </c>
      <c r="D437" s="48" t="inlineStr">
        <is>
          <t>인천공항</t>
        </is>
      </c>
      <c r="E437" s="46" t="inlineStr">
        <is>
          <t>ICN</t>
        </is>
      </c>
      <c r="F437" s="48" t="inlineStr">
        <is>
          <t>토론토공항</t>
        </is>
      </c>
      <c r="G437" s="46" t="inlineStr">
        <is>
          <t>YYZ</t>
        </is>
      </c>
      <c r="H437" s="47" t="n">
        <v>45295</v>
      </c>
      <c r="I437" s="52" t="n">
        <v>45298</v>
      </c>
      <c r="J437" s="52" t="n">
        <v>45298</v>
      </c>
      <c r="K437" s="53" t="n">
        <v>135</v>
      </c>
    </row>
    <row r="438" ht="15" customHeight="1" s="32">
      <c r="A438" s="46" t="inlineStr">
        <is>
          <t>L-HB-0437</t>
        </is>
      </c>
      <c r="B438" s="46" t="inlineStr">
        <is>
          <t>R-HB-0437</t>
        </is>
      </c>
      <c r="C438" s="48" t="inlineStr">
        <is>
          <t>항공</t>
        </is>
      </c>
      <c r="D438" s="48" t="inlineStr">
        <is>
          <t>인천공항</t>
        </is>
      </c>
      <c r="E438" s="46" t="inlineStr">
        <is>
          <t>ICN</t>
        </is>
      </c>
      <c r="F438" s="48" t="inlineStr">
        <is>
          <t>하노이공항</t>
        </is>
      </c>
      <c r="G438" s="46" t="inlineStr">
        <is>
          <t>HAN</t>
        </is>
      </c>
      <c r="H438" s="47" t="n">
        <v>45295</v>
      </c>
      <c r="I438" s="52" t="n">
        <v>45296</v>
      </c>
      <c r="J438" s="52" t="n">
        <v>45296</v>
      </c>
      <c r="K438" s="53" t="n">
        <v>135</v>
      </c>
    </row>
    <row r="439" ht="15" customHeight="1" s="32">
      <c r="A439" s="46" t="inlineStr">
        <is>
          <t>L-HB-0438</t>
        </is>
      </c>
      <c r="B439" s="46" t="inlineStr">
        <is>
          <t>R-HB-0438</t>
        </is>
      </c>
      <c r="C439" s="48" t="inlineStr">
        <is>
          <t>항공</t>
        </is>
      </c>
      <c r="D439" s="48" t="inlineStr">
        <is>
          <t>인천공항</t>
        </is>
      </c>
      <c r="E439" s="46" t="inlineStr">
        <is>
          <t>ICN</t>
        </is>
      </c>
      <c r="F439" s="48" t="inlineStr">
        <is>
          <t>충칭공항</t>
        </is>
      </c>
      <c r="G439" s="46" t="inlineStr">
        <is>
          <t>CKG</t>
        </is>
      </c>
      <c r="H439" s="47" t="n">
        <v>45296</v>
      </c>
      <c r="I439" s="52" t="n">
        <v>45297</v>
      </c>
      <c r="J439" s="52" t="n">
        <v>45297</v>
      </c>
      <c r="K439" s="53" t="n">
        <v>135</v>
      </c>
    </row>
    <row r="440" ht="15" customHeight="1" s="32">
      <c r="A440" s="46" t="inlineStr">
        <is>
          <t>L-HB-0439</t>
        </is>
      </c>
      <c r="B440" s="46" t="inlineStr">
        <is>
          <t>R-HB-0439</t>
        </is>
      </c>
      <c r="C440" s="48" t="inlineStr">
        <is>
          <t>항공</t>
        </is>
      </c>
      <c r="D440" s="48" t="inlineStr">
        <is>
          <t>인천공항</t>
        </is>
      </c>
      <c r="E440" s="46" t="inlineStr">
        <is>
          <t>ICN</t>
        </is>
      </c>
      <c r="F440" s="48" t="inlineStr">
        <is>
          <t>시애틀공항</t>
        </is>
      </c>
      <c r="G440" s="46" t="inlineStr">
        <is>
          <t>SEA</t>
        </is>
      </c>
      <c r="H440" s="47" t="n">
        <v>45298</v>
      </c>
      <c r="I440" s="52" t="n">
        <v>45300</v>
      </c>
      <c r="J440" s="52" t="n">
        <v>45300</v>
      </c>
      <c r="K440" s="53" t="n">
        <v>135</v>
      </c>
    </row>
    <row r="441" ht="15" customHeight="1" s="32">
      <c r="A441" s="46" t="inlineStr">
        <is>
          <t>L-HB-0440</t>
        </is>
      </c>
      <c r="B441" s="46" t="inlineStr">
        <is>
          <t>R-HB-0440</t>
        </is>
      </c>
      <c r="C441" s="48" t="inlineStr">
        <is>
          <t>항공</t>
        </is>
      </c>
      <c r="D441" s="48" t="inlineStr">
        <is>
          <t>인천공항</t>
        </is>
      </c>
      <c r="E441" s="46" t="inlineStr">
        <is>
          <t>ICN</t>
        </is>
      </c>
      <c r="F441" s="48" t="inlineStr">
        <is>
          <t>프랑크푸르트공항</t>
        </is>
      </c>
      <c r="G441" s="46" t="inlineStr">
        <is>
          <t>FRA</t>
        </is>
      </c>
      <c r="H441" s="47" t="n">
        <v>45298</v>
      </c>
      <c r="I441" s="52" t="n">
        <v>45301</v>
      </c>
      <c r="J441" s="52" t="n">
        <v>45305</v>
      </c>
      <c r="K441" s="53" t="n">
        <v>135</v>
      </c>
    </row>
    <row r="442" ht="15" customHeight="1" s="32">
      <c r="A442" s="46" t="inlineStr">
        <is>
          <t>L-HB-0441</t>
        </is>
      </c>
      <c r="B442" s="46" t="inlineStr">
        <is>
          <t>R-HB-0441</t>
        </is>
      </c>
      <c r="C442" s="48" t="inlineStr">
        <is>
          <t>항공</t>
        </is>
      </c>
      <c r="D442" s="48" t="inlineStr">
        <is>
          <t>인천공항</t>
        </is>
      </c>
      <c r="E442" s="46" t="inlineStr">
        <is>
          <t>ICN</t>
        </is>
      </c>
      <c r="F442" s="48" t="inlineStr">
        <is>
          <t>델리공항</t>
        </is>
      </c>
      <c r="G442" s="46" t="inlineStr">
        <is>
          <t>DEL</t>
        </is>
      </c>
      <c r="H442" s="47" t="n">
        <v>45298</v>
      </c>
      <c r="I442" s="52" t="n">
        <v>45300</v>
      </c>
      <c r="J442" s="52" t="n">
        <v>45300</v>
      </c>
      <c r="K442" s="53" t="n">
        <v>135</v>
      </c>
    </row>
    <row r="443" ht="15" customHeight="1" s="32">
      <c r="A443" s="46" t="inlineStr">
        <is>
          <t>L-HB-0442</t>
        </is>
      </c>
      <c r="B443" s="46" t="inlineStr">
        <is>
          <t>R-HB-0442</t>
        </is>
      </c>
      <c r="C443" s="48" t="inlineStr">
        <is>
          <t>항공</t>
        </is>
      </c>
      <c r="D443" s="48" t="inlineStr">
        <is>
          <t>인천공항</t>
        </is>
      </c>
      <c r="E443" s="46" t="inlineStr">
        <is>
          <t>ICN</t>
        </is>
      </c>
      <c r="F443" s="48" t="inlineStr">
        <is>
          <t>프랑크푸르트공항</t>
        </is>
      </c>
      <c r="G443" s="46" t="inlineStr">
        <is>
          <t>FRA</t>
        </is>
      </c>
      <c r="H443" s="47" t="n">
        <v>45299</v>
      </c>
      <c r="I443" s="52" t="n">
        <v>45304</v>
      </c>
      <c r="J443" s="52" t="n">
        <v>45304</v>
      </c>
      <c r="K443" s="53" t="n">
        <v>281.03</v>
      </c>
    </row>
    <row r="444" ht="15" customHeight="1" s="32">
      <c r="A444" s="46" t="inlineStr">
        <is>
          <t>L-HB-0443</t>
        </is>
      </c>
      <c r="B444" s="46" t="inlineStr">
        <is>
          <t>R-HB-0443</t>
        </is>
      </c>
      <c r="C444" s="48" t="inlineStr">
        <is>
          <t>항공</t>
        </is>
      </c>
      <c r="D444" s="48" t="inlineStr">
        <is>
          <t>인천공항</t>
        </is>
      </c>
      <c r="E444" s="46" t="inlineStr">
        <is>
          <t>ICN</t>
        </is>
      </c>
      <c r="F444" s="48" t="inlineStr">
        <is>
          <t>과달라하라공항</t>
        </is>
      </c>
      <c r="G444" s="46" t="inlineStr">
        <is>
          <t>GDL</t>
        </is>
      </c>
      <c r="H444" s="47" t="n">
        <v>45300</v>
      </c>
      <c r="I444" s="52" t="n">
        <v>45303</v>
      </c>
      <c r="J444" s="52" t="n">
        <v>45303</v>
      </c>
      <c r="K444" s="53" t="n">
        <v>135</v>
      </c>
    </row>
    <row r="445" ht="15" customHeight="1" s="32">
      <c r="A445" s="46" t="inlineStr">
        <is>
          <t>L-HB-0444</t>
        </is>
      </c>
      <c r="B445" s="46" t="inlineStr">
        <is>
          <t>R-HB-0444</t>
        </is>
      </c>
      <c r="C445" s="48" t="inlineStr">
        <is>
          <t>항공</t>
        </is>
      </c>
      <c r="D445" s="48" t="inlineStr">
        <is>
          <t>인천공항</t>
        </is>
      </c>
      <c r="E445" s="46" t="inlineStr">
        <is>
          <t>ICN</t>
        </is>
      </c>
      <c r="F445" s="48" t="inlineStr">
        <is>
          <t>하노이공항</t>
        </is>
      </c>
      <c r="G445" s="46" t="inlineStr">
        <is>
          <t>HAN</t>
        </is>
      </c>
      <c r="H445" s="47" t="n">
        <v>45301</v>
      </c>
      <c r="I445" s="52" t="n">
        <v>45304</v>
      </c>
      <c r="J445" s="52" t="n">
        <v>45306</v>
      </c>
      <c r="K445" s="53" t="n">
        <v>212.58</v>
      </c>
    </row>
    <row r="446" ht="15" customHeight="1" s="32">
      <c r="A446" s="46" t="inlineStr">
        <is>
          <t>L-HB-0445</t>
        </is>
      </c>
      <c r="B446" s="46" t="inlineStr">
        <is>
          <t>R-HB-0445</t>
        </is>
      </c>
      <c r="C446" s="48" t="inlineStr">
        <is>
          <t>항공</t>
        </is>
      </c>
      <c r="D446" s="48" t="inlineStr">
        <is>
          <t>인천공항</t>
        </is>
      </c>
      <c r="E446" s="46" t="inlineStr">
        <is>
          <t>ICN</t>
        </is>
      </c>
      <c r="F446" s="48" t="inlineStr">
        <is>
          <t>과달라하라공항</t>
        </is>
      </c>
      <c r="G446" s="46" t="inlineStr">
        <is>
          <t>GDL</t>
        </is>
      </c>
      <c r="H446" s="47" t="n">
        <v>45302</v>
      </c>
      <c r="I446" s="52" t="n">
        <v>45306</v>
      </c>
      <c r="J446" s="52" t="n">
        <v>45305</v>
      </c>
      <c r="K446" s="53" t="n">
        <v>135</v>
      </c>
    </row>
    <row r="447" ht="15" customHeight="1" s="32">
      <c r="A447" s="46" t="inlineStr">
        <is>
          <t>L-HB-0446</t>
        </is>
      </c>
      <c r="B447" s="46" t="inlineStr">
        <is>
          <t>R-HB-0446</t>
        </is>
      </c>
      <c r="C447" s="48" t="inlineStr">
        <is>
          <t>항공</t>
        </is>
      </c>
      <c r="D447" s="48" t="inlineStr">
        <is>
          <t>인천공항</t>
        </is>
      </c>
      <c r="E447" s="46" t="inlineStr">
        <is>
          <t>ICN</t>
        </is>
      </c>
      <c r="F447" s="48" t="inlineStr">
        <is>
          <t>프랑크푸르트공항</t>
        </is>
      </c>
      <c r="G447" s="46" t="inlineStr">
        <is>
          <t>FRA</t>
        </is>
      </c>
      <c r="H447" s="47" t="n">
        <v>45302</v>
      </c>
      <c r="I447" s="52" t="n">
        <v>45306</v>
      </c>
      <c r="J447" s="52" t="n">
        <v>45306</v>
      </c>
      <c r="K447" s="53" t="n">
        <v>439.55</v>
      </c>
    </row>
    <row r="448" ht="15" customHeight="1" s="32">
      <c r="A448" s="46" t="inlineStr">
        <is>
          <t>L-HB-0447</t>
        </is>
      </c>
      <c r="B448" s="46" t="inlineStr">
        <is>
          <t>R-HB-0447</t>
        </is>
      </c>
      <c r="C448" s="48" t="inlineStr">
        <is>
          <t>항공</t>
        </is>
      </c>
      <c r="D448" s="48" t="inlineStr">
        <is>
          <t>인천공항</t>
        </is>
      </c>
      <c r="E448" s="46" t="inlineStr">
        <is>
          <t>ICN</t>
        </is>
      </c>
      <c r="F448" s="48" t="inlineStr">
        <is>
          <t>하노이공항</t>
        </is>
      </c>
      <c r="G448" s="46" t="inlineStr">
        <is>
          <t>HAN</t>
        </is>
      </c>
      <c r="H448" s="47" t="n">
        <v>45303</v>
      </c>
      <c r="I448" s="52" t="n">
        <v>45306</v>
      </c>
      <c r="J448" s="52" t="n">
        <v>45306</v>
      </c>
      <c r="K448" s="53" t="n">
        <v>135</v>
      </c>
    </row>
    <row r="449" ht="15" customHeight="1" s="32">
      <c r="A449" s="46" t="inlineStr">
        <is>
          <t>L-HB-0448</t>
        </is>
      </c>
      <c r="B449" s="46" t="inlineStr">
        <is>
          <t>R-HB-0448</t>
        </is>
      </c>
      <c r="C449" s="48" t="inlineStr">
        <is>
          <t>항공</t>
        </is>
      </c>
      <c r="D449" s="48" t="inlineStr">
        <is>
          <t>인천공항</t>
        </is>
      </c>
      <c r="E449" s="46" t="inlineStr">
        <is>
          <t>ICN</t>
        </is>
      </c>
      <c r="F449" s="48" t="inlineStr">
        <is>
          <t>토론토공항</t>
        </is>
      </c>
      <c r="G449" s="46" t="inlineStr">
        <is>
          <t>YYZ</t>
        </is>
      </c>
      <c r="H449" s="47" t="n">
        <v>45304</v>
      </c>
      <c r="I449" s="52" t="n">
        <v>45308</v>
      </c>
      <c r="J449" s="52" t="n">
        <v>45308</v>
      </c>
      <c r="K449" s="53" t="n">
        <v>135</v>
      </c>
    </row>
    <row r="450" ht="15" customHeight="1" s="32">
      <c r="A450" s="46" t="inlineStr">
        <is>
          <t>L-HB-0449</t>
        </is>
      </c>
      <c r="B450" s="46" t="inlineStr">
        <is>
          <t>R-HB-0449</t>
        </is>
      </c>
      <c r="C450" s="48" t="inlineStr">
        <is>
          <t>항공</t>
        </is>
      </c>
      <c r="D450" s="48" t="inlineStr">
        <is>
          <t>인천공항</t>
        </is>
      </c>
      <c r="E450" s="46" t="inlineStr">
        <is>
          <t>ICN</t>
        </is>
      </c>
      <c r="F450" s="48" t="inlineStr">
        <is>
          <t>델리공항</t>
        </is>
      </c>
      <c r="G450" s="46" t="inlineStr">
        <is>
          <t>DEL</t>
        </is>
      </c>
      <c r="H450" s="47" t="n">
        <v>45304</v>
      </c>
      <c r="I450" s="52" t="n">
        <v>45308</v>
      </c>
      <c r="J450" s="52" t="n">
        <v>45308</v>
      </c>
      <c r="K450" s="53" t="n">
        <v>165.22</v>
      </c>
    </row>
    <row r="451" ht="15" customHeight="1" s="32">
      <c r="A451" s="46" t="inlineStr">
        <is>
          <t>L-HB-0450</t>
        </is>
      </c>
      <c r="B451" s="46" t="inlineStr">
        <is>
          <t>R-HB-0450</t>
        </is>
      </c>
      <c r="C451" s="48" t="inlineStr">
        <is>
          <t>항공</t>
        </is>
      </c>
      <c r="D451" s="48" t="inlineStr">
        <is>
          <t>인천공항</t>
        </is>
      </c>
      <c r="E451" s="46" t="inlineStr">
        <is>
          <t>ICN</t>
        </is>
      </c>
      <c r="F451" s="48" t="inlineStr">
        <is>
          <t>프랑크푸르트공항</t>
        </is>
      </c>
      <c r="G451" s="46" t="inlineStr">
        <is>
          <t>FRA</t>
        </is>
      </c>
      <c r="H451" s="47" t="n">
        <v>45305</v>
      </c>
      <c r="I451" s="52" t="n">
        <v>45309</v>
      </c>
      <c r="J451" s="52" t="n">
        <v>45309</v>
      </c>
      <c r="K451" s="53" t="n">
        <v>135</v>
      </c>
    </row>
    <row r="452" ht="15" customHeight="1" s="32">
      <c r="A452" s="46" t="inlineStr">
        <is>
          <t>L-HB-0451</t>
        </is>
      </c>
      <c r="B452" s="46" t="inlineStr">
        <is>
          <t>R-HB-0451</t>
        </is>
      </c>
      <c r="C452" s="48" t="inlineStr">
        <is>
          <t>해상</t>
        </is>
      </c>
      <c r="D452" s="48" t="inlineStr">
        <is>
          <t>부산항</t>
        </is>
      </c>
      <c r="E452" s="46" t="inlineStr">
        <is>
          <t>KRPUS</t>
        </is>
      </c>
      <c r="F452" s="48" t="inlineStr">
        <is>
          <t>서커우항</t>
        </is>
      </c>
      <c r="G452" s="46" t="inlineStr">
        <is>
          <t>CNSHK</t>
        </is>
      </c>
      <c r="H452" s="47" t="n">
        <v>45305</v>
      </c>
      <c r="I452" s="52" t="n">
        <v>45311</v>
      </c>
      <c r="J452" s="52" t="n">
        <v>45310</v>
      </c>
      <c r="K452" s="53" t="n">
        <v>530</v>
      </c>
    </row>
    <row r="453" ht="15" customHeight="1" s="32">
      <c r="A453" s="46" t="inlineStr">
        <is>
          <t>L-HB-0452</t>
        </is>
      </c>
      <c r="B453" s="46" t="inlineStr">
        <is>
          <t>R-HB-0452</t>
        </is>
      </c>
      <c r="C453" s="48" t="inlineStr">
        <is>
          <t>항공</t>
        </is>
      </c>
      <c r="D453" s="48" t="inlineStr">
        <is>
          <t>인천공항</t>
        </is>
      </c>
      <c r="E453" s="46" t="inlineStr">
        <is>
          <t>ICN</t>
        </is>
      </c>
      <c r="F453" s="48" t="inlineStr">
        <is>
          <t>델리공항</t>
        </is>
      </c>
      <c r="G453" s="46" t="inlineStr">
        <is>
          <t>DEL</t>
        </is>
      </c>
      <c r="H453" s="47" t="n">
        <v>45306</v>
      </c>
      <c r="I453" s="52" t="n">
        <v>45310</v>
      </c>
      <c r="J453" s="52" t="n">
        <v>45310</v>
      </c>
      <c r="K453" s="53" t="n">
        <v>135</v>
      </c>
    </row>
    <row r="454" ht="15" customHeight="1" s="32">
      <c r="A454" s="46" t="inlineStr">
        <is>
          <t>L-HB-0453</t>
        </is>
      </c>
      <c r="B454" s="46" t="inlineStr">
        <is>
          <t>R-HB-0453</t>
        </is>
      </c>
      <c r="C454" s="48" t="inlineStr">
        <is>
          <t>해상</t>
        </is>
      </c>
      <c r="D454" s="48" t="inlineStr">
        <is>
          <t>부산항</t>
        </is>
      </c>
      <c r="E454" s="46" t="inlineStr">
        <is>
          <t>KRPUS</t>
        </is>
      </c>
      <c r="F454" s="48" t="inlineStr">
        <is>
          <t>상하이항</t>
        </is>
      </c>
      <c r="G454" s="46" t="inlineStr">
        <is>
          <t>CNSHA</t>
        </is>
      </c>
      <c r="H454" s="47" t="n">
        <v>45308</v>
      </c>
      <c r="I454" s="52" t="n">
        <v>45313</v>
      </c>
      <c r="J454" s="52" t="n">
        <v>45313</v>
      </c>
      <c r="K454" s="53" t="n">
        <v>530</v>
      </c>
    </row>
    <row r="455" ht="15" customHeight="1" s="32">
      <c r="A455" s="46" t="inlineStr">
        <is>
          <t>L-HB-0454</t>
        </is>
      </c>
      <c r="B455" s="46" t="inlineStr">
        <is>
          <t>R-HB-0454</t>
        </is>
      </c>
      <c r="C455" s="48" t="inlineStr">
        <is>
          <t>항공</t>
        </is>
      </c>
      <c r="D455" s="48" t="inlineStr">
        <is>
          <t>인천공항</t>
        </is>
      </c>
      <c r="E455" s="46" t="inlineStr">
        <is>
          <t>ICN</t>
        </is>
      </c>
      <c r="F455" s="48" t="inlineStr">
        <is>
          <t>과달라하라공항</t>
        </is>
      </c>
      <c r="G455" s="46" t="inlineStr">
        <is>
          <t>GDL</t>
        </is>
      </c>
      <c r="H455" s="47" t="n">
        <v>45310</v>
      </c>
      <c r="I455" s="52" t="n">
        <v>45314</v>
      </c>
      <c r="J455" s="52" t="n">
        <v>45314</v>
      </c>
      <c r="K455" s="53" t="n">
        <v>148.21</v>
      </c>
    </row>
    <row r="456" ht="15" customHeight="1" s="32">
      <c r="A456" s="46" t="inlineStr">
        <is>
          <t>L-HB-0455</t>
        </is>
      </c>
      <c r="B456" s="46" t="inlineStr">
        <is>
          <t>R-HB-0455</t>
        </is>
      </c>
      <c r="C456" s="48" t="inlineStr">
        <is>
          <t>항공</t>
        </is>
      </c>
      <c r="D456" s="48" t="inlineStr">
        <is>
          <t>인천공항</t>
        </is>
      </c>
      <c r="E456" s="46" t="inlineStr">
        <is>
          <t>ICN</t>
        </is>
      </c>
      <c r="F456" s="48" t="inlineStr">
        <is>
          <t>시애틀공항</t>
        </is>
      </c>
      <c r="G456" s="46" t="inlineStr">
        <is>
          <t>SEA</t>
        </is>
      </c>
      <c r="H456" s="47" t="n">
        <v>45311</v>
      </c>
      <c r="I456" s="52" t="n">
        <v>45314</v>
      </c>
      <c r="J456" s="52" t="n">
        <v>45314</v>
      </c>
      <c r="K456" s="53" t="n">
        <v>249.15</v>
      </c>
    </row>
    <row r="457" ht="15" customHeight="1" s="32">
      <c r="A457" s="46" t="inlineStr">
        <is>
          <t>L-HB-0456</t>
        </is>
      </c>
      <c r="B457" s="46" t="inlineStr">
        <is>
          <t>R-HB-0456</t>
        </is>
      </c>
      <c r="C457" s="48" t="inlineStr">
        <is>
          <t>해상</t>
        </is>
      </c>
      <c r="D457" s="48" t="inlineStr">
        <is>
          <t>부산항</t>
        </is>
      </c>
      <c r="E457" s="46" t="inlineStr">
        <is>
          <t>KRPUS</t>
        </is>
      </c>
      <c r="F457" s="48" t="inlineStr">
        <is>
          <t>하이퐁항</t>
        </is>
      </c>
      <c r="G457" s="46" t="inlineStr">
        <is>
          <t>VNHPH</t>
        </is>
      </c>
      <c r="H457" s="47" t="n">
        <v>45311</v>
      </c>
      <c r="I457" s="52" t="n">
        <v>45322</v>
      </c>
      <c r="J457" s="52" t="n">
        <v>45322</v>
      </c>
      <c r="K457" s="53" t="n">
        <v>530</v>
      </c>
    </row>
    <row r="458" ht="15" customHeight="1" s="32">
      <c r="A458" s="46" t="inlineStr">
        <is>
          <t>L-HB-0457</t>
        </is>
      </c>
      <c r="B458" s="46" t="inlineStr">
        <is>
          <t>R-HB-0457</t>
        </is>
      </c>
      <c r="C458" s="48" t="inlineStr">
        <is>
          <t>항공</t>
        </is>
      </c>
      <c r="D458" s="48" t="inlineStr">
        <is>
          <t>인천공항</t>
        </is>
      </c>
      <c r="E458" s="46" t="inlineStr">
        <is>
          <t>ICN</t>
        </is>
      </c>
      <c r="F458" s="48" t="inlineStr">
        <is>
          <t>선전공항</t>
        </is>
      </c>
      <c r="G458" s="46" t="inlineStr">
        <is>
          <t>SZX</t>
        </is>
      </c>
      <c r="H458" s="47" t="n">
        <v>45311</v>
      </c>
      <c r="I458" s="52" t="n">
        <v>45312</v>
      </c>
      <c r="J458" s="52" t="n">
        <v>45311</v>
      </c>
      <c r="K458" s="53" t="n">
        <v>135</v>
      </c>
    </row>
    <row r="459" ht="15" customHeight="1" s="32">
      <c r="A459" s="46" t="inlineStr">
        <is>
          <t>L-HB-0458</t>
        </is>
      </c>
      <c r="B459" s="46" t="inlineStr">
        <is>
          <t>R-HB-0458</t>
        </is>
      </c>
      <c r="C459" s="48" t="inlineStr">
        <is>
          <t>항공</t>
        </is>
      </c>
      <c r="D459" s="48" t="inlineStr">
        <is>
          <t>인천공항</t>
        </is>
      </c>
      <c r="E459" s="46" t="inlineStr">
        <is>
          <t>ICN</t>
        </is>
      </c>
      <c r="F459" s="48" t="inlineStr">
        <is>
          <t>로스앤젤레스공항</t>
        </is>
      </c>
      <c r="G459" s="46" t="inlineStr">
        <is>
          <t>LAX</t>
        </is>
      </c>
      <c r="H459" s="47" t="n">
        <v>45312</v>
      </c>
      <c r="I459" s="52" t="n">
        <v>45314</v>
      </c>
      <c r="J459" s="52" t="n">
        <v>45314</v>
      </c>
      <c r="K459" s="53" t="n">
        <v>135</v>
      </c>
    </row>
    <row r="460" ht="15" customHeight="1" s="32">
      <c r="A460" s="46" t="inlineStr">
        <is>
          <t>L-HB-0459</t>
        </is>
      </c>
      <c r="B460" s="46" t="inlineStr">
        <is>
          <t>R-HB-0459</t>
        </is>
      </c>
      <c r="C460" s="48" t="inlineStr">
        <is>
          <t>항공</t>
        </is>
      </c>
      <c r="D460" s="48" t="inlineStr">
        <is>
          <t>인천공항</t>
        </is>
      </c>
      <c r="E460" s="46" t="inlineStr">
        <is>
          <t>ICN</t>
        </is>
      </c>
      <c r="F460" s="48" t="inlineStr">
        <is>
          <t>토론토공항</t>
        </is>
      </c>
      <c r="G460" s="46" t="inlineStr">
        <is>
          <t>YYZ</t>
        </is>
      </c>
      <c r="H460" s="47" t="n">
        <v>45312</v>
      </c>
      <c r="I460" s="52" t="n">
        <v>45315</v>
      </c>
      <c r="J460" s="52" t="n">
        <v>45315</v>
      </c>
      <c r="K460" s="53" t="n">
        <v>135</v>
      </c>
    </row>
    <row r="461" ht="15" customHeight="1" s="32">
      <c r="A461" s="46" t="inlineStr">
        <is>
          <t>L-HB-0460</t>
        </is>
      </c>
      <c r="B461" s="46" t="inlineStr">
        <is>
          <t>R-HB-0460</t>
        </is>
      </c>
      <c r="C461" s="48" t="inlineStr">
        <is>
          <t>항공</t>
        </is>
      </c>
      <c r="D461" s="48" t="inlineStr">
        <is>
          <t>인천공항</t>
        </is>
      </c>
      <c r="E461" s="46" t="inlineStr">
        <is>
          <t>ICN</t>
        </is>
      </c>
      <c r="F461" s="48" t="inlineStr">
        <is>
          <t>토론토공항</t>
        </is>
      </c>
      <c r="G461" s="46" t="inlineStr">
        <is>
          <t>YYZ</t>
        </is>
      </c>
      <c r="H461" s="47" t="n">
        <v>45312</v>
      </c>
      <c r="I461" s="52" t="n">
        <v>45315</v>
      </c>
      <c r="J461" s="52" t="n">
        <v>45315</v>
      </c>
      <c r="K461" s="53" t="n">
        <v>135</v>
      </c>
    </row>
    <row r="462" ht="15" customHeight="1" s="32">
      <c r="A462" s="46" t="inlineStr">
        <is>
          <t>L-HB-0461</t>
        </is>
      </c>
      <c r="B462" s="46" t="inlineStr">
        <is>
          <t>R-HB-0461</t>
        </is>
      </c>
      <c r="C462" s="48" t="inlineStr">
        <is>
          <t>항공</t>
        </is>
      </c>
      <c r="D462" s="48" t="inlineStr">
        <is>
          <t>인천공항</t>
        </is>
      </c>
      <c r="E462" s="46" t="inlineStr">
        <is>
          <t>ICN</t>
        </is>
      </c>
      <c r="F462" s="48" t="inlineStr">
        <is>
          <t>선전공항</t>
        </is>
      </c>
      <c r="G462" s="46" t="inlineStr">
        <is>
          <t>SZX</t>
        </is>
      </c>
      <c r="H462" s="47" t="n">
        <v>45313</v>
      </c>
      <c r="I462" s="52" t="n">
        <v>45316</v>
      </c>
      <c r="J462" s="52" t="n">
        <v>45316</v>
      </c>
      <c r="K462" s="53" t="n">
        <v>355.02</v>
      </c>
    </row>
    <row r="463" ht="15" customHeight="1" s="32">
      <c r="A463" s="46" t="inlineStr">
        <is>
          <t>L-HB-0462</t>
        </is>
      </c>
      <c r="B463" s="46" t="inlineStr">
        <is>
          <t>R-HB-0462</t>
        </is>
      </c>
      <c r="C463" s="48" t="inlineStr">
        <is>
          <t>항공</t>
        </is>
      </c>
      <c r="D463" s="48" t="inlineStr">
        <is>
          <t>인천공항</t>
        </is>
      </c>
      <c r="E463" s="46" t="inlineStr">
        <is>
          <t>ICN</t>
        </is>
      </c>
      <c r="F463" s="48" t="inlineStr">
        <is>
          <t>로스앤젤레스공항</t>
        </is>
      </c>
      <c r="G463" s="46" t="inlineStr">
        <is>
          <t>LAX</t>
        </is>
      </c>
      <c r="H463" s="47" t="n">
        <v>45315</v>
      </c>
      <c r="I463" s="52" t="n">
        <v>45317</v>
      </c>
      <c r="J463" s="52" t="n">
        <v>45317</v>
      </c>
      <c r="K463" s="53" t="n">
        <v>135</v>
      </c>
    </row>
    <row r="464" ht="15" customHeight="1" s="32">
      <c r="A464" s="46" t="inlineStr">
        <is>
          <t>L-HB-0463</t>
        </is>
      </c>
      <c r="B464" s="46" t="inlineStr">
        <is>
          <t>R-HB-0463</t>
        </is>
      </c>
      <c r="C464" s="48" t="inlineStr">
        <is>
          <t>항공</t>
        </is>
      </c>
      <c r="D464" s="48" t="inlineStr">
        <is>
          <t>인천공항</t>
        </is>
      </c>
      <c r="E464" s="46" t="inlineStr">
        <is>
          <t>ICN</t>
        </is>
      </c>
      <c r="F464" s="48" t="inlineStr">
        <is>
          <t>시애틀공항</t>
        </is>
      </c>
      <c r="G464" s="46" t="inlineStr">
        <is>
          <t>SEA</t>
        </is>
      </c>
      <c r="H464" s="47" t="n">
        <v>45315</v>
      </c>
      <c r="I464" s="52" t="n">
        <v>45317</v>
      </c>
      <c r="J464" s="52" t="n">
        <v>45316</v>
      </c>
      <c r="K464" s="53" t="n">
        <v>135</v>
      </c>
    </row>
    <row r="465" ht="15" customHeight="1" s="32">
      <c r="A465" s="46" t="inlineStr">
        <is>
          <t>L-HB-0464</t>
        </is>
      </c>
      <c r="B465" s="46" t="inlineStr">
        <is>
          <t>R-HB-0464</t>
        </is>
      </c>
      <c r="C465" s="48" t="inlineStr">
        <is>
          <t>항공</t>
        </is>
      </c>
      <c r="D465" s="48" t="inlineStr">
        <is>
          <t>인천공항</t>
        </is>
      </c>
      <c r="E465" s="46" t="inlineStr">
        <is>
          <t>ICN</t>
        </is>
      </c>
      <c r="F465" s="48" t="inlineStr">
        <is>
          <t>충칭공항</t>
        </is>
      </c>
      <c r="G465" s="46" t="inlineStr">
        <is>
          <t>CKG</t>
        </is>
      </c>
      <c r="H465" s="47" t="n">
        <v>45315</v>
      </c>
      <c r="I465" s="52" t="n">
        <v>45316</v>
      </c>
      <c r="J465" s="52" t="n">
        <v>45316</v>
      </c>
      <c r="K465" s="53" t="n">
        <v>276.32</v>
      </c>
    </row>
    <row r="466" ht="15" customHeight="1" s="32">
      <c r="A466" s="46" t="inlineStr">
        <is>
          <t>L-HB-0465</t>
        </is>
      </c>
      <c r="B466" s="46" t="inlineStr">
        <is>
          <t>R-HB-0465</t>
        </is>
      </c>
      <c r="C466" s="48" t="inlineStr">
        <is>
          <t>항공</t>
        </is>
      </c>
      <c r="D466" s="48" t="inlineStr">
        <is>
          <t>인천공항</t>
        </is>
      </c>
      <c r="E466" s="46" t="inlineStr">
        <is>
          <t>ICN</t>
        </is>
      </c>
      <c r="F466" s="48" t="inlineStr">
        <is>
          <t>로스앤젤레스공항</t>
        </is>
      </c>
      <c r="G466" s="46" t="inlineStr">
        <is>
          <t>LAX</t>
        </is>
      </c>
      <c r="H466" s="47" t="n">
        <v>45317</v>
      </c>
      <c r="I466" s="52" t="n">
        <v>45319</v>
      </c>
      <c r="J466" s="52" t="n">
        <v>45319</v>
      </c>
      <c r="K466" s="53" t="n">
        <v>430.87</v>
      </c>
    </row>
    <row r="467" ht="15" customHeight="1" s="32">
      <c r="A467" s="46" t="inlineStr">
        <is>
          <t>L-HB-0466</t>
        </is>
      </c>
      <c r="B467" s="46" t="inlineStr">
        <is>
          <t>R-HB-0466</t>
        </is>
      </c>
      <c r="C467" s="48" t="inlineStr">
        <is>
          <t>항공</t>
        </is>
      </c>
      <c r="D467" s="48" t="inlineStr">
        <is>
          <t>인천공항</t>
        </is>
      </c>
      <c r="E467" s="46" t="inlineStr">
        <is>
          <t>ICN</t>
        </is>
      </c>
      <c r="F467" s="48" t="inlineStr">
        <is>
          <t>로스앤젤레스공항</t>
        </is>
      </c>
      <c r="G467" s="46" t="inlineStr">
        <is>
          <t>LAX</t>
        </is>
      </c>
      <c r="H467" s="47" t="n">
        <v>45317</v>
      </c>
      <c r="I467" s="52" t="n">
        <v>45319</v>
      </c>
      <c r="J467" s="52" t="n">
        <v>45319</v>
      </c>
      <c r="K467" s="53" t="n">
        <v>295.43</v>
      </c>
    </row>
    <row r="468" ht="15" customHeight="1" s="32">
      <c r="A468" s="46" t="inlineStr">
        <is>
          <t>L-HB-0467</t>
        </is>
      </c>
      <c r="B468" s="46" t="inlineStr">
        <is>
          <t>R-HB-0467</t>
        </is>
      </c>
      <c r="C468" s="48" t="inlineStr">
        <is>
          <t>항공</t>
        </is>
      </c>
      <c r="D468" s="48" t="inlineStr">
        <is>
          <t>인천공항</t>
        </is>
      </c>
      <c r="E468" s="46" t="inlineStr">
        <is>
          <t>ICN</t>
        </is>
      </c>
      <c r="F468" s="48" t="inlineStr">
        <is>
          <t>델리공항</t>
        </is>
      </c>
      <c r="G468" s="46" t="inlineStr">
        <is>
          <t>DEL</t>
        </is>
      </c>
      <c r="H468" s="47" t="n">
        <v>45318</v>
      </c>
      <c r="I468" s="52" t="n">
        <v>45321</v>
      </c>
      <c r="J468" s="52" t="n">
        <v>45321</v>
      </c>
      <c r="K468" s="53" t="n">
        <v>135</v>
      </c>
    </row>
    <row r="469" ht="15" customHeight="1" s="32">
      <c r="A469" s="46" t="inlineStr">
        <is>
          <t>L-HB-0468</t>
        </is>
      </c>
      <c r="B469" s="46" t="inlineStr">
        <is>
          <t>R-HB-0468</t>
        </is>
      </c>
      <c r="C469" s="48" t="inlineStr">
        <is>
          <t>항공</t>
        </is>
      </c>
      <c r="D469" s="48" t="inlineStr">
        <is>
          <t>인천공항</t>
        </is>
      </c>
      <c r="E469" s="46" t="inlineStr">
        <is>
          <t>ICN</t>
        </is>
      </c>
      <c r="F469" s="48" t="inlineStr">
        <is>
          <t>선전공항</t>
        </is>
      </c>
      <c r="G469" s="46" t="inlineStr">
        <is>
          <t>SZX</t>
        </is>
      </c>
      <c r="H469" s="47" t="n">
        <v>45318</v>
      </c>
      <c r="I469" s="52" t="n">
        <v>45319</v>
      </c>
      <c r="J469" s="52" t="n">
        <v>45319</v>
      </c>
      <c r="K469" s="53" t="n">
        <v>135</v>
      </c>
    </row>
    <row r="470" ht="15" customHeight="1" s="32">
      <c r="A470" s="46" t="inlineStr">
        <is>
          <t>L-HB-0469</t>
        </is>
      </c>
      <c r="B470" s="46" t="inlineStr">
        <is>
          <t>R-HB-0469</t>
        </is>
      </c>
      <c r="C470" s="48" t="inlineStr">
        <is>
          <t>항공</t>
        </is>
      </c>
      <c r="D470" s="48" t="inlineStr">
        <is>
          <t>인천공항</t>
        </is>
      </c>
      <c r="E470" s="46" t="inlineStr">
        <is>
          <t>ICN</t>
        </is>
      </c>
      <c r="F470" s="48" t="inlineStr">
        <is>
          <t>로스앤젤레스공항</t>
        </is>
      </c>
      <c r="G470" s="46" t="inlineStr">
        <is>
          <t>LAX</t>
        </is>
      </c>
      <c r="H470" s="47" t="n">
        <v>45326</v>
      </c>
      <c r="I470" s="52" t="n">
        <v>45329</v>
      </c>
      <c r="J470" s="52" t="n">
        <v>45329</v>
      </c>
      <c r="K470" s="53" t="n">
        <v>135</v>
      </c>
    </row>
    <row r="471" ht="15" customHeight="1" s="32">
      <c r="A471" s="46" t="inlineStr">
        <is>
          <t>L-HB-0470</t>
        </is>
      </c>
      <c r="B471" s="46" t="inlineStr">
        <is>
          <t>R-HB-0470</t>
        </is>
      </c>
      <c r="C471" s="48" t="inlineStr">
        <is>
          <t>항공</t>
        </is>
      </c>
      <c r="D471" s="48" t="inlineStr">
        <is>
          <t>인천공항</t>
        </is>
      </c>
      <c r="E471" s="46" t="inlineStr">
        <is>
          <t>ICN</t>
        </is>
      </c>
      <c r="F471" s="48" t="inlineStr">
        <is>
          <t>선전공항</t>
        </is>
      </c>
      <c r="G471" s="46" t="inlineStr">
        <is>
          <t>SZX</t>
        </is>
      </c>
      <c r="H471" s="47" t="n">
        <v>45326</v>
      </c>
      <c r="I471" s="52" t="n">
        <v>45329</v>
      </c>
      <c r="J471" s="52" t="n">
        <v>45329</v>
      </c>
      <c r="K471" s="53" t="n">
        <v>135</v>
      </c>
    </row>
    <row r="472" ht="15" customHeight="1" s="32">
      <c r="A472" s="46" t="inlineStr">
        <is>
          <t>L-HB-0471</t>
        </is>
      </c>
      <c r="B472" s="46" t="inlineStr">
        <is>
          <t>R-HB-0471</t>
        </is>
      </c>
      <c r="C472" s="48" t="inlineStr">
        <is>
          <t>항공</t>
        </is>
      </c>
      <c r="D472" s="48" t="inlineStr">
        <is>
          <t>인천공항</t>
        </is>
      </c>
      <c r="E472" s="46" t="inlineStr">
        <is>
          <t>ICN</t>
        </is>
      </c>
      <c r="F472" s="48" t="inlineStr">
        <is>
          <t>충칭공항</t>
        </is>
      </c>
      <c r="G472" s="46" t="inlineStr">
        <is>
          <t>CKG</t>
        </is>
      </c>
      <c r="H472" s="47" t="n">
        <v>45326</v>
      </c>
      <c r="I472" s="52" t="n">
        <v>45327</v>
      </c>
      <c r="J472" s="52" t="n">
        <v>45327</v>
      </c>
      <c r="K472" s="53" t="n">
        <v>268.48</v>
      </c>
    </row>
    <row r="473" ht="15" customHeight="1" s="32">
      <c r="A473" s="46" t="inlineStr">
        <is>
          <t>L-HB-0472</t>
        </is>
      </c>
      <c r="B473" s="46" t="inlineStr">
        <is>
          <t>R-HB-0472</t>
        </is>
      </c>
      <c r="C473" s="48" t="inlineStr">
        <is>
          <t>항공</t>
        </is>
      </c>
      <c r="D473" s="48" t="inlineStr">
        <is>
          <t>인천공항</t>
        </is>
      </c>
      <c r="E473" s="46" t="inlineStr">
        <is>
          <t>ICN</t>
        </is>
      </c>
      <c r="F473" s="48" t="inlineStr">
        <is>
          <t>로스앤젤레스공항</t>
        </is>
      </c>
      <c r="G473" s="46" t="inlineStr">
        <is>
          <t>LAX</t>
        </is>
      </c>
      <c r="H473" s="47" t="n">
        <v>45328</v>
      </c>
      <c r="I473" s="52" t="n">
        <v>45332</v>
      </c>
      <c r="J473" s="52" t="n">
        <v>45334</v>
      </c>
      <c r="K473" s="53" t="n">
        <v>305.7</v>
      </c>
    </row>
    <row r="474" ht="15" customHeight="1" s="32">
      <c r="A474" s="46" t="inlineStr">
        <is>
          <t>L-HB-0473</t>
        </is>
      </c>
      <c r="B474" s="46" t="inlineStr">
        <is>
          <t>R-HB-0473</t>
        </is>
      </c>
      <c r="C474" s="48" t="inlineStr">
        <is>
          <t>항공</t>
        </is>
      </c>
      <c r="D474" s="48" t="inlineStr">
        <is>
          <t>인천공항</t>
        </is>
      </c>
      <c r="E474" s="46" t="inlineStr">
        <is>
          <t>ICN</t>
        </is>
      </c>
      <c r="F474" s="48" t="inlineStr">
        <is>
          <t>과달라하라공항</t>
        </is>
      </c>
      <c r="G474" s="46" t="inlineStr">
        <is>
          <t>GDL</t>
        </is>
      </c>
      <c r="H474" s="47" t="n">
        <v>45328</v>
      </c>
      <c r="I474" s="52" t="n">
        <v>45332</v>
      </c>
      <c r="J474" s="52" t="n">
        <v>45331</v>
      </c>
      <c r="K474" s="53" t="n">
        <v>135</v>
      </c>
    </row>
    <row r="475" ht="15" customHeight="1" s="32">
      <c r="A475" s="46" t="inlineStr">
        <is>
          <t>L-HB-0474</t>
        </is>
      </c>
      <c r="B475" s="46" t="inlineStr">
        <is>
          <t>R-HB-0474</t>
        </is>
      </c>
      <c r="C475" s="48" t="inlineStr">
        <is>
          <t>항공</t>
        </is>
      </c>
      <c r="D475" s="48" t="inlineStr">
        <is>
          <t>인천공항</t>
        </is>
      </c>
      <c r="E475" s="46" t="inlineStr">
        <is>
          <t>ICN</t>
        </is>
      </c>
      <c r="F475" s="48" t="inlineStr">
        <is>
          <t>하노이공항</t>
        </is>
      </c>
      <c r="G475" s="46" t="inlineStr">
        <is>
          <t>HAN</t>
        </is>
      </c>
      <c r="H475" s="47" t="n">
        <v>45328</v>
      </c>
      <c r="I475" s="52" t="n">
        <v>45329</v>
      </c>
      <c r="J475" s="52" t="n">
        <v>45329</v>
      </c>
      <c r="K475" s="53" t="n">
        <v>207.07</v>
      </c>
    </row>
    <row r="476" ht="15" customHeight="1" s="32">
      <c r="A476" s="46" t="inlineStr">
        <is>
          <t>L-HB-0475</t>
        </is>
      </c>
      <c r="B476" s="46" t="inlineStr">
        <is>
          <t>R-HB-0475</t>
        </is>
      </c>
      <c r="C476" s="48" t="inlineStr">
        <is>
          <t>항공</t>
        </is>
      </c>
      <c r="D476" s="48" t="inlineStr">
        <is>
          <t>인천공항</t>
        </is>
      </c>
      <c r="E476" s="46" t="inlineStr">
        <is>
          <t>ICN</t>
        </is>
      </c>
      <c r="F476" s="48" t="inlineStr">
        <is>
          <t>충칭공항</t>
        </is>
      </c>
      <c r="G476" s="46" t="inlineStr">
        <is>
          <t>CKG</t>
        </is>
      </c>
      <c r="H476" s="47" t="n">
        <v>45328</v>
      </c>
      <c r="I476" s="52" t="n">
        <v>45331</v>
      </c>
      <c r="J476" s="52" t="n">
        <v>45331</v>
      </c>
      <c r="K476" s="53" t="n">
        <v>135</v>
      </c>
    </row>
    <row r="477" ht="15" customHeight="1" s="32">
      <c r="A477" s="46" t="inlineStr">
        <is>
          <t>L-HB-0476</t>
        </is>
      </c>
      <c r="B477" s="46" t="inlineStr">
        <is>
          <t>R-HB-0476</t>
        </is>
      </c>
      <c r="C477" s="48" t="inlineStr">
        <is>
          <t>항공</t>
        </is>
      </c>
      <c r="D477" s="48" t="inlineStr">
        <is>
          <t>인천공항</t>
        </is>
      </c>
      <c r="E477" s="46" t="inlineStr">
        <is>
          <t>ICN</t>
        </is>
      </c>
      <c r="F477" s="48" t="inlineStr">
        <is>
          <t>프랑크푸르트공항</t>
        </is>
      </c>
      <c r="G477" s="46" t="inlineStr">
        <is>
          <t>FRA</t>
        </is>
      </c>
      <c r="H477" s="47" t="n">
        <v>45329</v>
      </c>
      <c r="I477" s="52" t="n">
        <v>45333</v>
      </c>
      <c r="J477" s="52" t="n">
        <v>45335</v>
      </c>
      <c r="K477" s="53" t="n">
        <v>463.43</v>
      </c>
    </row>
    <row r="478" ht="15" customHeight="1" s="32">
      <c r="A478" s="46" t="inlineStr">
        <is>
          <t>L-HB-0477</t>
        </is>
      </c>
      <c r="B478" s="46" t="inlineStr">
        <is>
          <t>R-HB-0477</t>
        </is>
      </c>
      <c r="C478" s="48" t="inlineStr">
        <is>
          <t>항공</t>
        </is>
      </c>
      <c r="D478" s="48" t="inlineStr">
        <is>
          <t>인천공항</t>
        </is>
      </c>
      <c r="E478" s="46" t="inlineStr">
        <is>
          <t>ICN</t>
        </is>
      </c>
      <c r="F478" s="48" t="inlineStr">
        <is>
          <t>하노이공항</t>
        </is>
      </c>
      <c r="G478" s="46" t="inlineStr">
        <is>
          <t>HAN</t>
        </is>
      </c>
      <c r="H478" s="47" t="n">
        <v>45329</v>
      </c>
      <c r="I478" s="52" t="n">
        <v>45332</v>
      </c>
      <c r="J478" s="52" t="n">
        <v>45332</v>
      </c>
      <c r="K478" s="53" t="n">
        <v>135</v>
      </c>
    </row>
    <row r="479" ht="15" customHeight="1" s="32">
      <c r="A479" s="46" t="inlineStr">
        <is>
          <t>L-HB-0478</t>
        </is>
      </c>
      <c r="B479" s="46" t="inlineStr">
        <is>
          <t>R-HB-0478</t>
        </is>
      </c>
      <c r="C479" s="48" t="inlineStr">
        <is>
          <t>항공</t>
        </is>
      </c>
      <c r="D479" s="48" t="inlineStr">
        <is>
          <t>인천공항</t>
        </is>
      </c>
      <c r="E479" s="46" t="inlineStr">
        <is>
          <t>ICN</t>
        </is>
      </c>
      <c r="F479" s="48" t="inlineStr">
        <is>
          <t>로스앤젤레스공항</t>
        </is>
      </c>
      <c r="G479" s="46" t="inlineStr">
        <is>
          <t>LAX</t>
        </is>
      </c>
      <c r="H479" s="47" t="n">
        <v>45331</v>
      </c>
      <c r="I479" s="52" t="n">
        <v>45333</v>
      </c>
      <c r="J479" s="52" t="n">
        <v>45333</v>
      </c>
      <c r="K479" s="53" t="n">
        <v>135</v>
      </c>
    </row>
    <row r="480" ht="15" customHeight="1" s="32">
      <c r="A480" s="46" t="inlineStr">
        <is>
          <t>L-HB-0479</t>
        </is>
      </c>
      <c r="B480" s="46" t="inlineStr">
        <is>
          <t>R-HB-0479</t>
        </is>
      </c>
      <c r="C480" s="48" t="inlineStr">
        <is>
          <t>항공</t>
        </is>
      </c>
      <c r="D480" s="48" t="inlineStr">
        <is>
          <t>인천공항</t>
        </is>
      </c>
      <c r="E480" s="46" t="inlineStr">
        <is>
          <t>ICN</t>
        </is>
      </c>
      <c r="F480" s="48" t="inlineStr">
        <is>
          <t>과달라하라공항</t>
        </is>
      </c>
      <c r="G480" s="46" t="inlineStr">
        <is>
          <t>GDL</t>
        </is>
      </c>
      <c r="H480" s="47" t="n">
        <v>45331</v>
      </c>
      <c r="I480" s="52" t="n">
        <v>45336</v>
      </c>
      <c r="J480" s="52" t="n">
        <v>45336</v>
      </c>
      <c r="K480" s="53" t="n">
        <v>144.69</v>
      </c>
    </row>
    <row r="481" ht="15" customHeight="1" s="32">
      <c r="A481" s="46" t="inlineStr">
        <is>
          <t>L-HB-0480</t>
        </is>
      </c>
      <c r="B481" s="46" t="inlineStr">
        <is>
          <t>R-HB-0480</t>
        </is>
      </c>
      <c r="C481" s="48" t="inlineStr">
        <is>
          <t>항공</t>
        </is>
      </c>
      <c r="D481" s="48" t="inlineStr">
        <is>
          <t>인천공항</t>
        </is>
      </c>
      <c r="E481" s="46" t="inlineStr">
        <is>
          <t>ICN</t>
        </is>
      </c>
      <c r="F481" s="48" t="inlineStr">
        <is>
          <t>충칭공항</t>
        </is>
      </c>
      <c r="G481" s="46" t="inlineStr">
        <is>
          <t>CKG</t>
        </is>
      </c>
      <c r="H481" s="47" t="n">
        <v>45332</v>
      </c>
      <c r="I481" s="52" t="n">
        <v>45334</v>
      </c>
      <c r="J481" s="52" t="n">
        <v>45334</v>
      </c>
      <c r="K481" s="53" t="n">
        <v>135</v>
      </c>
    </row>
    <row r="482" ht="15" customHeight="1" s="32">
      <c r="A482" s="46" t="inlineStr">
        <is>
          <t>L-HB-0481</t>
        </is>
      </c>
      <c r="B482" s="46" t="inlineStr">
        <is>
          <t>R-HB-0481</t>
        </is>
      </c>
      <c r="C482" s="48" t="inlineStr">
        <is>
          <t>항공</t>
        </is>
      </c>
      <c r="D482" s="48" t="inlineStr">
        <is>
          <t>인천공항</t>
        </is>
      </c>
      <c r="E482" s="46" t="inlineStr">
        <is>
          <t>ICN</t>
        </is>
      </c>
      <c r="F482" s="48" t="inlineStr">
        <is>
          <t>시애틀공항</t>
        </is>
      </c>
      <c r="G482" s="46" t="inlineStr">
        <is>
          <t>SEA</t>
        </is>
      </c>
      <c r="H482" s="47" t="n">
        <v>45333</v>
      </c>
      <c r="I482" s="52" t="n">
        <v>45335</v>
      </c>
      <c r="J482" s="52" t="n">
        <v>45335</v>
      </c>
      <c r="K482" s="53" t="n">
        <v>135</v>
      </c>
    </row>
    <row r="483" ht="15" customHeight="1" s="32">
      <c r="A483" s="46" t="inlineStr">
        <is>
          <t>L-HB-0482</t>
        </is>
      </c>
      <c r="B483" s="46" t="inlineStr">
        <is>
          <t>R-HB-0482</t>
        </is>
      </c>
      <c r="C483" s="48" t="inlineStr">
        <is>
          <t>항공</t>
        </is>
      </c>
      <c r="D483" s="48" t="inlineStr">
        <is>
          <t>인천공항</t>
        </is>
      </c>
      <c r="E483" s="46" t="inlineStr">
        <is>
          <t>ICN</t>
        </is>
      </c>
      <c r="F483" s="48" t="inlineStr">
        <is>
          <t>프랑크푸르트공항</t>
        </is>
      </c>
      <c r="G483" s="46" t="inlineStr">
        <is>
          <t>FRA</t>
        </is>
      </c>
      <c r="H483" s="47" t="n">
        <v>45334</v>
      </c>
      <c r="I483" s="52" t="n">
        <v>45338</v>
      </c>
      <c r="J483" s="52" t="n">
        <v>45338</v>
      </c>
      <c r="K483" s="53" t="n">
        <v>135</v>
      </c>
    </row>
    <row r="484" ht="15" customHeight="1" s="32">
      <c r="A484" s="46" t="inlineStr">
        <is>
          <t>L-HB-0483</t>
        </is>
      </c>
      <c r="B484" s="46" t="inlineStr">
        <is>
          <t>R-HB-0483</t>
        </is>
      </c>
      <c r="C484" s="48" t="inlineStr">
        <is>
          <t>항공</t>
        </is>
      </c>
      <c r="D484" s="48" t="inlineStr">
        <is>
          <t>인천공항</t>
        </is>
      </c>
      <c r="E484" s="46" t="inlineStr">
        <is>
          <t>ICN</t>
        </is>
      </c>
      <c r="F484" s="48" t="inlineStr">
        <is>
          <t>로스앤젤레스공항</t>
        </is>
      </c>
      <c r="G484" s="46" t="inlineStr">
        <is>
          <t>LAX</t>
        </is>
      </c>
      <c r="H484" s="47" t="n">
        <v>45335</v>
      </c>
      <c r="I484" s="52" t="n">
        <v>45339</v>
      </c>
      <c r="J484" s="52" t="n">
        <v>45339</v>
      </c>
      <c r="K484" s="53" t="n">
        <v>426.68</v>
      </c>
    </row>
    <row r="485" ht="15" customHeight="1" s="32">
      <c r="A485" s="46" t="inlineStr">
        <is>
          <t>L-HB-0484</t>
        </is>
      </c>
      <c r="B485" s="46" t="inlineStr">
        <is>
          <t>R-HB-0484</t>
        </is>
      </c>
      <c r="C485" s="48" t="inlineStr">
        <is>
          <t>항공</t>
        </is>
      </c>
      <c r="D485" s="48" t="inlineStr">
        <is>
          <t>인천공항</t>
        </is>
      </c>
      <c r="E485" s="46" t="inlineStr">
        <is>
          <t>ICN</t>
        </is>
      </c>
      <c r="F485" s="48" t="inlineStr">
        <is>
          <t>시애틀공항</t>
        </is>
      </c>
      <c r="G485" s="46" t="inlineStr">
        <is>
          <t>SEA</t>
        </is>
      </c>
      <c r="H485" s="47" t="n">
        <v>45335</v>
      </c>
      <c r="I485" s="52" t="n">
        <v>45337</v>
      </c>
      <c r="J485" s="52" t="n">
        <v>45340</v>
      </c>
      <c r="K485" s="53" t="n">
        <v>271.44</v>
      </c>
    </row>
    <row r="486" ht="15" customHeight="1" s="32">
      <c r="A486" s="46" t="inlineStr">
        <is>
          <t>L-HB-0485</t>
        </is>
      </c>
      <c r="B486" s="46" t="inlineStr">
        <is>
          <t>R-HB-0485</t>
        </is>
      </c>
      <c r="C486" s="48" t="inlineStr">
        <is>
          <t>항공</t>
        </is>
      </c>
      <c r="D486" s="48" t="inlineStr">
        <is>
          <t>인천공항</t>
        </is>
      </c>
      <c r="E486" s="46" t="inlineStr">
        <is>
          <t>ICN</t>
        </is>
      </c>
      <c r="F486" s="48" t="inlineStr">
        <is>
          <t>시애틀공항</t>
        </is>
      </c>
      <c r="G486" s="46" t="inlineStr">
        <is>
          <t>SEA</t>
        </is>
      </c>
      <c r="H486" s="47" t="n">
        <v>45335</v>
      </c>
      <c r="I486" s="52" t="n">
        <v>45338</v>
      </c>
      <c r="J486" s="52" t="n">
        <v>45337</v>
      </c>
      <c r="K486" s="53" t="n">
        <v>186.51</v>
      </c>
    </row>
    <row r="487" ht="15" customHeight="1" s="32">
      <c r="A487" s="46" t="inlineStr">
        <is>
          <t>L-HB-0486</t>
        </is>
      </c>
      <c r="B487" s="46" t="inlineStr">
        <is>
          <t>R-HB-0486</t>
        </is>
      </c>
      <c r="C487" s="48" t="inlineStr">
        <is>
          <t>항공</t>
        </is>
      </c>
      <c r="D487" s="48" t="inlineStr">
        <is>
          <t>인천공항</t>
        </is>
      </c>
      <c r="E487" s="46" t="inlineStr">
        <is>
          <t>ICN</t>
        </is>
      </c>
      <c r="F487" s="48" t="inlineStr">
        <is>
          <t>토론토공항</t>
        </is>
      </c>
      <c r="G487" s="46" t="inlineStr">
        <is>
          <t>YYZ</t>
        </is>
      </c>
      <c r="H487" s="47" t="n">
        <v>45335</v>
      </c>
      <c r="I487" s="52" t="n">
        <v>45338</v>
      </c>
      <c r="J487" s="52" t="n">
        <v>45338</v>
      </c>
      <c r="K487" s="53" t="n">
        <v>135</v>
      </c>
    </row>
    <row r="488" ht="15" customHeight="1" s="32">
      <c r="A488" s="46" t="inlineStr">
        <is>
          <t>L-HB-0487</t>
        </is>
      </c>
      <c r="B488" s="46" t="inlineStr">
        <is>
          <t>R-HB-0487</t>
        </is>
      </c>
      <c r="C488" s="48" t="inlineStr">
        <is>
          <t>해상</t>
        </is>
      </c>
      <c r="D488" s="48" t="inlineStr">
        <is>
          <t>부산항</t>
        </is>
      </c>
      <c r="E488" s="46" t="inlineStr">
        <is>
          <t>KRPUS</t>
        </is>
      </c>
      <c r="F488" s="48" t="inlineStr">
        <is>
          <t>상하이항</t>
        </is>
      </c>
      <c r="G488" s="46" t="inlineStr">
        <is>
          <t>CNSHA</t>
        </is>
      </c>
      <c r="H488" s="47" t="n">
        <v>45336</v>
      </c>
      <c r="I488" s="52" t="n">
        <v>45343</v>
      </c>
      <c r="J488" s="52" t="n">
        <v>45342</v>
      </c>
      <c r="K488" s="53" t="n">
        <v>530</v>
      </c>
    </row>
    <row r="489" ht="15" customHeight="1" s="32">
      <c r="A489" s="46" t="inlineStr">
        <is>
          <t>L-HB-0488</t>
        </is>
      </c>
      <c r="B489" s="46" t="inlineStr">
        <is>
          <t>R-HB-0488</t>
        </is>
      </c>
      <c r="C489" s="48" t="inlineStr">
        <is>
          <t>항공</t>
        </is>
      </c>
      <c r="D489" s="48" t="inlineStr">
        <is>
          <t>인천공항</t>
        </is>
      </c>
      <c r="E489" s="46" t="inlineStr">
        <is>
          <t>ICN</t>
        </is>
      </c>
      <c r="F489" s="48" t="inlineStr">
        <is>
          <t>프랑크푸르트공항</t>
        </is>
      </c>
      <c r="G489" s="46" t="inlineStr">
        <is>
          <t>FRA</t>
        </is>
      </c>
      <c r="H489" s="47" t="n">
        <v>45338</v>
      </c>
      <c r="I489" s="52" t="n">
        <v>45343</v>
      </c>
      <c r="J489" s="52" t="n">
        <v>45343</v>
      </c>
      <c r="K489" s="53" t="n">
        <v>244.81</v>
      </c>
    </row>
    <row r="490" ht="15" customHeight="1" s="32">
      <c r="A490" s="46" t="inlineStr">
        <is>
          <t>L-HB-0489</t>
        </is>
      </c>
      <c r="B490" s="46" t="inlineStr">
        <is>
          <t>R-HB-0489</t>
        </is>
      </c>
      <c r="C490" s="48" t="inlineStr">
        <is>
          <t>항공</t>
        </is>
      </c>
      <c r="D490" s="48" t="inlineStr">
        <is>
          <t>인천공항</t>
        </is>
      </c>
      <c r="E490" s="46" t="inlineStr">
        <is>
          <t>ICN</t>
        </is>
      </c>
      <c r="F490" s="48" t="inlineStr">
        <is>
          <t>선전공항</t>
        </is>
      </c>
      <c r="G490" s="46" t="inlineStr">
        <is>
          <t>SZX</t>
        </is>
      </c>
      <c r="H490" s="47" t="n">
        <v>45338</v>
      </c>
      <c r="I490" s="52" t="n">
        <v>45339</v>
      </c>
      <c r="J490" s="52" t="n">
        <v>45343</v>
      </c>
      <c r="K490" s="53" t="n">
        <v>135</v>
      </c>
    </row>
    <row r="491" ht="15" customHeight="1" s="32">
      <c r="A491" s="46" t="inlineStr">
        <is>
          <t>L-HB-0490</t>
        </is>
      </c>
      <c r="B491" s="46" t="inlineStr">
        <is>
          <t>R-HB-0490</t>
        </is>
      </c>
      <c r="C491" s="48" t="inlineStr">
        <is>
          <t>항공</t>
        </is>
      </c>
      <c r="D491" s="48" t="inlineStr">
        <is>
          <t>인천공항</t>
        </is>
      </c>
      <c r="E491" s="46" t="inlineStr">
        <is>
          <t>ICN</t>
        </is>
      </c>
      <c r="F491" s="48" t="inlineStr">
        <is>
          <t>델리공항</t>
        </is>
      </c>
      <c r="G491" s="46" t="inlineStr">
        <is>
          <t>DEL</t>
        </is>
      </c>
      <c r="H491" s="47" t="n">
        <v>45339</v>
      </c>
      <c r="I491" s="52" t="n">
        <v>45341</v>
      </c>
      <c r="J491" s="52" t="n">
        <v>45341</v>
      </c>
      <c r="K491" s="53" t="n">
        <v>189.92</v>
      </c>
    </row>
    <row r="492" ht="15" customHeight="1" s="32">
      <c r="A492" s="46" t="inlineStr">
        <is>
          <t>L-HB-0491</t>
        </is>
      </c>
      <c r="B492" s="46" t="inlineStr">
        <is>
          <t>R-HB-0491</t>
        </is>
      </c>
      <c r="C492" s="48" t="inlineStr">
        <is>
          <t>항공</t>
        </is>
      </c>
      <c r="D492" s="48" t="inlineStr">
        <is>
          <t>인천공항</t>
        </is>
      </c>
      <c r="E492" s="46" t="inlineStr">
        <is>
          <t>ICN</t>
        </is>
      </c>
      <c r="F492" s="48" t="inlineStr">
        <is>
          <t>델리공항</t>
        </is>
      </c>
      <c r="G492" s="46" t="inlineStr">
        <is>
          <t>DEL</t>
        </is>
      </c>
      <c r="H492" s="47" t="n">
        <v>45339</v>
      </c>
      <c r="I492" s="52" t="n">
        <v>45343</v>
      </c>
      <c r="J492" s="52" t="n">
        <v>45343</v>
      </c>
      <c r="K492" s="53" t="n">
        <v>135</v>
      </c>
    </row>
    <row r="493" ht="15" customHeight="1" s="32">
      <c r="A493" s="46" t="inlineStr">
        <is>
          <t>L-HB-0492</t>
        </is>
      </c>
      <c r="B493" s="46" t="inlineStr">
        <is>
          <t>R-HB-0492</t>
        </is>
      </c>
      <c r="C493" s="48" t="inlineStr">
        <is>
          <t>항공</t>
        </is>
      </c>
      <c r="D493" s="48" t="inlineStr">
        <is>
          <t>인천공항</t>
        </is>
      </c>
      <c r="E493" s="46" t="inlineStr">
        <is>
          <t>ICN</t>
        </is>
      </c>
      <c r="F493" s="48" t="inlineStr">
        <is>
          <t>하노이공항</t>
        </is>
      </c>
      <c r="G493" s="46" t="inlineStr">
        <is>
          <t>HAN</t>
        </is>
      </c>
      <c r="H493" s="47" t="n">
        <v>45341</v>
      </c>
      <c r="I493" s="52" t="n">
        <v>45342</v>
      </c>
      <c r="J493" s="52" t="n">
        <v>45342</v>
      </c>
      <c r="K493" s="53" t="n">
        <v>135</v>
      </c>
    </row>
    <row r="494" ht="15" customHeight="1" s="32">
      <c r="A494" s="46" t="inlineStr">
        <is>
          <t>L-HB-0493</t>
        </is>
      </c>
      <c r="B494" s="46" t="inlineStr">
        <is>
          <t>R-HB-0493</t>
        </is>
      </c>
      <c r="C494" s="48" t="inlineStr">
        <is>
          <t>해상</t>
        </is>
      </c>
      <c r="D494" s="48" t="inlineStr">
        <is>
          <t>부산항</t>
        </is>
      </c>
      <c r="E494" s="46" t="inlineStr">
        <is>
          <t>KRPUS</t>
        </is>
      </c>
      <c r="F494" s="48" t="inlineStr">
        <is>
          <t>서커우항</t>
        </is>
      </c>
      <c r="G494" s="46" t="inlineStr">
        <is>
          <t>CNSHK</t>
        </is>
      </c>
      <c r="H494" s="47" t="n">
        <v>45341</v>
      </c>
      <c r="I494" s="52" t="n">
        <v>45348</v>
      </c>
      <c r="J494" s="52" t="n">
        <v>45348</v>
      </c>
      <c r="K494" s="53" t="n">
        <v>530</v>
      </c>
    </row>
    <row r="495" ht="15" customHeight="1" s="32">
      <c r="A495" s="46" t="inlineStr">
        <is>
          <t>L-HB-0494</t>
        </is>
      </c>
      <c r="B495" s="46" t="inlineStr">
        <is>
          <t>R-HB-0494</t>
        </is>
      </c>
      <c r="C495" s="48" t="inlineStr">
        <is>
          <t>항공</t>
        </is>
      </c>
      <c r="D495" s="48" t="inlineStr">
        <is>
          <t>인천공항</t>
        </is>
      </c>
      <c r="E495" s="46" t="inlineStr">
        <is>
          <t>ICN</t>
        </is>
      </c>
      <c r="F495" s="48" t="inlineStr">
        <is>
          <t>토론토공항</t>
        </is>
      </c>
      <c r="G495" s="46" t="inlineStr">
        <is>
          <t>YYZ</t>
        </is>
      </c>
      <c r="H495" s="47" t="n">
        <v>45343</v>
      </c>
      <c r="I495" s="52" t="n">
        <v>45348</v>
      </c>
      <c r="J495" s="52" t="n">
        <v>45348</v>
      </c>
      <c r="K495" s="53" t="n">
        <v>135</v>
      </c>
    </row>
    <row r="496" ht="15" customHeight="1" s="32">
      <c r="A496" s="46" t="inlineStr">
        <is>
          <t>L-HB-0495</t>
        </is>
      </c>
      <c r="B496" s="46" t="inlineStr">
        <is>
          <t>R-HB-0495</t>
        </is>
      </c>
      <c r="C496" s="48" t="inlineStr">
        <is>
          <t>항공</t>
        </is>
      </c>
      <c r="D496" s="48" t="inlineStr">
        <is>
          <t>인천공항</t>
        </is>
      </c>
      <c r="E496" s="46" t="inlineStr">
        <is>
          <t>ICN</t>
        </is>
      </c>
      <c r="F496" s="48" t="inlineStr">
        <is>
          <t>델리공항</t>
        </is>
      </c>
      <c r="G496" s="46" t="inlineStr">
        <is>
          <t>DEL</t>
        </is>
      </c>
      <c r="H496" s="47" t="n">
        <v>45343</v>
      </c>
      <c r="I496" s="52" t="n">
        <v>45345</v>
      </c>
      <c r="J496" s="52" t="n">
        <v>45345</v>
      </c>
      <c r="K496" s="53" t="n">
        <v>135</v>
      </c>
    </row>
    <row r="497" ht="15" customHeight="1" s="32">
      <c r="A497" s="46" t="inlineStr">
        <is>
          <t>L-HB-0496</t>
        </is>
      </c>
      <c r="B497" s="46" t="inlineStr">
        <is>
          <t>R-HB-0496</t>
        </is>
      </c>
      <c r="C497" s="48" t="inlineStr">
        <is>
          <t>항공</t>
        </is>
      </c>
      <c r="D497" s="48" t="inlineStr">
        <is>
          <t>인천공항</t>
        </is>
      </c>
      <c r="E497" s="46" t="inlineStr">
        <is>
          <t>ICN</t>
        </is>
      </c>
      <c r="F497" s="48" t="inlineStr">
        <is>
          <t>선전공항</t>
        </is>
      </c>
      <c r="G497" s="46" t="inlineStr">
        <is>
          <t>SZX</t>
        </is>
      </c>
      <c r="H497" s="47" t="n">
        <v>45343</v>
      </c>
      <c r="I497" s="52" t="n">
        <v>45344</v>
      </c>
      <c r="J497" s="52" t="n">
        <v>45344</v>
      </c>
      <c r="K497" s="53" t="n">
        <v>386.55</v>
      </c>
    </row>
    <row r="498" ht="15" customHeight="1" s="32">
      <c r="A498" s="46" t="inlineStr">
        <is>
          <t>L-HB-0497</t>
        </is>
      </c>
      <c r="B498" s="46" t="inlineStr">
        <is>
          <t>R-HB-0497</t>
        </is>
      </c>
      <c r="C498" s="48" t="inlineStr">
        <is>
          <t>항공</t>
        </is>
      </c>
      <c r="D498" s="48" t="inlineStr">
        <is>
          <t>인천공항</t>
        </is>
      </c>
      <c r="E498" s="46" t="inlineStr">
        <is>
          <t>ICN</t>
        </is>
      </c>
      <c r="F498" s="48" t="inlineStr">
        <is>
          <t>과달라하라공항</t>
        </is>
      </c>
      <c r="G498" s="46" t="inlineStr">
        <is>
          <t>GDL</t>
        </is>
      </c>
      <c r="H498" s="47" t="n">
        <v>45346</v>
      </c>
      <c r="I498" s="52" t="n">
        <v>45350</v>
      </c>
      <c r="J498" s="52" t="n">
        <v>45350</v>
      </c>
      <c r="K498" s="53" t="n">
        <v>135</v>
      </c>
    </row>
    <row r="499" ht="15" customHeight="1" s="32">
      <c r="A499" s="46" t="inlineStr">
        <is>
          <t>L-HB-0498</t>
        </is>
      </c>
      <c r="B499" s="46" t="inlineStr">
        <is>
          <t>R-HB-0498</t>
        </is>
      </c>
      <c r="C499" s="48" t="inlineStr">
        <is>
          <t>항공</t>
        </is>
      </c>
      <c r="D499" s="48" t="inlineStr">
        <is>
          <t>인천공항</t>
        </is>
      </c>
      <c r="E499" s="46" t="inlineStr">
        <is>
          <t>ICN</t>
        </is>
      </c>
      <c r="F499" s="48" t="inlineStr">
        <is>
          <t>시애틀공항</t>
        </is>
      </c>
      <c r="G499" s="46" t="inlineStr">
        <is>
          <t>SEA</t>
        </is>
      </c>
      <c r="H499" s="47" t="n">
        <v>45348</v>
      </c>
      <c r="I499" s="52" t="n">
        <v>45350</v>
      </c>
      <c r="J499" s="52" t="n">
        <v>45350</v>
      </c>
      <c r="K499" s="53" t="n">
        <v>135</v>
      </c>
    </row>
    <row r="500" ht="15" customHeight="1" s="32">
      <c r="A500" s="46" t="inlineStr">
        <is>
          <t>L-HB-0499</t>
        </is>
      </c>
      <c r="B500" s="46" t="inlineStr">
        <is>
          <t>R-HB-0499</t>
        </is>
      </c>
      <c r="C500" s="48" t="inlineStr">
        <is>
          <t>항공</t>
        </is>
      </c>
      <c r="D500" s="48" t="inlineStr">
        <is>
          <t>인천공항</t>
        </is>
      </c>
      <c r="E500" s="46" t="inlineStr">
        <is>
          <t>ICN</t>
        </is>
      </c>
      <c r="F500" s="48" t="inlineStr">
        <is>
          <t>과달라하라공항</t>
        </is>
      </c>
      <c r="G500" s="46" t="inlineStr">
        <is>
          <t>GDL</t>
        </is>
      </c>
      <c r="H500" s="47" t="n">
        <v>45348</v>
      </c>
      <c r="I500" s="52" t="n">
        <v>45352</v>
      </c>
      <c r="J500" s="52" t="n">
        <v>45352</v>
      </c>
      <c r="K500" s="53" t="n">
        <v>135</v>
      </c>
    </row>
    <row r="501" ht="15" customHeight="1" s="32">
      <c r="A501" s="46" t="inlineStr">
        <is>
          <t>L-HB-0500</t>
        </is>
      </c>
      <c r="B501" s="46" t="inlineStr">
        <is>
          <t>R-HB-0500</t>
        </is>
      </c>
      <c r="C501" s="48" t="inlineStr">
        <is>
          <t>항공</t>
        </is>
      </c>
      <c r="D501" s="48" t="inlineStr">
        <is>
          <t>인천공항</t>
        </is>
      </c>
      <c r="E501" s="46" t="inlineStr">
        <is>
          <t>ICN</t>
        </is>
      </c>
      <c r="F501" s="48" t="inlineStr">
        <is>
          <t>토론토공항</t>
        </is>
      </c>
      <c r="G501" s="46" t="inlineStr">
        <is>
          <t>YYZ</t>
        </is>
      </c>
      <c r="H501" s="47" t="n">
        <v>45348</v>
      </c>
      <c r="I501" s="52" t="n">
        <v>45351</v>
      </c>
      <c r="J501" s="52" t="n">
        <v>45350</v>
      </c>
      <c r="K501" s="53" t="n">
        <v>135</v>
      </c>
    </row>
    <row r="502" ht="15" customHeight="1" s="32">
      <c r="A502" s="46" t="inlineStr">
        <is>
          <t>L-HB-0501</t>
        </is>
      </c>
      <c r="B502" s="46" t="inlineStr">
        <is>
          <t>R-HB-0501</t>
        </is>
      </c>
      <c r="C502" s="48" t="inlineStr">
        <is>
          <t>해상</t>
        </is>
      </c>
      <c r="D502" s="48" t="inlineStr">
        <is>
          <t>부산항</t>
        </is>
      </c>
      <c r="E502" s="46" t="inlineStr">
        <is>
          <t>KRPUS</t>
        </is>
      </c>
      <c r="F502" s="48" t="inlineStr">
        <is>
          <t>하이퐁항</t>
        </is>
      </c>
      <c r="G502" s="46" t="inlineStr">
        <is>
          <t>VNHPH</t>
        </is>
      </c>
      <c r="H502" s="47" t="n">
        <v>45348</v>
      </c>
      <c r="I502" s="52" t="n">
        <v>45356</v>
      </c>
      <c r="J502" s="52" t="n">
        <v>45356</v>
      </c>
      <c r="K502" s="53" t="n">
        <v>530</v>
      </c>
    </row>
    <row r="503" ht="15" customHeight="1" s="32">
      <c r="A503" s="46" t="inlineStr">
        <is>
          <t>L-HB-0502</t>
        </is>
      </c>
      <c r="B503" s="46" t="inlineStr">
        <is>
          <t>R-HB-0502</t>
        </is>
      </c>
      <c r="C503" s="48" t="inlineStr">
        <is>
          <t>항공</t>
        </is>
      </c>
      <c r="D503" s="48" t="inlineStr">
        <is>
          <t>인천공항</t>
        </is>
      </c>
      <c r="E503" s="46" t="inlineStr">
        <is>
          <t>ICN</t>
        </is>
      </c>
      <c r="F503" s="48" t="inlineStr">
        <is>
          <t>델리공항</t>
        </is>
      </c>
      <c r="G503" s="46" t="inlineStr">
        <is>
          <t>DEL</t>
        </is>
      </c>
      <c r="H503" s="47" t="n">
        <v>45348</v>
      </c>
      <c r="I503" s="52" t="n">
        <v>45350</v>
      </c>
      <c r="J503" s="52" t="n">
        <v>45350</v>
      </c>
      <c r="K503" s="53" t="n">
        <v>135</v>
      </c>
    </row>
    <row r="504" ht="15" customHeight="1" s="32">
      <c r="A504" s="46" t="inlineStr">
        <is>
          <t>L-HB-0503</t>
        </is>
      </c>
      <c r="B504" s="46" t="inlineStr">
        <is>
          <t>R-HB-0503</t>
        </is>
      </c>
      <c r="C504" s="48" t="inlineStr">
        <is>
          <t>항공</t>
        </is>
      </c>
      <c r="D504" s="48" t="inlineStr">
        <is>
          <t>인천공항</t>
        </is>
      </c>
      <c r="E504" s="46" t="inlineStr">
        <is>
          <t>ICN</t>
        </is>
      </c>
      <c r="F504" s="48" t="inlineStr">
        <is>
          <t>토론토공항</t>
        </is>
      </c>
      <c r="G504" s="46" t="inlineStr">
        <is>
          <t>YYZ</t>
        </is>
      </c>
      <c r="H504" s="47" t="n">
        <v>45349</v>
      </c>
      <c r="I504" s="52" t="n">
        <v>45352</v>
      </c>
      <c r="J504" s="52" t="n">
        <v>45352</v>
      </c>
      <c r="K504" s="53" t="n">
        <v>135</v>
      </c>
    </row>
    <row r="505" ht="15" customHeight="1" s="32">
      <c r="A505" s="46" t="inlineStr">
        <is>
          <t>L-HB-0504</t>
        </is>
      </c>
      <c r="B505" s="46" t="inlineStr">
        <is>
          <t>R-HB-0504</t>
        </is>
      </c>
      <c r="C505" s="48" t="inlineStr">
        <is>
          <t>항공</t>
        </is>
      </c>
      <c r="D505" s="48" t="inlineStr">
        <is>
          <t>인천공항</t>
        </is>
      </c>
      <c r="E505" s="46" t="inlineStr">
        <is>
          <t>ICN</t>
        </is>
      </c>
      <c r="F505" s="48" t="inlineStr">
        <is>
          <t>프랑크푸르트공항</t>
        </is>
      </c>
      <c r="G505" s="46" t="inlineStr">
        <is>
          <t>FRA</t>
        </is>
      </c>
      <c r="H505" s="47" t="n">
        <v>45349</v>
      </c>
      <c r="I505" s="52" t="n">
        <v>45352</v>
      </c>
      <c r="J505" s="52" t="n">
        <v>45352</v>
      </c>
      <c r="K505" s="53" t="n">
        <v>138.51</v>
      </c>
    </row>
    <row r="506" ht="15" customHeight="1" s="32">
      <c r="A506" s="46" t="inlineStr">
        <is>
          <t>L-HB-0505</t>
        </is>
      </c>
      <c r="B506" s="46" t="inlineStr">
        <is>
          <t>R-HB-0505</t>
        </is>
      </c>
      <c r="C506" s="48" t="inlineStr">
        <is>
          <t>항공</t>
        </is>
      </c>
      <c r="D506" s="48" t="inlineStr">
        <is>
          <t>인천공항</t>
        </is>
      </c>
      <c r="E506" s="46" t="inlineStr">
        <is>
          <t>ICN</t>
        </is>
      </c>
      <c r="F506" s="48" t="inlineStr">
        <is>
          <t>델리공항</t>
        </is>
      </c>
      <c r="G506" s="46" t="inlineStr">
        <is>
          <t>DEL</t>
        </is>
      </c>
      <c r="H506" s="47" t="n">
        <v>45354</v>
      </c>
      <c r="I506" s="52" t="n">
        <v>45357</v>
      </c>
      <c r="J506" s="52" t="n">
        <v>45357</v>
      </c>
      <c r="K506" s="53" t="n">
        <v>181.84</v>
      </c>
    </row>
    <row r="507" ht="15" customHeight="1" s="32">
      <c r="A507" s="46" t="inlineStr">
        <is>
          <t>L-HB-0506</t>
        </is>
      </c>
      <c r="B507" s="46" t="inlineStr">
        <is>
          <t>R-HB-0506</t>
        </is>
      </c>
      <c r="C507" s="48" t="inlineStr">
        <is>
          <t>항공</t>
        </is>
      </c>
      <c r="D507" s="48" t="inlineStr">
        <is>
          <t>인천공항</t>
        </is>
      </c>
      <c r="E507" s="46" t="inlineStr">
        <is>
          <t>ICN</t>
        </is>
      </c>
      <c r="F507" s="48" t="inlineStr">
        <is>
          <t>로스앤젤레스공항</t>
        </is>
      </c>
      <c r="G507" s="46" t="inlineStr">
        <is>
          <t>LAX</t>
        </is>
      </c>
      <c r="H507" s="47" t="n">
        <v>45355</v>
      </c>
      <c r="I507" s="52" t="n">
        <v>45357</v>
      </c>
      <c r="J507" s="52" t="n">
        <v>45357</v>
      </c>
      <c r="K507" s="53" t="n">
        <v>517.79</v>
      </c>
    </row>
    <row r="508" ht="15" customHeight="1" s="32">
      <c r="A508" s="46" t="inlineStr">
        <is>
          <t>L-HB-0507</t>
        </is>
      </c>
      <c r="B508" s="46" t="inlineStr">
        <is>
          <t>R-HB-0507</t>
        </is>
      </c>
      <c r="C508" s="48" t="inlineStr">
        <is>
          <t>항공</t>
        </is>
      </c>
      <c r="D508" s="48" t="inlineStr">
        <is>
          <t>인천공항</t>
        </is>
      </c>
      <c r="E508" s="46" t="inlineStr">
        <is>
          <t>ICN</t>
        </is>
      </c>
      <c r="F508" s="48" t="inlineStr">
        <is>
          <t>과달라하라공항</t>
        </is>
      </c>
      <c r="G508" s="46" t="inlineStr">
        <is>
          <t>GDL</t>
        </is>
      </c>
      <c r="H508" s="47" t="n">
        <v>45356</v>
      </c>
      <c r="I508" s="52" t="n">
        <v>45361</v>
      </c>
      <c r="J508" s="52" t="n">
        <v>45361</v>
      </c>
      <c r="K508" s="53" t="n">
        <v>135</v>
      </c>
    </row>
    <row r="509" ht="15" customHeight="1" s="32">
      <c r="A509" s="46" t="inlineStr">
        <is>
          <t>L-HB-0508</t>
        </is>
      </c>
      <c r="B509" s="46" t="inlineStr">
        <is>
          <t>R-HB-0508</t>
        </is>
      </c>
      <c r="C509" s="48" t="inlineStr">
        <is>
          <t>항공</t>
        </is>
      </c>
      <c r="D509" s="48" t="inlineStr">
        <is>
          <t>인천공항</t>
        </is>
      </c>
      <c r="E509" s="46" t="inlineStr">
        <is>
          <t>ICN</t>
        </is>
      </c>
      <c r="F509" s="48" t="inlineStr">
        <is>
          <t>시애틀공항</t>
        </is>
      </c>
      <c r="G509" s="46" t="inlineStr">
        <is>
          <t>SEA</t>
        </is>
      </c>
      <c r="H509" s="47" t="n">
        <v>45357</v>
      </c>
      <c r="I509" s="52" t="n">
        <v>45359</v>
      </c>
      <c r="J509" s="52" t="n">
        <v>45359</v>
      </c>
      <c r="K509" s="53" t="n">
        <v>278.43</v>
      </c>
    </row>
    <row r="510" ht="15" customHeight="1" s="32">
      <c r="A510" s="46" t="inlineStr">
        <is>
          <t>L-HB-0509</t>
        </is>
      </c>
      <c r="B510" s="46" t="inlineStr">
        <is>
          <t>R-HB-0509</t>
        </is>
      </c>
      <c r="C510" s="48" t="inlineStr">
        <is>
          <t>항공</t>
        </is>
      </c>
      <c r="D510" s="48" t="inlineStr">
        <is>
          <t>인천공항</t>
        </is>
      </c>
      <c r="E510" s="46" t="inlineStr">
        <is>
          <t>ICN</t>
        </is>
      </c>
      <c r="F510" s="48" t="inlineStr">
        <is>
          <t>하노이공항</t>
        </is>
      </c>
      <c r="G510" s="46" t="inlineStr">
        <is>
          <t>HAN</t>
        </is>
      </c>
      <c r="H510" s="47" t="n">
        <v>45357</v>
      </c>
      <c r="I510" s="52" t="n">
        <v>45360</v>
      </c>
      <c r="J510" s="52" t="n">
        <v>45359</v>
      </c>
      <c r="K510" s="53" t="n">
        <v>217.02</v>
      </c>
    </row>
    <row r="511" ht="15" customHeight="1" s="32">
      <c r="A511" s="46" t="inlineStr">
        <is>
          <t>L-HB-0510</t>
        </is>
      </c>
      <c r="B511" s="46" t="inlineStr">
        <is>
          <t>R-HB-0510</t>
        </is>
      </c>
      <c r="C511" s="48" t="inlineStr">
        <is>
          <t>항공</t>
        </is>
      </c>
      <c r="D511" s="48" t="inlineStr">
        <is>
          <t>인천공항</t>
        </is>
      </c>
      <c r="E511" s="46" t="inlineStr">
        <is>
          <t>ICN</t>
        </is>
      </c>
      <c r="F511" s="48" t="inlineStr">
        <is>
          <t>충칭공항</t>
        </is>
      </c>
      <c r="G511" s="46" t="inlineStr">
        <is>
          <t>CKG</t>
        </is>
      </c>
      <c r="H511" s="47" t="n">
        <v>45360</v>
      </c>
      <c r="I511" s="52" t="n">
        <v>45363</v>
      </c>
      <c r="J511" s="52" t="n">
        <v>45367</v>
      </c>
      <c r="K511" s="53" t="n">
        <v>135</v>
      </c>
    </row>
    <row r="512" ht="15" customHeight="1" s="32">
      <c r="A512" s="46" t="inlineStr">
        <is>
          <t>L-HB-0511</t>
        </is>
      </c>
      <c r="B512" s="46" t="inlineStr">
        <is>
          <t>R-HB-0511</t>
        </is>
      </c>
      <c r="C512" s="48" t="inlineStr">
        <is>
          <t>항공</t>
        </is>
      </c>
      <c r="D512" s="48" t="inlineStr">
        <is>
          <t>인천공항</t>
        </is>
      </c>
      <c r="E512" s="46" t="inlineStr">
        <is>
          <t>ICN</t>
        </is>
      </c>
      <c r="F512" s="48" t="inlineStr">
        <is>
          <t>프랑크푸르트공항</t>
        </is>
      </c>
      <c r="G512" s="46" t="inlineStr">
        <is>
          <t>FRA</t>
        </is>
      </c>
      <c r="H512" s="47" t="n">
        <v>45361</v>
      </c>
      <c r="I512" s="52" t="n">
        <v>45364</v>
      </c>
      <c r="J512" s="52" t="n">
        <v>45367</v>
      </c>
      <c r="K512" s="53" t="n">
        <v>135</v>
      </c>
    </row>
    <row r="513" ht="15" customHeight="1" s="32">
      <c r="A513" s="46" t="inlineStr">
        <is>
          <t>L-HB-0512</t>
        </is>
      </c>
      <c r="B513" s="46" t="inlineStr">
        <is>
          <t>R-HB-0512</t>
        </is>
      </c>
      <c r="C513" s="48" t="inlineStr">
        <is>
          <t>해상</t>
        </is>
      </c>
      <c r="D513" s="48" t="inlineStr">
        <is>
          <t>부산항</t>
        </is>
      </c>
      <c r="E513" s="46" t="inlineStr">
        <is>
          <t>KRPUS</t>
        </is>
      </c>
      <c r="F513" s="48" t="inlineStr">
        <is>
          <t>상하이항</t>
        </is>
      </c>
      <c r="G513" s="46" t="inlineStr">
        <is>
          <t>CNSHA</t>
        </is>
      </c>
      <c r="H513" s="47" t="n">
        <v>45361</v>
      </c>
      <c r="I513" s="52" t="n">
        <v>45365</v>
      </c>
      <c r="J513" s="52" t="n">
        <v>45369</v>
      </c>
      <c r="K513" s="53" t="n">
        <v>530</v>
      </c>
    </row>
    <row r="514" ht="15" customHeight="1" s="32">
      <c r="A514" s="46" t="inlineStr">
        <is>
          <t>L-HB-0513</t>
        </is>
      </c>
      <c r="B514" s="46" t="inlineStr">
        <is>
          <t>R-HB-0513</t>
        </is>
      </c>
      <c r="C514" s="48" t="inlineStr">
        <is>
          <t>항공</t>
        </is>
      </c>
      <c r="D514" s="48" t="inlineStr">
        <is>
          <t>인천공항</t>
        </is>
      </c>
      <c r="E514" s="46" t="inlineStr">
        <is>
          <t>ICN</t>
        </is>
      </c>
      <c r="F514" s="48" t="inlineStr">
        <is>
          <t>충칭공항</t>
        </is>
      </c>
      <c r="G514" s="46" t="inlineStr">
        <is>
          <t>CKG</t>
        </is>
      </c>
      <c r="H514" s="47" t="n">
        <v>45361</v>
      </c>
      <c r="I514" s="52" t="n">
        <v>45364</v>
      </c>
      <c r="J514" s="52" t="n">
        <v>45365</v>
      </c>
      <c r="K514" s="53" t="n">
        <v>135</v>
      </c>
    </row>
    <row r="515" ht="15" customHeight="1" s="32">
      <c r="A515" s="46" t="inlineStr">
        <is>
          <t>L-HB-0514</t>
        </is>
      </c>
      <c r="B515" s="46" t="inlineStr">
        <is>
          <t>R-HB-0514</t>
        </is>
      </c>
      <c r="C515" s="48" t="inlineStr">
        <is>
          <t>항공</t>
        </is>
      </c>
      <c r="D515" s="48" t="inlineStr">
        <is>
          <t>인천공항</t>
        </is>
      </c>
      <c r="E515" s="46" t="inlineStr">
        <is>
          <t>ICN</t>
        </is>
      </c>
      <c r="F515" s="48" t="inlineStr">
        <is>
          <t>시애틀공항</t>
        </is>
      </c>
      <c r="G515" s="46" t="inlineStr">
        <is>
          <t>SEA</t>
        </is>
      </c>
      <c r="H515" s="47" t="n">
        <v>45362</v>
      </c>
      <c r="I515" s="52" t="n">
        <v>45366</v>
      </c>
      <c r="J515" s="52" t="n">
        <v>45366</v>
      </c>
      <c r="K515" s="53" t="n">
        <v>135</v>
      </c>
    </row>
    <row r="516" ht="15" customHeight="1" s="32">
      <c r="A516" s="46" t="inlineStr">
        <is>
          <t>L-HB-0515</t>
        </is>
      </c>
      <c r="B516" s="46" t="inlineStr">
        <is>
          <t>R-HB-0515</t>
        </is>
      </c>
      <c r="C516" s="48" t="inlineStr">
        <is>
          <t>해상</t>
        </is>
      </c>
      <c r="D516" s="48" t="inlineStr">
        <is>
          <t>부산항</t>
        </is>
      </c>
      <c r="E516" s="46" t="inlineStr">
        <is>
          <t>KRPUS</t>
        </is>
      </c>
      <c r="F516" s="48" t="inlineStr">
        <is>
          <t>서커우항</t>
        </is>
      </c>
      <c r="G516" s="46" t="inlineStr">
        <is>
          <t>CNSHK</t>
        </is>
      </c>
      <c r="H516" s="47" t="n">
        <v>45362</v>
      </c>
      <c r="I516" s="52" t="n">
        <v>45368</v>
      </c>
      <c r="J516" s="52" t="n">
        <v>45377</v>
      </c>
      <c r="K516" s="53" t="n">
        <v>530</v>
      </c>
    </row>
    <row r="517" ht="15" customHeight="1" s="32">
      <c r="A517" s="46" t="inlineStr">
        <is>
          <t>L-HB-0516</t>
        </is>
      </c>
      <c r="B517" s="46" t="inlineStr">
        <is>
          <t>R-HB-0516</t>
        </is>
      </c>
      <c r="C517" s="48" t="inlineStr">
        <is>
          <t>항공</t>
        </is>
      </c>
      <c r="D517" s="48" t="inlineStr">
        <is>
          <t>인천공항</t>
        </is>
      </c>
      <c r="E517" s="46" t="inlineStr">
        <is>
          <t>ICN</t>
        </is>
      </c>
      <c r="F517" s="48" t="inlineStr">
        <is>
          <t>델리공항</t>
        </is>
      </c>
      <c r="G517" s="46" t="inlineStr">
        <is>
          <t>DEL</t>
        </is>
      </c>
      <c r="H517" s="47" t="n">
        <v>45364</v>
      </c>
      <c r="I517" s="52" t="n">
        <v>45367</v>
      </c>
      <c r="J517" s="52" t="n">
        <v>45369</v>
      </c>
      <c r="K517" s="53" t="n">
        <v>135</v>
      </c>
    </row>
    <row r="518" ht="15" customHeight="1" s="32">
      <c r="A518" s="46" t="inlineStr">
        <is>
          <t>L-HB-0517</t>
        </is>
      </c>
      <c r="B518" s="46" t="inlineStr">
        <is>
          <t>R-HB-0517</t>
        </is>
      </c>
      <c r="C518" s="48" t="inlineStr">
        <is>
          <t>항공</t>
        </is>
      </c>
      <c r="D518" s="48" t="inlineStr">
        <is>
          <t>인천공항</t>
        </is>
      </c>
      <c r="E518" s="46" t="inlineStr">
        <is>
          <t>ICN</t>
        </is>
      </c>
      <c r="F518" s="48" t="inlineStr">
        <is>
          <t>충칭공항</t>
        </is>
      </c>
      <c r="G518" s="46" t="inlineStr">
        <is>
          <t>CKG</t>
        </is>
      </c>
      <c r="H518" s="47" t="n">
        <v>45364</v>
      </c>
      <c r="I518" s="52" t="n">
        <v>45366</v>
      </c>
      <c r="J518" s="52" t="n">
        <v>45365</v>
      </c>
      <c r="K518" s="53" t="n">
        <v>256.7</v>
      </c>
    </row>
    <row r="519" ht="15" customHeight="1" s="32">
      <c r="A519" s="46" t="inlineStr">
        <is>
          <t>L-HB-0518</t>
        </is>
      </c>
      <c r="B519" s="46" t="inlineStr">
        <is>
          <t>R-HB-0518</t>
        </is>
      </c>
      <c r="C519" s="48" t="inlineStr">
        <is>
          <t>항공</t>
        </is>
      </c>
      <c r="D519" s="48" t="inlineStr">
        <is>
          <t>인천공항</t>
        </is>
      </c>
      <c r="E519" s="46" t="inlineStr">
        <is>
          <t>ICN</t>
        </is>
      </c>
      <c r="F519" s="48" t="inlineStr">
        <is>
          <t>델리공항</t>
        </is>
      </c>
      <c r="G519" s="46" t="inlineStr">
        <is>
          <t>DEL</t>
        </is>
      </c>
      <c r="H519" s="47" t="n">
        <v>45365</v>
      </c>
      <c r="I519" s="52" t="n">
        <v>45368</v>
      </c>
      <c r="J519" s="52" t="n">
        <v>45368</v>
      </c>
      <c r="K519" s="53" t="n">
        <v>135</v>
      </c>
    </row>
    <row r="520" ht="15" customHeight="1" s="32">
      <c r="A520" s="46" t="inlineStr">
        <is>
          <t>L-HB-0519</t>
        </is>
      </c>
      <c r="B520" s="46" t="inlineStr">
        <is>
          <t>R-HB-0519</t>
        </is>
      </c>
      <c r="C520" s="48" t="inlineStr">
        <is>
          <t>항공</t>
        </is>
      </c>
      <c r="D520" s="48" t="inlineStr">
        <is>
          <t>인천공항</t>
        </is>
      </c>
      <c r="E520" s="46" t="inlineStr">
        <is>
          <t>ICN</t>
        </is>
      </c>
      <c r="F520" s="48" t="inlineStr">
        <is>
          <t>시애틀공항</t>
        </is>
      </c>
      <c r="G520" s="46" t="inlineStr">
        <is>
          <t>SEA</t>
        </is>
      </c>
      <c r="H520" s="47" t="n">
        <v>45366</v>
      </c>
      <c r="I520" s="52" t="n">
        <v>45370</v>
      </c>
      <c r="J520" s="52" t="n">
        <v>45370</v>
      </c>
      <c r="K520" s="53" t="n">
        <v>180.05</v>
      </c>
    </row>
    <row r="521" ht="15" customHeight="1" s="32">
      <c r="A521" s="46" t="inlineStr">
        <is>
          <t>L-HB-0520</t>
        </is>
      </c>
      <c r="B521" s="46" t="inlineStr">
        <is>
          <t>R-HB-0520</t>
        </is>
      </c>
      <c r="C521" s="48" t="inlineStr">
        <is>
          <t>해상</t>
        </is>
      </c>
      <c r="D521" s="48" t="inlineStr">
        <is>
          <t>부산항</t>
        </is>
      </c>
      <c r="E521" s="46" t="inlineStr">
        <is>
          <t>KRPUS</t>
        </is>
      </c>
      <c r="F521" s="48" t="inlineStr">
        <is>
          <t>하이퐁항</t>
        </is>
      </c>
      <c r="G521" s="46" t="inlineStr">
        <is>
          <t>VNHPH</t>
        </is>
      </c>
      <c r="H521" s="47" t="n">
        <v>45366</v>
      </c>
      <c r="I521" s="52" t="n">
        <v>45376</v>
      </c>
      <c r="J521" s="52" t="n">
        <v>45385</v>
      </c>
      <c r="K521" s="53" t="n">
        <v>530</v>
      </c>
    </row>
    <row r="522" ht="15" customHeight="1" s="32">
      <c r="A522" s="46" t="inlineStr">
        <is>
          <t>L-HB-0521</t>
        </is>
      </c>
      <c r="B522" s="46" t="inlineStr">
        <is>
          <t>R-HB-0521</t>
        </is>
      </c>
      <c r="C522" s="48" t="inlineStr">
        <is>
          <t>항공</t>
        </is>
      </c>
      <c r="D522" s="48" t="inlineStr">
        <is>
          <t>인천공항</t>
        </is>
      </c>
      <c r="E522" s="46" t="inlineStr">
        <is>
          <t>ICN</t>
        </is>
      </c>
      <c r="F522" s="48" t="inlineStr">
        <is>
          <t>델리공항</t>
        </is>
      </c>
      <c r="G522" s="46" t="inlineStr">
        <is>
          <t>DEL</t>
        </is>
      </c>
      <c r="H522" s="47" t="n">
        <v>45367</v>
      </c>
      <c r="I522" s="52" t="n">
        <v>45371</v>
      </c>
      <c r="J522" s="52" t="n">
        <v>45371</v>
      </c>
      <c r="K522" s="53" t="n">
        <v>139.23</v>
      </c>
    </row>
    <row r="523" ht="15" customHeight="1" s="32">
      <c r="A523" s="46" t="inlineStr">
        <is>
          <t>L-HB-0522</t>
        </is>
      </c>
      <c r="B523" s="46" t="inlineStr">
        <is>
          <t>R-HB-0522</t>
        </is>
      </c>
      <c r="C523" s="48" t="inlineStr">
        <is>
          <t>항공</t>
        </is>
      </c>
      <c r="D523" s="48" t="inlineStr">
        <is>
          <t>인천공항</t>
        </is>
      </c>
      <c r="E523" s="46" t="inlineStr">
        <is>
          <t>ICN</t>
        </is>
      </c>
      <c r="F523" s="48" t="inlineStr">
        <is>
          <t>토론토공항</t>
        </is>
      </c>
      <c r="G523" s="46" t="inlineStr">
        <is>
          <t>YYZ</t>
        </is>
      </c>
      <c r="H523" s="47" t="n">
        <v>45368</v>
      </c>
      <c r="I523" s="52" t="n">
        <v>45371</v>
      </c>
      <c r="J523" s="52" t="n">
        <v>45371</v>
      </c>
      <c r="K523" s="53" t="n">
        <v>135</v>
      </c>
    </row>
    <row r="524" ht="15" customHeight="1" s="32">
      <c r="A524" s="46" t="inlineStr">
        <is>
          <t>L-HB-0523</t>
        </is>
      </c>
      <c r="B524" s="46" t="inlineStr">
        <is>
          <t>R-HB-0523</t>
        </is>
      </c>
      <c r="C524" s="48" t="inlineStr">
        <is>
          <t>항공</t>
        </is>
      </c>
      <c r="D524" s="48" t="inlineStr">
        <is>
          <t>인천공항</t>
        </is>
      </c>
      <c r="E524" s="46" t="inlineStr">
        <is>
          <t>ICN</t>
        </is>
      </c>
      <c r="F524" s="48" t="inlineStr">
        <is>
          <t>시애틀공항</t>
        </is>
      </c>
      <c r="G524" s="46" t="inlineStr">
        <is>
          <t>SEA</t>
        </is>
      </c>
      <c r="H524" s="47" t="n">
        <v>45370</v>
      </c>
      <c r="I524" s="52" t="n">
        <v>45372</v>
      </c>
      <c r="J524" s="52" t="n">
        <v>45372</v>
      </c>
      <c r="K524" s="53" t="n">
        <v>135</v>
      </c>
    </row>
    <row r="525" ht="15" customHeight="1" s="32">
      <c r="A525" s="46" t="inlineStr">
        <is>
          <t>L-HB-0524</t>
        </is>
      </c>
      <c r="B525" s="46" t="inlineStr">
        <is>
          <t>R-HB-0524</t>
        </is>
      </c>
      <c r="C525" s="48" t="inlineStr">
        <is>
          <t>항공</t>
        </is>
      </c>
      <c r="D525" s="48" t="inlineStr">
        <is>
          <t>인천공항</t>
        </is>
      </c>
      <c r="E525" s="46" t="inlineStr">
        <is>
          <t>ICN</t>
        </is>
      </c>
      <c r="F525" s="48" t="inlineStr">
        <is>
          <t>선전공항</t>
        </is>
      </c>
      <c r="G525" s="46" t="inlineStr">
        <is>
          <t>SZX</t>
        </is>
      </c>
      <c r="H525" s="47" t="n">
        <v>45370</v>
      </c>
      <c r="I525" s="52" t="n">
        <v>45371</v>
      </c>
      <c r="J525" s="52" t="n">
        <v>45372</v>
      </c>
      <c r="K525" s="53" t="n">
        <v>135</v>
      </c>
    </row>
    <row r="526" ht="15" customHeight="1" s="32">
      <c r="A526" s="46" t="inlineStr">
        <is>
          <t>L-HB-0525</t>
        </is>
      </c>
      <c r="B526" s="46" t="inlineStr">
        <is>
          <t>R-HB-0525</t>
        </is>
      </c>
      <c r="C526" s="48" t="inlineStr">
        <is>
          <t>항공</t>
        </is>
      </c>
      <c r="D526" s="48" t="inlineStr">
        <is>
          <t>인천공항</t>
        </is>
      </c>
      <c r="E526" s="46" t="inlineStr">
        <is>
          <t>ICN</t>
        </is>
      </c>
      <c r="F526" s="48" t="inlineStr">
        <is>
          <t>과달라하라공항</t>
        </is>
      </c>
      <c r="G526" s="46" t="inlineStr">
        <is>
          <t>GDL</t>
        </is>
      </c>
      <c r="H526" s="47" t="n">
        <v>45371</v>
      </c>
      <c r="I526" s="52" t="n">
        <v>45375</v>
      </c>
      <c r="J526" s="52" t="n">
        <v>45375</v>
      </c>
      <c r="K526" s="53" t="n">
        <v>135</v>
      </c>
    </row>
    <row r="527" ht="15" customHeight="1" s="32">
      <c r="A527" s="46" t="inlineStr">
        <is>
          <t>L-HB-0526</t>
        </is>
      </c>
      <c r="B527" s="46" t="inlineStr">
        <is>
          <t>R-HB-0526</t>
        </is>
      </c>
      <c r="C527" s="48" t="inlineStr">
        <is>
          <t>항공</t>
        </is>
      </c>
      <c r="D527" s="48" t="inlineStr">
        <is>
          <t>인천공항</t>
        </is>
      </c>
      <c r="E527" s="46" t="inlineStr">
        <is>
          <t>ICN</t>
        </is>
      </c>
      <c r="F527" s="48" t="inlineStr">
        <is>
          <t>하노이공항</t>
        </is>
      </c>
      <c r="G527" s="46" t="inlineStr">
        <is>
          <t>HAN</t>
        </is>
      </c>
      <c r="H527" s="47" t="n">
        <v>45371</v>
      </c>
      <c r="I527" s="52" t="n">
        <v>45374</v>
      </c>
      <c r="J527" s="52" t="n">
        <v>45378</v>
      </c>
      <c r="K527" s="53" t="n">
        <v>135</v>
      </c>
    </row>
    <row r="528" ht="15" customHeight="1" s="32">
      <c r="A528" s="46" t="inlineStr">
        <is>
          <t>L-HB-0527</t>
        </is>
      </c>
      <c r="B528" s="46" t="inlineStr">
        <is>
          <t>R-HB-0527</t>
        </is>
      </c>
      <c r="C528" s="48" t="inlineStr">
        <is>
          <t>항공</t>
        </is>
      </c>
      <c r="D528" s="48" t="inlineStr">
        <is>
          <t>인천공항</t>
        </is>
      </c>
      <c r="E528" s="46" t="inlineStr">
        <is>
          <t>ICN</t>
        </is>
      </c>
      <c r="F528" s="48" t="inlineStr">
        <is>
          <t>과달라하라공항</t>
        </is>
      </c>
      <c r="G528" s="46" t="inlineStr">
        <is>
          <t>GDL</t>
        </is>
      </c>
      <c r="H528" s="47" t="n">
        <v>45372</v>
      </c>
      <c r="I528" s="52" t="n">
        <v>45377</v>
      </c>
      <c r="J528" s="52" t="n">
        <v>45377</v>
      </c>
      <c r="K528" s="53" t="n">
        <v>135</v>
      </c>
    </row>
    <row r="529" ht="15" customHeight="1" s="32">
      <c r="A529" s="46" t="inlineStr">
        <is>
          <t>L-HB-0528</t>
        </is>
      </c>
      <c r="B529" s="46" t="inlineStr">
        <is>
          <t>R-HB-0528</t>
        </is>
      </c>
      <c r="C529" s="48" t="inlineStr">
        <is>
          <t>항공</t>
        </is>
      </c>
      <c r="D529" s="48" t="inlineStr">
        <is>
          <t>인천공항</t>
        </is>
      </c>
      <c r="E529" s="46" t="inlineStr">
        <is>
          <t>ICN</t>
        </is>
      </c>
      <c r="F529" s="48" t="inlineStr">
        <is>
          <t>토론토공항</t>
        </is>
      </c>
      <c r="G529" s="46" t="inlineStr">
        <is>
          <t>YYZ</t>
        </is>
      </c>
      <c r="H529" s="47" t="n">
        <v>45372</v>
      </c>
      <c r="I529" s="52" t="n">
        <v>45375</v>
      </c>
      <c r="J529" s="52" t="n">
        <v>45375</v>
      </c>
      <c r="K529" s="53" t="n">
        <v>135</v>
      </c>
    </row>
    <row r="530" ht="15" customHeight="1" s="32">
      <c r="A530" s="46" t="inlineStr">
        <is>
          <t>L-HB-0529</t>
        </is>
      </c>
      <c r="B530" s="46" t="inlineStr">
        <is>
          <t>R-HB-0529</t>
        </is>
      </c>
      <c r="C530" s="48" t="inlineStr">
        <is>
          <t>항공</t>
        </is>
      </c>
      <c r="D530" s="48" t="inlineStr">
        <is>
          <t>인천공항</t>
        </is>
      </c>
      <c r="E530" s="46" t="inlineStr">
        <is>
          <t>ICN</t>
        </is>
      </c>
      <c r="F530" s="48" t="inlineStr">
        <is>
          <t>프랑크푸르트공항</t>
        </is>
      </c>
      <c r="G530" s="46" t="inlineStr">
        <is>
          <t>FRA</t>
        </is>
      </c>
      <c r="H530" s="47" t="n">
        <v>45372</v>
      </c>
      <c r="I530" s="52" t="n">
        <v>45375</v>
      </c>
      <c r="J530" s="52" t="n">
        <v>45375</v>
      </c>
      <c r="K530" s="53" t="n">
        <v>271.26</v>
      </c>
    </row>
    <row r="531" ht="15" customHeight="1" s="32">
      <c r="A531" s="46" t="inlineStr">
        <is>
          <t>L-HB-0530</t>
        </is>
      </c>
      <c r="B531" s="46" t="inlineStr">
        <is>
          <t>R-HB-0530</t>
        </is>
      </c>
      <c r="C531" s="48" t="inlineStr">
        <is>
          <t>항공</t>
        </is>
      </c>
      <c r="D531" s="48" t="inlineStr">
        <is>
          <t>인천공항</t>
        </is>
      </c>
      <c r="E531" s="46" t="inlineStr">
        <is>
          <t>ICN</t>
        </is>
      </c>
      <c r="F531" s="48" t="inlineStr">
        <is>
          <t>선전공항</t>
        </is>
      </c>
      <c r="G531" s="46" t="inlineStr">
        <is>
          <t>SZX</t>
        </is>
      </c>
      <c r="H531" s="47" t="n">
        <v>45372</v>
      </c>
      <c r="I531" s="52" t="n">
        <v>45374</v>
      </c>
      <c r="J531" s="52" t="n">
        <v>45374</v>
      </c>
      <c r="K531" s="53" t="n">
        <v>395.09</v>
      </c>
    </row>
    <row r="532" ht="15" customHeight="1" s="32">
      <c r="A532" s="46" t="inlineStr">
        <is>
          <t>L-HB-0531</t>
        </is>
      </c>
      <c r="B532" s="46" t="inlineStr">
        <is>
          <t>R-HB-0531</t>
        </is>
      </c>
      <c r="C532" s="48" t="inlineStr">
        <is>
          <t>항공</t>
        </is>
      </c>
      <c r="D532" s="48" t="inlineStr">
        <is>
          <t>인천공항</t>
        </is>
      </c>
      <c r="E532" s="46" t="inlineStr">
        <is>
          <t>ICN</t>
        </is>
      </c>
      <c r="F532" s="48" t="inlineStr">
        <is>
          <t>프랑크푸르트공항</t>
        </is>
      </c>
      <c r="G532" s="46" t="inlineStr">
        <is>
          <t>FRA</t>
        </is>
      </c>
      <c r="H532" s="47" t="n">
        <v>45373</v>
      </c>
      <c r="I532" s="52" t="n">
        <v>45376</v>
      </c>
      <c r="J532" s="52" t="n">
        <v>45377</v>
      </c>
      <c r="K532" s="53" t="n">
        <v>135</v>
      </c>
    </row>
    <row r="533" ht="15" customHeight="1" s="32">
      <c r="A533" s="46" t="inlineStr">
        <is>
          <t>L-HB-0532</t>
        </is>
      </c>
      <c r="B533" s="46" t="inlineStr">
        <is>
          <t>R-HB-0532</t>
        </is>
      </c>
      <c r="C533" s="48" t="inlineStr">
        <is>
          <t>항공</t>
        </is>
      </c>
      <c r="D533" s="48" t="inlineStr">
        <is>
          <t>인천공항</t>
        </is>
      </c>
      <c r="E533" s="46" t="inlineStr">
        <is>
          <t>ICN</t>
        </is>
      </c>
      <c r="F533" s="48" t="inlineStr">
        <is>
          <t>하노이공항</t>
        </is>
      </c>
      <c r="G533" s="46" t="inlineStr">
        <is>
          <t>HAN</t>
        </is>
      </c>
      <c r="H533" s="47" t="n">
        <v>45373</v>
      </c>
      <c r="I533" s="52" t="n">
        <v>45374</v>
      </c>
      <c r="J533" s="52" t="n">
        <v>45374</v>
      </c>
      <c r="K533" s="53" t="n">
        <v>135</v>
      </c>
    </row>
    <row r="534" ht="15" customHeight="1" s="32">
      <c r="A534" s="46" t="inlineStr">
        <is>
          <t>L-HB-0533</t>
        </is>
      </c>
      <c r="B534" s="46" t="inlineStr">
        <is>
          <t>R-HB-0533</t>
        </is>
      </c>
      <c r="C534" s="48" t="inlineStr">
        <is>
          <t>항공</t>
        </is>
      </c>
      <c r="D534" s="48" t="inlineStr">
        <is>
          <t>인천공항</t>
        </is>
      </c>
      <c r="E534" s="46" t="inlineStr">
        <is>
          <t>ICN</t>
        </is>
      </c>
      <c r="F534" s="48" t="inlineStr">
        <is>
          <t>로스앤젤레스공항</t>
        </is>
      </c>
      <c r="G534" s="46" t="inlineStr">
        <is>
          <t>LAX</t>
        </is>
      </c>
      <c r="H534" s="47" t="n">
        <v>45374</v>
      </c>
      <c r="I534" s="52" t="n">
        <v>45377</v>
      </c>
      <c r="J534" s="52" t="n">
        <v>45377</v>
      </c>
      <c r="K534" s="53" t="n">
        <v>303.12</v>
      </c>
    </row>
    <row r="535" ht="15" customHeight="1" s="32">
      <c r="A535" s="46" t="inlineStr">
        <is>
          <t>L-HB-0534</t>
        </is>
      </c>
      <c r="B535" s="46" t="inlineStr">
        <is>
          <t>R-HB-0534</t>
        </is>
      </c>
      <c r="C535" s="48" t="inlineStr">
        <is>
          <t>항공</t>
        </is>
      </c>
      <c r="D535" s="48" t="inlineStr">
        <is>
          <t>인천공항</t>
        </is>
      </c>
      <c r="E535" s="46" t="inlineStr">
        <is>
          <t>ICN</t>
        </is>
      </c>
      <c r="F535" s="48" t="inlineStr">
        <is>
          <t>과달라하라공항</t>
        </is>
      </c>
      <c r="G535" s="46" t="inlineStr">
        <is>
          <t>GDL</t>
        </is>
      </c>
      <c r="H535" s="47" t="n">
        <v>45374</v>
      </c>
      <c r="I535" s="52" t="n">
        <v>45377</v>
      </c>
      <c r="J535" s="52" t="n">
        <v>45377</v>
      </c>
      <c r="K535" s="53" t="n">
        <v>148.97</v>
      </c>
    </row>
    <row r="536" ht="15" customHeight="1" s="32">
      <c r="A536" s="46" t="inlineStr">
        <is>
          <t>L-HB-0535</t>
        </is>
      </c>
      <c r="B536" s="46" t="inlineStr">
        <is>
          <t>R-HB-0535</t>
        </is>
      </c>
      <c r="C536" s="48" t="inlineStr">
        <is>
          <t>항공</t>
        </is>
      </c>
      <c r="D536" s="48" t="inlineStr">
        <is>
          <t>인천공항</t>
        </is>
      </c>
      <c r="E536" s="46" t="inlineStr">
        <is>
          <t>ICN</t>
        </is>
      </c>
      <c r="F536" s="48" t="inlineStr">
        <is>
          <t>토론토공항</t>
        </is>
      </c>
      <c r="G536" s="46" t="inlineStr">
        <is>
          <t>YYZ</t>
        </is>
      </c>
      <c r="H536" s="47" t="n">
        <v>45375</v>
      </c>
      <c r="I536" s="52" t="n">
        <v>45379</v>
      </c>
      <c r="J536" s="52" t="n">
        <v>45379</v>
      </c>
      <c r="K536" s="53" t="n">
        <v>135</v>
      </c>
    </row>
    <row r="537" ht="15" customHeight="1" s="32">
      <c r="A537" s="46" t="inlineStr">
        <is>
          <t>L-HB-0536</t>
        </is>
      </c>
      <c r="B537" s="46" t="inlineStr">
        <is>
          <t>R-HB-0536</t>
        </is>
      </c>
      <c r="C537" s="48" t="inlineStr">
        <is>
          <t>항공</t>
        </is>
      </c>
      <c r="D537" s="48" t="inlineStr">
        <is>
          <t>인천공항</t>
        </is>
      </c>
      <c r="E537" s="46" t="inlineStr">
        <is>
          <t>ICN</t>
        </is>
      </c>
      <c r="F537" s="48" t="inlineStr">
        <is>
          <t>선전공항</t>
        </is>
      </c>
      <c r="G537" s="46" t="inlineStr">
        <is>
          <t>SZX</t>
        </is>
      </c>
      <c r="H537" s="47" t="n">
        <v>45376</v>
      </c>
      <c r="I537" s="52" t="n">
        <v>45379</v>
      </c>
      <c r="J537" s="52" t="n">
        <v>45379</v>
      </c>
      <c r="K537" s="53" t="n">
        <v>135</v>
      </c>
    </row>
    <row r="538" ht="15" customHeight="1" s="32">
      <c r="A538" s="46" t="inlineStr">
        <is>
          <t>L-HB-0537</t>
        </is>
      </c>
      <c r="B538" s="46" t="inlineStr">
        <is>
          <t>R-HB-0537</t>
        </is>
      </c>
      <c r="C538" s="48" t="inlineStr">
        <is>
          <t>항공</t>
        </is>
      </c>
      <c r="D538" s="48" t="inlineStr">
        <is>
          <t>인천공항</t>
        </is>
      </c>
      <c r="E538" s="46" t="inlineStr">
        <is>
          <t>ICN</t>
        </is>
      </c>
      <c r="F538" s="48" t="inlineStr">
        <is>
          <t>로스앤젤레스공항</t>
        </is>
      </c>
      <c r="G538" s="46" t="inlineStr">
        <is>
          <t>LAX</t>
        </is>
      </c>
      <c r="H538" s="47" t="n">
        <v>45378</v>
      </c>
      <c r="I538" s="52" t="n">
        <v>45380</v>
      </c>
      <c r="J538" s="52" t="n">
        <v>45381</v>
      </c>
      <c r="K538" s="53" t="n">
        <v>135</v>
      </c>
    </row>
    <row r="539" ht="15" customHeight="1" s="32">
      <c r="A539" s="46" t="inlineStr">
        <is>
          <t>L-HB-0538</t>
        </is>
      </c>
      <c r="B539" s="46" t="inlineStr">
        <is>
          <t>R-HB-0538</t>
        </is>
      </c>
      <c r="C539" s="48" t="inlineStr">
        <is>
          <t>항공</t>
        </is>
      </c>
      <c r="D539" s="48" t="inlineStr">
        <is>
          <t>인천공항</t>
        </is>
      </c>
      <c r="E539" s="46" t="inlineStr">
        <is>
          <t>ICN</t>
        </is>
      </c>
      <c r="F539" s="48" t="inlineStr">
        <is>
          <t>로스앤젤레스공항</t>
        </is>
      </c>
      <c r="G539" s="46" t="inlineStr">
        <is>
          <t>LAX</t>
        </is>
      </c>
      <c r="H539" s="47" t="n">
        <v>45378</v>
      </c>
      <c r="I539" s="52" t="n">
        <v>45380</v>
      </c>
      <c r="J539" s="52" t="n">
        <v>45380</v>
      </c>
      <c r="K539" s="53" t="n">
        <v>144.14</v>
      </c>
    </row>
    <row r="540" ht="15" customHeight="1" s="32">
      <c r="A540" s="46" t="inlineStr">
        <is>
          <t>L-HB-0539</t>
        </is>
      </c>
      <c r="B540" s="46" t="inlineStr">
        <is>
          <t>R-HB-0539</t>
        </is>
      </c>
      <c r="C540" s="48" t="inlineStr">
        <is>
          <t>항공</t>
        </is>
      </c>
      <c r="D540" s="48" t="inlineStr">
        <is>
          <t>인천공항</t>
        </is>
      </c>
      <c r="E540" s="46" t="inlineStr">
        <is>
          <t>ICN</t>
        </is>
      </c>
      <c r="F540" s="48" t="inlineStr">
        <is>
          <t>토론토공항</t>
        </is>
      </c>
      <c r="G540" s="46" t="inlineStr">
        <is>
          <t>YYZ</t>
        </is>
      </c>
      <c r="H540" s="47" t="n">
        <v>45378</v>
      </c>
      <c r="I540" s="52" t="n">
        <v>45382</v>
      </c>
      <c r="J540" s="52" t="n">
        <v>45382</v>
      </c>
      <c r="K540" s="53" t="n">
        <v>135</v>
      </c>
    </row>
    <row r="541" ht="15" customHeight="1" s="32">
      <c r="A541" s="46" t="inlineStr">
        <is>
          <t>L-HB-0540</t>
        </is>
      </c>
      <c r="B541" s="46" t="inlineStr">
        <is>
          <t>R-HB-0540</t>
        </is>
      </c>
      <c r="C541" s="48" t="inlineStr">
        <is>
          <t>항공</t>
        </is>
      </c>
      <c r="D541" s="48" t="inlineStr">
        <is>
          <t>인천공항</t>
        </is>
      </c>
      <c r="E541" s="46" t="inlineStr">
        <is>
          <t>ICN</t>
        </is>
      </c>
      <c r="F541" s="48" t="inlineStr">
        <is>
          <t>프랑크푸르트공항</t>
        </is>
      </c>
      <c r="G541" s="46" t="inlineStr">
        <is>
          <t>FRA</t>
        </is>
      </c>
      <c r="H541" s="47" t="n">
        <v>45378</v>
      </c>
      <c r="I541" s="52" t="n">
        <v>45381</v>
      </c>
      <c r="J541" s="52" t="n">
        <v>45381</v>
      </c>
      <c r="K541" s="53" t="n">
        <v>494.61</v>
      </c>
    </row>
    <row r="542" ht="15" customHeight="1" s="32">
      <c r="A542" s="46" t="inlineStr">
        <is>
          <t>L-HB-0541</t>
        </is>
      </c>
      <c r="B542" s="46" t="inlineStr">
        <is>
          <t>R-HB-0541</t>
        </is>
      </c>
      <c r="C542" s="48" t="inlineStr">
        <is>
          <t>항공</t>
        </is>
      </c>
      <c r="D542" s="48" t="inlineStr">
        <is>
          <t>인천공항</t>
        </is>
      </c>
      <c r="E542" s="46" t="inlineStr">
        <is>
          <t>ICN</t>
        </is>
      </c>
      <c r="F542" s="48" t="inlineStr">
        <is>
          <t>델리공항</t>
        </is>
      </c>
      <c r="G542" s="46" t="inlineStr">
        <is>
          <t>DEL</t>
        </is>
      </c>
      <c r="H542" s="47" t="n">
        <v>45386</v>
      </c>
      <c r="I542" s="52" t="n">
        <v>45388</v>
      </c>
      <c r="J542" s="52" t="n">
        <v>45388</v>
      </c>
      <c r="K542" s="53" t="n">
        <v>187</v>
      </c>
    </row>
    <row r="543" ht="15" customHeight="1" s="32">
      <c r="A543" s="46" t="inlineStr">
        <is>
          <t>L-HB-0542</t>
        </is>
      </c>
      <c r="B543" s="46" t="inlineStr">
        <is>
          <t>R-HB-0542</t>
        </is>
      </c>
      <c r="C543" s="48" t="inlineStr">
        <is>
          <t>항공</t>
        </is>
      </c>
      <c r="D543" s="48" t="inlineStr">
        <is>
          <t>인천공항</t>
        </is>
      </c>
      <c r="E543" s="46" t="inlineStr">
        <is>
          <t>ICN</t>
        </is>
      </c>
      <c r="F543" s="48" t="inlineStr">
        <is>
          <t>선전공항</t>
        </is>
      </c>
      <c r="G543" s="46" t="inlineStr">
        <is>
          <t>SZX</t>
        </is>
      </c>
      <c r="H543" s="47" t="n">
        <v>45387</v>
      </c>
      <c r="I543" s="52" t="n">
        <v>45390</v>
      </c>
      <c r="J543" s="52" t="n">
        <v>45394</v>
      </c>
      <c r="K543" s="53" t="n">
        <v>135</v>
      </c>
    </row>
    <row r="544" ht="15" customHeight="1" s="32">
      <c r="A544" s="46" t="inlineStr">
        <is>
          <t>L-HB-0543</t>
        </is>
      </c>
      <c r="B544" s="46" t="inlineStr">
        <is>
          <t>R-HB-0543</t>
        </is>
      </c>
      <c r="C544" s="48" t="inlineStr">
        <is>
          <t>항공</t>
        </is>
      </c>
      <c r="D544" s="48" t="inlineStr">
        <is>
          <t>인천공항</t>
        </is>
      </c>
      <c r="E544" s="46" t="inlineStr">
        <is>
          <t>ICN</t>
        </is>
      </c>
      <c r="F544" s="48" t="inlineStr">
        <is>
          <t>로스앤젤레스공항</t>
        </is>
      </c>
      <c r="G544" s="46" t="inlineStr">
        <is>
          <t>LAX</t>
        </is>
      </c>
      <c r="H544" s="47" t="n">
        <v>45388</v>
      </c>
      <c r="I544" s="52" t="n">
        <v>45392</v>
      </c>
      <c r="J544" s="52" t="n">
        <v>45391</v>
      </c>
      <c r="K544" s="53" t="n">
        <v>278.72</v>
      </c>
    </row>
    <row r="545" ht="15" customHeight="1" s="32">
      <c r="A545" s="46" t="inlineStr">
        <is>
          <t>L-HB-0544</t>
        </is>
      </c>
      <c r="B545" s="46" t="inlineStr">
        <is>
          <t>R-HB-0544</t>
        </is>
      </c>
      <c r="C545" s="48" t="inlineStr">
        <is>
          <t>항공</t>
        </is>
      </c>
      <c r="D545" s="48" t="inlineStr">
        <is>
          <t>인천공항</t>
        </is>
      </c>
      <c r="E545" s="46" t="inlineStr">
        <is>
          <t>ICN</t>
        </is>
      </c>
      <c r="F545" s="48" t="inlineStr">
        <is>
          <t>하노이공항</t>
        </is>
      </c>
      <c r="G545" s="46" t="inlineStr">
        <is>
          <t>HAN</t>
        </is>
      </c>
      <c r="H545" s="47" t="n">
        <v>45388</v>
      </c>
      <c r="I545" s="52" t="n">
        <v>45390</v>
      </c>
      <c r="J545" s="52" t="n">
        <v>45391</v>
      </c>
      <c r="K545" s="53" t="n">
        <v>135</v>
      </c>
    </row>
    <row r="546" ht="15" customHeight="1" s="32">
      <c r="A546" s="46" t="inlineStr">
        <is>
          <t>L-HB-0545</t>
        </is>
      </c>
      <c r="B546" s="46" t="inlineStr">
        <is>
          <t>R-HB-0545</t>
        </is>
      </c>
      <c r="C546" s="48" t="inlineStr">
        <is>
          <t>항공</t>
        </is>
      </c>
      <c r="D546" s="48" t="inlineStr">
        <is>
          <t>인천공항</t>
        </is>
      </c>
      <c r="E546" s="46" t="inlineStr">
        <is>
          <t>ICN</t>
        </is>
      </c>
      <c r="F546" s="48" t="inlineStr">
        <is>
          <t>시애틀공항</t>
        </is>
      </c>
      <c r="G546" s="46" t="inlineStr">
        <is>
          <t>SEA</t>
        </is>
      </c>
      <c r="H546" s="47" t="n">
        <v>45389</v>
      </c>
      <c r="I546" s="52" t="n">
        <v>45392</v>
      </c>
      <c r="J546" s="52" t="n">
        <v>45396</v>
      </c>
      <c r="K546" s="53" t="n">
        <v>135</v>
      </c>
    </row>
    <row r="547" ht="15" customHeight="1" s="32">
      <c r="A547" s="46" t="inlineStr">
        <is>
          <t>L-HB-0546</t>
        </is>
      </c>
      <c r="B547" s="46" t="inlineStr">
        <is>
          <t>R-HB-0546</t>
        </is>
      </c>
      <c r="C547" s="48" t="inlineStr">
        <is>
          <t>항공</t>
        </is>
      </c>
      <c r="D547" s="48" t="inlineStr">
        <is>
          <t>인천공항</t>
        </is>
      </c>
      <c r="E547" s="46" t="inlineStr">
        <is>
          <t>ICN</t>
        </is>
      </c>
      <c r="F547" s="48" t="inlineStr">
        <is>
          <t>하노이공항</t>
        </is>
      </c>
      <c r="G547" s="46" t="inlineStr">
        <is>
          <t>HAN</t>
        </is>
      </c>
      <c r="H547" s="47" t="n">
        <v>45389</v>
      </c>
      <c r="I547" s="52" t="n">
        <v>45392</v>
      </c>
      <c r="J547" s="52" t="n">
        <v>45392</v>
      </c>
      <c r="K547" s="53" t="n">
        <v>223.38</v>
      </c>
    </row>
    <row r="548" ht="15" customHeight="1" s="32">
      <c r="A548" s="46" t="inlineStr">
        <is>
          <t>L-HB-0547</t>
        </is>
      </c>
      <c r="B548" s="46" t="inlineStr">
        <is>
          <t>R-HB-0547</t>
        </is>
      </c>
      <c r="C548" s="48" t="inlineStr">
        <is>
          <t>항공</t>
        </is>
      </c>
      <c r="D548" s="48" t="inlineStr">
        <is>
          <t>인천공항</t>
        </is>
      </c>
      <c r="E548" s="46" t="inlineStr">
        <is>
          <t>ICN</t>
        </is>
      </c>
      <c r="F548" s="48" t="inlineStr">
        <is>
          <t>시애틀공항</t>
        </is>
      </c>
      <c r="G548" s="46" t="inlineStr">
        <is>
          <t>SEA</t>
        </is>
      </c>
      <c r="H548" s="47" t="n">
        <v>45392</v>
      </c>
      <c r="I548" s="52" t="n">
        <v>45394</v>
      </c>
      <c r="J548" s="52" t="n">
        <v>45394</v>
      </c>
      <c r="K548" s="53" t="n">
        <v>198.99</v>
      </c>
    </row>
    <row r="549" ht="15" customHeight="1" s="32">
      <c r="A549" s="46" t="inlineStr">
        <is>
          <t>L-HB-0548</t>
        </is>
      </c>
      <c r="B549" s="46" t="inlineStr">
        <is>
          <t>R-HB-0548</t>
        </is>
      </c>
      <c r="C549" s="48" t="inlineStr">
        <is>
          <t>항공</t>
        </is>
      </c>
      <c r="D549" s="48" t="inlineStr">
        <is>
          <t>인천공항</t>
        </is>
      </c>
      <c r="E549" s="46" t="inlineStr">
        <is>
          <t>ICN</t>
        </is>
      </c>
      <c r="F549" s="48" t="inlineStr">
        <is>
          <t>과달라하라공항</t>
        </is>
      </c>
      <c r="G549" s="46" t="inlineStr">
        <is>
          <t>GDL</t>
        </is>
      </c>
      <c r="H549" s="47" t="n">
        <v>45392</v>
      </c>
      <c r="I549" s="52" t="n">
        <v>45396</v>
      </c>
      <c r="J549" s="52" t="n">
        <v>45397</v>
      </c>
      <c r="K549" s="53" t="n">
        <v>135</v>
      </c>
    </row>
    <row r="550" ht="15" customHeight="1" s="32">
      <c r="A550" s="46" t="inlineStr">
        <is>
          <t>L-HB-0549</t>
        </is>
      </c>
      <c r="B550" s="46" t="inlineStr">
        <is>
          <t>R-HB-0549</t>
        </is>
      </c>
      <c r="C550" s="48" t="inlineStr">
        <is>
          <t>항공</t>
        </is>
      </c>
      <c r="D550" s="48" t="inlineStr">
        <is>
          <t>인천공항</t>
        </is>
      </c>
      <c r="E550" s="46" t="inlineStr">
        <is>
          <t>ICN</t>
        </is>
      </c>
      <c r="F550" s="48" t="inlineStr">
        <is>
          <t>토론토공항</t>
        </is>
      </c>
      <c r="G550" s="46" t="inlineStr">
        <is>
          <t>YYZ</t>
        </is>
      </c>
      <c r="H550" s="47" t="n">
        <v>45393</v>
      </c>
      <c r="I550" s="52" t="n">
        <v>45398</v>
      </c>
      <c r="J550" s="52" t="n">
        <v>45398</v>
      </c>
      <c r="K550" s="53" t="n">
        <v>135</v>
      </c>
    </row>
    <row r="551" ht="15" customHeight="1" s="32">
      <c r="A551" s="46" t="inlineStr">
        <is>
          <t>L-HB-0550</t>
        </is>
      </c>
      <c r="B551" s="46" t="inlineStr">
        <is>
          <t>R-HB-0550</t>
        </is>
      </c>
      <c r="C551" s="48" t="inlineStr">
        <is>
          <t>항공</t>
        </is>
      </c>
      <c r="D551" s="48" t="inlineStr">
        <is>
          <t>인천공항</t>
        </is>
      </c>
      <c r="E551" s="46" t="inlineStr">
        <is>
          <t>ICN</t>
        </is>
      </c>
      <c r="F551" s="48" t="inlineStr">
        <is>
          <t>시애틀공항</t>
        </is>
      </c>
      <c r="G551" s="46" t="inlineStr">
        <is>
          <t>SEA</t>
        </is>
      </c>
      <c r="H551" s="47" t="n">
        <v>45394</v>
      </c>
      <c r="I551" s="52" t="n">
        <v>45396</v>
      </c>
      <c r="J551" s="52" t="n">
        <v>45396</v>
      </c>
      <c r="K551" s="53" t="n">
        <v>135</v>
      </c>
    </row>
    <row r="552" ht="15" customHeight="1" s="32">
      <c r="A552" s="46" t="inlineStr">
        <is>
          <t>L-HB-0551</t>
        </is>
      </c>
      <c r="B552" s="46" t="inlineStr">
        <is>
          <t>R-HB-0551</t>
        </is>
      </c>
      <c r="C552" s="48" t="inlineStr">
        <is>
          <t>항공</t>
        </is>
      </c>
      <c r="D552" s="48" t="inlineStr">
        <is>
          <t>인천공항</t>
        </is>
      </c>
      <c r="E552" s="46" t="inlineStr">
        <is>
          <t>ICN</t>
        </is>
      </c>
      <c r="F552" s="48" t="inlineStr">
        <is>
          <t>델리공항</t>
        </is>
      </c>
      <c r="G552" s="46" t="inlineStr">
        <is>
          <t>DEL</t>
        </is>
      </c>
      <c r="H552" s="47" t="n">
        <v>45394</v>
      </c>
      <c r="I552" s="52" t="n">
        <v>45397</v>
      </c>
      <c r="J552" s="52" t="n">
        <v>45397</v>
      </c>
      <c r="K552" s="53" t="n">
        <v>135</v>
      </c>
    </row>
    <row r="553" ht="15" customHeight="1" s="32">
      <c r="A553" s="46" t="inlineStr">
        <is>
          <t>L-HB-0552</t>
        </is>
      </c>
      <c r="B553" s="46" t="inlineStr">
        <is>
          <t>R-HB-0552</t>
        </is>
      </c>
      <c r="C553" s="48" t="inlineStr">
        <is>
          <t>해상</t>
        </is>
      </c>
      <c r="D553" s="48" t="inlineStr">
        <is>
          <t>부산항</t>
        </is>
      </c>
      <c r="E553" s="46" t="inlineStr">
        <is>
          <t>KRPUS</t>
        </is>
      </c>
      <c r="F553" s="48" t="inlineStr">
        <is>
          <t>상하이항</t>
        </is>
      </c>
      <c r="G553" s="46" t="inlineStr">
        <is>
          <t>CNSHA</t>
        </is>
      </c>
      <c r="H553" s="47" t="n">
        <v>45394</v>
      </c>
      <c r="I553" s="52" t="n">
        <v>45399</v>
      </c>
      <c r="J553" s="52" t="n">
        <v>45399</v>
      </c>
      <c r="K553" s="53" t="n">
        <v>530</v>
      </c>
    </row>
    <row r="554" ht="15" customHeight="1" s="32">
      <c r="A554" s="46" t="inlineStr">
        <is>
          <t>L-HB-0553</t>
        </is>
      </c>
      <c r="B554" s="46" t="inlineStr">
        <is>
          <t>R-HB-0553</t>
        </is>
      </c>
      <c r="C554" s="48" t="inlineStr">
        <is>
          <t>해상</t>
        </is>
      </c>
      <c r="D554" s="48" t="inlineStr">
        <is>
          <t>부산항</t>
        </is>
      </c>
      <c r="E554" s="46" t="inlineStr">
        <is>
          <t>KRPUS</t>
        </is>
      </c>
      <c r="F554" s="48" t="inlineStr">
        <is>
          <t>하이퐁항</t>
        </is>
      </c>
      <c r="G554" s="46" t="inlineStr">
        <is>
          <t>VNHPH</t>
        </is>
      </c>
      <c r="H554" s="47" t="n">
        <v>45395</v>
      </c>
      <c r="I554" s="52" t="n">
        <v>45404</v>
      </c>
      <c r="J554" s="52" t="n">
        <v>45406</v>
      </c>
      <c r="K554" s="53" t="n">
        <v>530</v>
      </c>
    </row>
    <row r="555" ht="15" customHeight="1" s="32">
      <c r="A555" s="46" t="inlineStr">
        <is>
          <t>L-HB-0554</t>
        </is>
      </c>
      <c r="B555" s="46" t="inlineStr">
        <is>
          <t>R-HB-0554</t>
        </is>
      </c>
      <c r="C555" s="48" t="inlineStr">
        <is>
          <t>항공</t>
        </is>
      </c>
      <c r="D555" s="48" t="inlineStr">
        <is>
          <t>인천공항</t>
        </is>
      </c>
      <c r="E555" s="46" t="inlineStr">
        <is>
          <t>ICN</t>
        </is>
      </c>
      <c r="F555" s="48" t="inlineStr">
        <is>
          <t>충칭공항</t>
        </is>
      </c>
      <c r="G555" s="46" t="inlineStr">
        <is>
          <t>CKG</t>
        </is>
      </c>
      <c r="H555" s="47" t="n">
        <v>45395</v>
      </c>
      <c r="I555" s="52" t="n">
        <v>45396</v>
      </c>
      <c r="J555" s="52" t="n">
        <v>45395</v>
      </c>
      <c r="K555" s="53" t="n">
        <v>135</v>
      </c>
    </row>
    <row r="556" ht="15" customHeight="1" s="32">
      <c r="A556" s="46" t="inlineStr">
        <is>
          <t>L-HB-0555</t>
        </is>
      </c>
      <c r="B556" s="46" t="inlineStr">
        <is>
          <t>R-HB-0555</t>
        </is>
      </c>
      <c r="C556" s="48" t="inlineStr">
        <is>
          <t>항공</t>
        </is>
      </c>
      <c r="D556" s="48" t="inlineStr">
        <is>
          <t>인천공항</t>
        </is>
      </c>
      <c r="E556" s="46" t="inlineStr">
        <is>
          <t>ICN</t>
        </is>
      </c>
      <c r="F556" s="48" t="inlineStr">
        <is>
          <t>충칭공항</t>
        </is>
      </c>
      <c r="G556" s="46" t="inlineStr">
        <is>
          <t>CKG</t>
        </is>
      </c>
      <c r="H556" s="47" t="n">
        <v>45397</v>
      </c>
      <c r="I556" s="52" t="n">
        <v>45398</v>
      </c>
      <c r="J556" s="52" t="n">
        <v>45397</v>
      </c>
      <c r="K556" s="53" t="n">
        <v>135</v>
      </c>
    </row>
    <row r="557" ht="15" customHeight="1" s="32">
      <c r="A557" s="46" t="inlineStr">
        <is>
          <t>L-HB-0556</t>
        </is>
      </c>
      <c r="B557" s="46" t="inlineStr">
        <is>
          <t>R-HB-0556</t>
        </is>
      </c>
      <c r="C557" s="48" t="inlineStr">
        <is>
          <t>항공</t>
        </is>
      </c>
      <c r="D557" s="48" t="inlineStr">
        <is>
          <t>인천공항</t>
        </is>
      </c>
      <c r="E557" s="46" t="inlineStr">
        <is>
          <t>ICN</t>
        </is>
      </c>
      <c r="F557" s="48" t="inlineStr">
        <is>
          <t>과달라하라공항</t>
        </is>
      </c>
      <c r="G557" s="46" t="inlineStr">
        <is>
          <t>GDL</t>
        </is>
      </c>
      <c r="H557" s="47" t="n">
        <v>45398</v>
      </c>
      <c r="I557" s="52" t="n">
        <v>45401</v>
      </c>
      <c r="J557" s="52" t="n">
        <v>45400</v>
      </c>
      <c r="K557" s="53" t="n">
        <v>135</v>
      </c>
    </row>
    <row r="558" ht="15" customHeight="1" s="32">
      <c r="A558" s="46" t="inlineStr">
        <is>
          <t>L-HB-0557</t>
        </is>
      </c>
      <c r="B558" s="46" t="inlineStr">
        <is>
          <t>R-HB-0557</t>
        </is>
      </c>
      <c r="C558" s="48" t="inlineStr">
        <is>
          <t>항공</t>
        </is>
      </c>
      <c r="D558" s="48" t="inlineStr">
        <is>
          <t>인천공항</t>
        </is>
      </c>
      <c r="E558" s="46" t="inlineStr">
        <is>
          <t>ICN</t>
        </is>
      </c>
      <c r="F558" s="48" t="inlineStr">
        <is>
          <t>로스앤젤레스공항</t>
        </is>
      </c>
      <c r="G558" s="46" t="inlineStr">
        <is>
          <t>LAX</t>
        </is>
      </c>
      <c r="H558" s="47" t="n">
        <v>45399</v>
      </c>
      <c r="I558" s="52" t="n">
        <v>45403</v>
      </c>
      <c r="J558" s="52" t="n">
        <v>45403</v>
      </c>
      <c r="K558" s="53" t="n">
        <v>138.76</v>
      </c>
    </row>
    <row r="559" ht="15" customHeight="1" s="32">
      <c r="A559" s="46" t="inlineStr">
        <is>
          <t>L-HB-0558</t>
        </is>
      </c>
      <c r="B559" s="46" t="inlineStr">
        <is>
          <t>R-HB-0558</t>
        </is>
      </c>
      <c r="C559" s="48" t="inlineStr">
        <is>
          <t>항공</t>
        </is>
      </c>
      <c r="D559" s="48" t="inlineStr">
        <is>
          <t>인천공항</t>
        </is>
      </c>
      <c r="E559" s="46" t="inlineStr">
        <is>
          <t>ICN</t>
        </is>
      </c>
      <c r="F559" s="48" t="inlineStr">
        <is>
          <t>선전공항</t>
        </is>
      </c>
      <c r="G559" s="46" t="inlineStr">
        <is>
          <t>SZX</t>
        </is>
      </c>
      <c r="H559" s="47" t="n">
        <v>45399</v>
      </c>
      <c r="I559" s="52" t="n">
        <v>45400</v>
      </c>
      <c r="J559" s="52" t="n">
        <v>45400</v>
      </c>
      <c r="K559" s="53" t="n">
        <v>135</v>
      </c>
    </row>
    <row r="560" ht="15" customHeight="1" s="32">
      <c r="A560" s="46" t="inlineStr">
        <is>
          <t>L-HB-0559</t>
        </is>
      </c>
      <c r="B560" s="46" t="inlineStr">
        <is>
          <t>R-HB-0559</t>
        </is>
      </c>
      <c r="C560" s="48" t="inlineStr">
        <is>
          <t>항공</t>
        </is>
      </c>
      <c r="D560" s="48" t="inlineStr">
        <is>
          <t>인천공항</t>
        </is>
      </c>
      <c r="E560" s="46" t="inlineStr">
        <is>
          <t>ICN</t>
        </is>
      </c>
      <c r="F560" s="48" t="inlineStr">
        <is>
          <t>로스앤젤레스공항</t>
        </is>
      </c>
      <c r="G560" s="46" t="inlineStr">
        <is>
          <t>LAX</t>
        </is>
      </c>
      <c r="H560" s="47" t="n">
        <v>45400</v>
      </c>
      <c r="I560" s="52" t="n">
        <v>45402</v>
      </c>
      <c r="J560" s="52" t="n">
        <v>45402</v>
      </c>
      <c r="K560" s="53" t="n">
        <v>135</v>
      </c>
    </row>
    <row r="561" ht="15" customHeight="1" s="32">
      <c r="A561" s="46" t="inlineStr">
        <is>
          <t>L-HB-0560</t>
        </is>
      </c>
      <c r="B561" s="46" t="inlineStr">
        <is>
          <t>R-HB-0560</t>
        </is>
      </c>
      <c r="C561" s="48" t="inlineStr">
        <is>
          <t>항공</t>
        </is>
      </c>
      <c r="D561" s="48" t="inlineStr">
        <is>
          <t>인천공항</t>
        </is>
      </c>
      <c r="E561" s="46" t="inlineStr">
        <is>
          <t>ICN</t>
        </is>
      </c>
      <c r="F561" s="48" t="inlineStr">
        <is>
          <t>하노이공항</t>
        </is>
      </c>
      <c r="G561" s="46" t="inlineStr">
        <is>
          <t>HAN</t>
        </is>
      </c>
      <c r="H561" s="47" t="n">
        <v>45400</v>
      </c>
      <c r="I561" s="52" t="n">
        <v>45402</v>
      </c>
      <c r="J561" s="52" t="n">
        <v>45402</v>
      </c>
      <c r="K561" s="53" t="n">
        <v>135</v>
      </c>
    </row>
    <row r="562" ht="15" customHeight="1" s="32">
      <c r="A562" s="46" t="inlineStr">
        <is>
          <t>L-HB-0561</t>
        </is>
      </c>
      <c r="B562" s="46" t="inlineStr">
        <is>
          <t>R-HB-0561</t>
        </is>
      </c>
      <c r="C562" s="48" t="inlineStr">
        <is>
          <t>항공</t>
        </is>
      </c>
      <c r="D562" s="48" t="inlineStr">
        <is>
          <t>인천공항</t>
        </is>
      </c>
      <c r="E562" s="46" t="inlineStr">
        <is>
          <t>ICN</t>
        </is>
      </c>
      <c r="F562" s="48" t="inlineStr">
        <is>
          <t>토론토공항</t>
        </is>
      </c>
      <c r="G562" s="46" t="inlineStr">
        <is>
          <t>YYZ</t>
        </is>
      </c>
      <c r="H562" s="47" t="n">
        <v>45401</v>
      </c>
      <c r="I562" s="52" t="n">
        <v>45404</v>
      </c>
      <c r="J562" s="52" t="n">
        <v>45404</v>
      </c>
      <c r="K562" s="53" t="n">
        <v>135</v>
      </c>
    </row>
    <row r="563" ht="15" customHeight="1" s="32">
      <c r="A563" s="46" t="inlineStr">
        <is>
          <t>L-HB-0562</t>
        </is>
      </c>
      <c r="B563" s="46" t="inlineStr">
        <is>
          <t>R-HB-0562</t>
        </is>
      </c>
      <c r="C563" s="48" t="inlineStr">
        <is>
          <t>항공</t>
        </is>
      </c>
      <c r="D563" s="48" t="inlineStr">
        <is>
          <t>인천공항</t>
        </is>
      </c>
      <c r="E563" s="46" t="inlineStr">
        <is>
          <t>ICN</t>
        </is>
      </c>
      <c r="F563" s="48" t="inlineStr">
        <is>
          <t>토론토공항</t>
        </is>
      </c>
      <c r="G563" s="46" t="inlineStr">
        <is>
          <t>YYZ</t>
        </is>
      </c>
      <c r="H563" s="47" t="n">
        <v>45401</v>
      </c>
      <c r="I563" s="52" t="n">
        <v>45404</v>
      </c>
      <c r="J563" s="52" t="n">
        <v>45403</v>
      </c>
      <c r="K563" s="53" t="n">
        <v>135</v>
      </c>
    </row>
    <row r="564" ht="15" customHeight="1" s="32">
      <c r="A564" s="46" t="inlineStr">
        <is>
          <t>L-HB-0563</t>
        </is>
      </c>
      <c r="B564" s="46" t="inlineStr">
        <is>
          <t>R-HB-0563</t>
        </is>
      </c>
      <c r="C564" s="48" t="inlineStr">
        <is>
          <t>항공</t>
        </is>
      </c>
      <c r="D564" s="48" t="inlineStr">
        <is>
          <t>인천공항</t>
        </is>
      </c>
      <c r="E564" s="46" t="inlineStr">
        <is>
          <t>ICN</t>
        </is>
      </c>
      <c r="F564" s="48" t="inlineStr">
        <is>
          <t>충칭공항</t>
        </is>
      </c>
      <c r="G564" s="46" t="inlineStr">
        <is>
          <t>CKG</t>
        </is>
      </c>
      <c r="H564" s="47" t="n">
        <v>45401</v>
      </c>
      <c r="I564" s="52" t="n">
        <v>45402</v>
      </c>
      <c r="J564" s="52" t="n">
        <v>45402</v>
      </c>
      <c r="K564" s="53" t="n">
        <v>302.39</v>
      </c>
    </row>
    <row r="565" ht="15" customHeight="1" s="32">
      <c r="A565" s="46" t="inlineStr">
        <is>
          <t>L-HB-0564</t>
        </is>
      </c>
      <c r="B565" s="46" t="inlineStr">
        <is>
          <t>R-HB-0564</t>
        </is>
      </c>
      <c r="C565" s="48" t="inlineStr">
        <is>
          <t>항공</t>
        </is>
      </c>
      <c r="D565" s="48" t="inlineStr">
        <is>
          <t>인천공항</t>
        </is>
      </c>
      <c r="E565" s="46" t="inlineStr">
        <is>
          <t>ICN</t>
        </is>
      </c>
      <c r="F565" s="48" t="inlineStr">
        <is>
          <t>시애틀공항</t>
        </is>
      </c>
      <c r="G565" s="46" t="inlineStr">
        <is>
          <t>SEA</t>
        </is>
      </c>
      <c r="H565" s="47" t="n">
        <v>45402</v>
      </c>
      <c r="I565" s="52" t="n">
        <v>45405</v>
      </c>
      <c r="J565" s="52" t="n">
        <v>45408</v>
      </c>
      <c r="K565" s="53" t="n">
        <v>263.85</v>
      </c>
    </row>
    <row r="566" ht="15" customHeight="1" s="32">
      <c r="A566" s="46" t="inlineStr">
        <is>
          <t>L-HB-0565</t>
        </is>
      </c>
      <c r="B566" s="46" t="inlineStr">
        <is>
          <t>R-HB-0565</t>
        </is>
      </c>
      <c r="C566" s="48" t="inlineStr">
        <is>
          <t>항공</t>
        </is>
      </c>
      <c r="D566" s="48" t="inlineStr">
        <is>
          <t>인천공항</t>
        </is>
      </c>
      <c r="E566" s="46" t="inlineStr">
        <is>
          <t>ICN</t>
        </is>
      </c>
      <c r="F566" s="48" t="inlineStr">
        <is>
          <t>토론토공항</t>
        </is>
      </c>
      <c r="G566" s="46" t="inlineStr">
        <is>
          <t>YYZ</t>
        </is>
      </c>
      <c r="H566" s="47" t="n">
        <v>45402</v>
      </c>
      <c r="I566" s="52" t="n">
        <v>45406</v>
      </c>
      <c r="J566" s="52" t="n">
        <v>45406</v>
      </c>
      <c r="K566" s="53" t="n">
        <v>135</v>
      </c>
    </row>
    <row r="567" ht="15" customHeight="1" s="32">
      <c r="A567" s="46" t="inlineStr">
        <is>
          <t>L-HB-0566</t>
        </is>
      </c>
      <c r="B567" s="46" t="inlineStr">
        <is>
          <t>R-HB-0566</t>
        </is>
      </c>
      <c r="C567" s="48" t="inlineStr">
        <is>
          <t>항공</t>
        </is>
      </c>
      <c r="D567" s="48" t="inlineStr">
        <is>
          <t>인천공항</t>
        </is>
      </c>
      <c r="E567" s="46" t="inlineStr">
        <is>
          <t>ICN</t>
        </is>
      </c>
      <c r="F567" s="48" t="inlineStr">
        <is>
          <t>프랑크푸르트공항</t>
        </is>
      </c>
      <c r="G567" s="46" t="inlineStr">
        <is>
          <t>FRA</t>
        </is>
      </c>
      <c r="H567" s="47" t="n">
        <v>45402</v>
      </c>
      <c r="I567" s="52" t="n">
        <v>45405</v>
      </c>
      <c r="J567" s="52" t="n">
        <v>45405</v>
      </c>
      <c r="K567" s="53" t="n">
        <v>500.61</v>
      </c>
    </row>
    <row r="568" ht="15" customHeight="1" s="32">
      <c r="A568" s="46" t="inlineStr">
        <is>
          <t>L-HB-0567</t>
        </is>
      </c>
      <c r="B568" s="46" t="inlineStr">
        <is>
          <t>R-HB-0567</t>
        </is>
      </c>
      <c r="C568" s="48" t="inlineStr">
        <is>
          <t>항공</t>
        </is>
      </c>
      <c r="D568" s="48" t="inlineStr">
        <is>
          <t>인천공항</t>
        </is>
      </c>
      <c r="E568" s="46" t="inlineStr">
        <is>
          <t>ICN</t>
        </is>
      </c>
      <c r="F568" s="48" t="inlineStr">
        <is>
          <t>프랑크푸르트공항</t>
        </is>
      </c>
      <c r="G568" s="46" t="inlineStr">
        <is>
          <t>FRA</t>
        </is>
      </c>
      <c r="H568" s="47" t="n">
        <v>45402</v>
      </c>
      <c r="I568" s="52" t="n">
        <v>45407</v>
      </c>
      <c r="J568" s="52" t="n">
        <v>45409</v>
      </c>
      <c r="K568" s="53" t="n">
        <v>325.97</v>
      </c>
    </row>
    <row r="569" ht="15" customHeight="1" s="32">
      <c r="A569" s="46" t="inlineStr">
        <is>
          <t>L-HB-0568</t>
        </is>
      </c>
      <c r="B569" s="46" t="inlineStr">
        <is>
          <t>R-HB-0568</t>
        </is>
      </c>
      <c r="C569" s="48" t="inlineStr">
        <is>
          <t>항공</t>
        </is>
      </c>
      <c r="D569" s="48" t="inlineStr">
        <is>
          <t>인천공항</t>
        </is>
      </c>
      <c r="E569" s="46" t="inlineStr">
        <is>
          <t>ICN</t>
        </is>
      </c>
      <c r="F569" s="48" t="inlineStr">
        <is>
          <t>델리공항</t>
        </is>
      </c>
      <c r="G569" s="46" t="inlineStr">
        <is>
          <t>DEL</t>
        </is>
      </c>
      <c r="H569" s="47" t="n">
        <v>45402</v>
      </c>
      <c r="I569" s="52" t="n">
        <v>45404</v>
      </c>
      <c r="J569" s="52" t="n">
        <v>45404</v>
      </c>
      <c r="K569" s="53" t="n">
        <v>135</v>
      </c>
    </row>
    <row r="570" ht="15" customHeight="1" s="32">
      <c r="A570" s="46" t="inlineStr">
        <is>
          <t>L-HB-0569</t>
        </is>
      </c>
      <c r="B570" s="46" t="inlineStr">
        <is>
          <t>R-HB-0569</t>
        </is>
      </c>
      <c r="C570" s="48" t="inlineStr">
        <is>
          <t>항공</t>
        </is>
      </c>
      <c r="D570" s="48" t="inlineStr">
        <is>
          <t>인천공항</t>
        </is>
      </c>
      <c r="E570" s="46" t="inlineStr">
        <is>
          <t>ICN</t>
        </is>
      </c>
      <c r="F570" s="48" t="inlineStr">
        <is>
          <t>과달라하라공항</t>
        </is>
      </c>
      <c r="G570" s="46" t="inlineStr">
        <is>
          <t>GDL</t>
        </is>
      </c>
      <c r="H570" s="47" t="n">
        <v>45404</v>
      </c>
      <c r="I570" s="52" t="n">
        <v>45408</v>
      </c>
      <c r="J570" s="52" t="n">
        <v>45412</v>
      </c>
      <c r="K570" s="53" t="n">
        <v>135</v>
      </c>
    </row>
    <row r="571" ht="15" customHeight="1" s="32">
      <c r="A571" s="46" t="inlineStr">
        <is>
          <t>L-HB-0570</t>
        </is>
      </c>
      <c r="B571" s="46" t="inlineStr">
        <is>
          <t>R-HB-0570</t>
        </is>
      </c>
      <c r="C571" s="48" t="inlineStr">
        <is>
          <t>항공</t>
        </is>
      </c>
      <c r="D571" s="48" t="inlineStr">
        <is>
          <t>인천공항</t>
        </is>
      </c>
      <c r="E571" s="46" t="inlineStr">
        <is>
          <t>ICN</t>
        </is>
      </c>
      <c r="F571" s="48" t="inlineStr">
        <is>
          <t>과달라하라공항</t>
        </is>
      </c>
      <c r="G571" s="46" t="inlineStr">
        <is>
          <t>GDL</t>
        </is>
      </c>
      <c r="H571" s="47" t="n">
        <v>45404</v>
      </c>
      <c r="I571" s="52" t="n">
        <v>45408</v>
      </c>
      <c r="J571" s="52" t="n">
        <v>45409</v>
      </c>
      <c r="K571" s="53" t="n">
        <v>135</v>
      </c>
    </row>
    <row r="572" ht="15" customHeight="1" s="32">
      <c r="A572" s="46" t="inlineStr">
        <is>
          <t>L-HB-0571</t>
        </is>
      </c>
      <c r="B572" s="46" t="inlineStr">
        <is>
          <t>R-HB-0571</t>
        </is>
      </c>
      <c r="C572" s="48" t="inlineStr">
        <is>
          <t>항공</t>
        </is>
      </c>
      <c r="D572" s="48" t="inlineStr">
        <is>
          <t>인천공항</t>
        </is>
      </c>
      <c r="E572" s="46" t="inlineStr">
        <is>
          <t>ICN</t>
        </is>
      </c>
      <c r="F572" s="48" t="inlineStr">
        <is>
          <t>프랑크푸르트공항</t>
        </is>
      </c>
      <c r="G572" s="46" t="inlineStr">
        <is>
          <t>FRA</t>
        </is>
      </c>
      <c r="H572" s="47" t="n">
        <v>45404</v>
      </c>
      <c r="I572" s="52" t="n">
        <v>45407</v>
      </c>
      <c r="J572" s="52" t="n">
        <v>45407</v>
      </c>
      <c r="K572" s="53" t="n">
        <v>135</v>
      </c>
    </row>
    <row r="573" ht="15" customHeight="1" s="32">
      <c r="A573" s="46" t="inlineStr">
        <is>
          <t>L-HB-0572</t>
        </is>
      </c>
      <c r="B573" s="46" t="inlineStr">
        <is>
          <t>R-HB-0572</t>
        </is>
      </c>
      <c r="C573" s="48" t="inlineStr">
        <is>
          <t>항공</t>
        </is>
      </c>
      <c r="D573" s="48" t="inlineStr">
        <is>
          <t>인천공항</t>
        </is>
      </c>
      <c r="E573" s="46" t="inlineStr">
        <is>
          <t>ICN</t>
        </is>
      </c>
      <c r="F573" s="48" t="inlineStr">
        <is>
          <t>선전공항</t>
        </is>
      </c>
      <c r="G573" s="46" t="inlineStr">
        <is>
          <t>SZX</t>
        </is>
      </c>
      <c r="H573" s="47" t="n">
        <v>45404</v>
      </c>
      <c r="I573" s="52" t="n">
        <v>45405</v>
      </c>
      <c r="J573" s="52" t="n">
        <v>45405</v>
      </c>
      <c r="K573" s="53" t="n">
        <v>392.93</v>
      </c>
    </row>
    <row r="574" ht="15" customHeight="1" s="32">
      <c r="A574" s="46" t="inlineStr">
        <is>
          <t>L-HB-0573</t>
        </is>
      </c>
      <c r="B574" s="46" t="inlineStr">
        <is>
          <t>R-HB-0573</t>
        </is>
      </c>
      <c r="C574" s="48" t="inlineStr">
        <is>
          <t>항공</t>
        </is>
      </c>
      <c r="D574" s="48" t="inlineStr">
        <is>
          <t>인천공항</t>
        </is>
      </c>
      <c r="E574" s="46" t="inlineStr">
        <is>
          <t>ICN</t>
        </is>
      </c>
      <c r="F574" s="48" t="inlineStr">
        <is>
          <t>프랑크푸르트공항</t>
        </is>
      </c>
      <c r="G574" s="46" t="inlineStr">
        <is>
          <t>FRA</t>
        </is>
      </c>
      <c r="H574" s="47" t="n">
        <v>45405</v>
      </c>
      <c r="I574" s="52" t="n">
        <v>45409</v>
      </c>
      <c r="J574" s="52" t="n">
        <v>45408</v>
      </c>
      <c r="K574" s="53" t="n">
        <v>141.96</v>
      </c>
    </row>
    <row r="575" ht="15" customHeight="1" s="32">
      <c r="A575" s="46" t="inlineStr">
        <is>
          <t>L-HB-0574</t>
        </is>
      </c>
      <c r="B575" s="46" t="inlineStr">
        <is>
          <t>R-HB-0574</t>
        </is>
      </c>
      <c r="C575" s="48" t="inlineStr">
        <is>
          <t>해상</t>
        </is>
      </c>
      <c r="D575" s="48" t="inlineStr">
        <is>
          <t>부산항</t>
        </is>
      </c>
      <c r="E575" s="46" t="inlineStr">
        <is>
          <t>KRPUS</t>
        </is>
      </c>
      <c r="F575" s="48" t="inlineStr">
        <is>
          <t>서커우항</t>
        </is>
      </c>
      <c r="G575" s="46" t="inlineStr">
        <is>
          <t>CNSHK</t>
        </is>
      </c>
      <c r="H575" s="47" t="n">
        <v>45406</v>
      </c>
      <c r="I575" s="52" t="n">
        <v>45414</v>
      </c>
      <c r="J575" s="52" t="n">
        <v>45418</v>
      </c>
      <c r="K575" s="53" t="n">
        <v>530</v>
      </c>
    </row>
    <row r="576" ht="15" customHeight="1" s="32">
      <c r="A576" s="46" t="inlineStr">
        <is>
          <t>L-HB-0575</t>
        </is>
      </c>
      <c r="B576" s="46" t="inlineStr">
        <is>
          <t>R-HB-0575</t>
        </is>
      </c>
      <c r="C576" s="48" t="inlineStr">
        <is>
          <t>항공</t>
        </is>
      </c>
      <c r="D576" s="48" t="inlineStr">
        <is>
          <t>인천공항</t>
        </is>
      </c>
      <c r="E576" s="46" t="inlineStr">
        <is>
          <t>ICN</t>
        </is>
      </c>
      <c r="F576" s="48" t="inlineStr">
        <is>
          <t>로스앤젤레스공항</t>
        </is>
      </c>
      <c r="G576" s="46" t="inlineStr">
        <is>
          <t>LAX</t>
        </is>
      </c>
      <c r="H576" s="47" t="n">
        <v>45408</v>
      </c>
      <c r="I576" s="52" t="n">
        <v>45412</v>
      </c>
      <c r="J576" s="52" t="n">
        <v>45412</v>
      </c>
      <c r="K576" s="53" t="n">
        <v>488.95</v>
      </c>
    </row>
    <row r="577" ht="15" customHeight="1" s="32">
      <c r="A577" s="46" t="inlineStr">
        <is>
          <t>L-HB-0576</t>
        </is>
      </c>
      <c r="B577" s="46" t="inlineStr">
        <is>
          <t>R-HB-0576</t>
        </is>
      </c>
      <c r="C577" s="48" t="inlineStr">
        <is>
          <t>항공</t>
        </is>
      </c>
      <c r="D577" s="48" t="inlineStr">
        <is>
          <t>인천공항</t>
        </is>
      </c>
      <c r="E577" s="46" t="inlineStr">
        <is>
          <t>ICN</t>
        </is>
      </c>
      <c r="F577" s="48" t="inlineStr">
        <is>
          <t>델리공항</t>
        </is>
      </c>
      <c r="G577" s="46" t="inlineStr">
        <is>
          <t>DEL</t>
        </is>
      </c>
      <c r="H577" s="47" t="n">
        <v>45408</v>
      </c>
      <c r="I577" s="52" t="n">
        <v>45410</v>
      </c>
      <c r="J577" s="52" t="n">
        <v>45410</v>
      </c>
      <c r="K577" s="53" t="n">
        <v>135</v>
      </c>
    </row>
    <row r="578" ht="15" customHeight="1" s="32">
      <c r="A578" s="46" t="inlineStr">
        <is>
          <t>L-HB-0577</t>
        </is>
      </c>
      <c r="B578" s="46" t="inlineStr">
        <is>
          <t>R-HB-0577</t>
        </is>
      </c>
      <c r="C578" s="48" t="inlineStr">
        <is>
          <t>항공</t>
        </is>
      </c>
      <c r="D578" s="48" t="inlineStr">
        <is>
          <t>인천공항</t>
        </is>
      </c>
      <c r="E578" s="46" t="inlineStr">
        <is>
          <t>ICN</t>
        </is>
      </c>
      <c r="F578" s="48" t="inlineStr">
        <is>
          <t>충칭공항</t>
        </is>
      </c>
      <c r="G578" s="46" t="inlineStr">
        <is>
          <t>CKG</t>
        </is>
      </c>
      <c r="H578" s="47" t="n">
        <v>45415</v>
      </c>
      <c r="I578" s="52" t="n">
        <v>45418</v>
      </c>
      <c r="J578" s="52" t="n">
        <v>45418</v>
      </c>
      <c r="K578" s="53" t="n">
        <v>135</v>
      </c>
    </row>
    <row r="579" ht="15" customHeight="1" s="32">
      <c r="A579" s="46" t="inlineStr">
        <is>
          <t>L-HB-0578</t>
        </is>
      </c>
      <c r="B579" s="46" t="inlineStr">
        <is>
          <t>R-HB-0578</t>
        </is>
      </c>
      <c r="C579" s="48" t="inlineStr">
        <is>
          <t>항공</t>
        </is>
      </c>
      <c r="D579" s="48" t="inlineStr">
        <is>
          <t>인천공항</t>
        </is>
      </c>
      <c r="E579" s="46" t="inlineStr">
        <is>
          <t>ICN</t>
        </is>
      </c>
      <c r="F579" s="48" t="inlineStr">
        <is>
          <t>델리공항</t>
        </is>
      </c>
      <c r="G579" s="46" t="inlineStr">
        <is>
          <t>DEL</t>
        </is>
      </c>
      <c r="H579" s="47" t="n">
        <v>45416</v>
      </c>
      <c r="I579" s="52" t="n">
        <v>45419</v>
      </c>
      <c r="J579" s="52" t="n">
        <v>45418</v>
      </c>
      <c r="K579" s="53" t="n">
        <v>135</v>
      </c>
    </row>
    <row r="580" ht="15" customHeight="1" s="32">
      <c r="A580" s="46" t="inlineStr">
        <is>
          <t>L-HB-0579</t>
        </is>
      </c>
      <c r="B580" s="46" t="inlineStr">
        <is>
          <t>R-HB-0579</t>
        </is>
      </c>
      <c r="C580" s="48" t="inlineStr">
        <is>
          <t>항공</t>
        </is>
      </c>
      <c r="D580" s="48" t="inlineStr">
        <is>
          <t>인천공항</t>
        </is>
      </c>
      <c r="E580" s="46" t="inlineStr">
        <is>
          <t>ICN</t>
        </is>
      </c>
      <c r="F580" s="48" t="inlineStr">
        <is>
          <t>시애틀공항</t>
        </is>
      </c>
      <c r="G580" s="46" t="inlineStr">
        <is>
          <t>SEA</t>
        </is>
      </c>
      <c r="H580" s="47" t="n">
        <v>45417</v>
      </c>
      <c r="I580" s="52" t="n">
        <v>45421</v>
      </c>
      <c r="J580" s="52" t="n">
        <v>45421</v>
      </c>
      <c r="K580" s="53" t="n">
        <v>184.99</v>
      </c>
    </row>
    <row r="581" ht="15" customHeight="1" s="32">
      <c r="A581" s="46" t="inlineStr">
        <is>
          <t>L-HB-0580</t>
        </is>
      </c>
      <c r="B581" s="46" t="inlineStr">
        <is>
          <t>R-HB-0580</t>
        </is>
      </c>
      <c r="C581" s="48" t="inlineStr">
        <is>
          <t>항공</t>
        </is>
      </c>
      <c r="D581" s="48" t="inlineStr">
        <is>
          <t>인천공항</t>
        </is>
      </c>
      <c r="E581" s="46" t="inlineStr">
        <is>
          <t>ICN</t>
        </is>
      </c>
      <c r="F581" s="48" t="inlineStr">
        <is>
          <t>로스앤젤레스공항</t>
        </is>
      </c>
      <c r="G581" s="46" t="inlineStr">
        <is>
          <t>LAX</t>
        </is>
      </c>
      <c r="H581" s="47" t="n">
        <v>45418</v>
      </c>
      <c r="I581" s="52" t="n">
        <v>45421</v>
      </c>
      <c r="J581" s="52" t="n">
        <v>45421</v>
      </c>
      <c r="K581" s="53" t="n">
        <v>496.31</v>
      </c>
    </row>
    <row r="582" ht="15" customHeight="1" s="32">
      <c r="A582" s="46" t="inlineStr">
        <is>
          <t>L-HB-0581</t>
        </is>
      </c>
      <c r="B582" s="46" t="inlineStr">
        <is>
          <t>R-HB-0581</t>
        </is>
      </c>
      <c r="C582" s="48" t="inlineStr">
        <is>
          <t>항공</t>
        </is>
      </c>
      <c r="D582" s="48" t="inlineStr">
        <is>
          <t>인천공항</t>
        </is>
      </c>
      <c r="E582" s="46" t="inlineStr">
        <is>
          <t>ICN</t>
        </is>
      </c>
      <c r="F582" s="48" t="inlineStr">
        <is>
          <t>로스앤젤레스공항</t>
        </is>
      </c>
      <c r="G582" s="46" t="inlineStr">
        <is>
          <t>LAX</t>
        </is>
      </c>
      <c r="H582" s="47" t="n">
        <v>45419</v>
      </c>
      <c r="I582" s="52" t="n">
        <v>45423</v>
      </c>
      <c r="J582" s="52" t="n">
        <v>45427</v>
      </c>
      <c r="K582" s="53" t="n">
        <v>155.96</v>
      </c>
    </row>
    <row r="583" ht="15" customHeight="1" s="32">
      <c r="A583" s="46" t="inlineStr">
        <is>
          <t>L-HB-0582</t>
        </is>
      </c>
      <c r="B583" s="46" t="inlineStr">
        <is>
          <t>R-HB-0582</t>
        </is>
      </c>
      <c r="C583" s="48" t="inlineStr">
        <is>
          <t>항공</t>
        </is>
      </c>
      <c r="D583" s="48" t="inlineStr">
        <is>
          <t>인천공항</t>
        </is>
      </c>
      <c r="E583" s="46" t="inlineStr">
        <is>
          <t>ICN</t>
        </is>
      </c>
      <c r="F583" s="48" t="inlineStr">
        <is>
          <t>선전공항</t>
        </is>
      </c>
      <c r="G583" s="46" t="inlineStr">
        <is>
          <t>SZX</t>
        </is>
      </c>
      <c r="H583" s="47" t="n">
        <v>45419</v>
      </c>
      <c r="I583" s="52" t="n">
        <v>45420</v>
      </c>
      <c r="J583" s="52" t="n">
        <v>45420</v>
      </c>
      <c r="K583" s="53" t="n">
        <v>406.59</v>
      </c>
    </row>
    <row r="584" ht="15" customHeight="1" s="32">
      <c r="A584" s="46" t="inlineStr">
        <is>
          <t>L-HB-0583</t>
        </is>
      </c>
      <c r="B584" s="46" t="inlineStr">
        <is>
          <t>R-HB-0583</t>
        </is>
      </c>
      <c r="C584" s="48" t="inlineStr">
        <is>
          <t>항공</t>
        </is>
      </c>
      <c r="D584" s="48" t="inlineStr">
        <is>
          <t>인천공항</t>
        </is>
      </c>
      <c r="E584" s="46" t="inlineStr">
        <is>
          <t>ICN</t>
        </is>
      </c>
      <c r="F584" s="48" t="inlineStr">
        <is>
          <t>시애틀공항</t>
        </is>
      </c>
      <c r="G584" s="46" t="inlineStr">
        <is>
          <t>SEA</t>
        </is>
      </c>
      <c r="H584" s="47" t="n">
        <v>45420</v>
      </c>
      <c r="I584" s="52" t="n">
        <v>45422</v>
      </c>
      <c r="J584" s="52" t="n">
        <v>45422</v>
      </c>
      <c r="K584" s="53" t="n">
        <v>135</v>
      </c>
    </row>
    <row r="585" ht="15" customHeight="1" s="32">
      <c r="A585" s="46" t="inlineStr">
        <is>
          <t>L-HB-0584</t>
        </is>
      </c>
      <c r="B585" s="46" t="inlineStr">
        <is>
          <t>R-HB-0584</t>
        </is>
      </c>
      <c r="C585" s="48" t="inlineStr">
        <is>
          <t>항공</t>
        </is>
      </c>
      <c r="D585" s="48" t="inlineStr">
        <is>
          <t>인천공항</t>
        </is>
      </c>
      <c r="E585" s="46" t="inlineStr">
        <is>
          <t>ICN</t>
        </is>
      </c>
      <c r="F585" s="48" t="inlineStr">
        <is>
          <t>과달라하라공항</t>
        </is>
      </c>
      <c r="G585" s="46" t="inlineStr">
        <is>
          <t>GDL</t>
        </is>
      </c>
      <c r="H585" s="47" t="n">
        <v>45421</v>
      </c>
      <c r="I585" s="52" t="n">
        <v>45425</v>
      </c>
      <c r="J585" s="52" t="n">
        <v>45425</v>
      </c>
      <c r="K585" s="53" t="n">
        <v>138.39</v>
      </c>
    </row>
    <row r="586" ht="15" customHeight="1" s="32">
      <c r="A586" s="46" t="inlineStr">
        <is>
          <t>L-HB-0585</t>
        </is>
      </c>
      <c r="B586" s="46" t="inlineStr">
        <is>
          <t>R-HB-0585</t>
        </is>
      </c>
      <c r="C586" s="48" t="inlineStr">
        <is>
          <t>항공</t>
        </is>
      </c>
      <c r="D586" s="48" t="inlineStr">
        <is>
          <t>인천공항</t>
        </is>
      </c>
      <c r="E586" s="46" t="inlineStr">
        <is>
          <t>ICN</t>
        </is>
      </c>
      <c r="F586" s="48" t="inlineStr">
        <is>
          <t>프랑크푸르트공항</t>
        </is>
      </c>
      <c r="G586" s="46" t="inlineStr">
        <is>
          <t>FRA</t>
        </is>
      </c>
      <c r="H586" s="47" t="n">
        <v>45421</v>
      </c>
      <c r="I586" s="52" t="n">
        <v>45426</v>
      </c>
      <c r="J586" s="52" t="n">
        <v>45426</v>
      </c>
      <c r="K586" s="53" t="n">
        <v>135</v>
      </c>
    </row>
    <row r="587" ht="15" customHeight="1" s="32">
      <c r="A587" s="46" t="inlineStr">
        <is>
          <t>L-HB-0586</t>
        </is>
      </c>
      <c r="B587" s="46" t="inlineStr">
        <is>
          <t>R-HB-0586</t>
        </is>
      </c>
      <c r="C587" s="48" t="inlineStr">
        <is>
          <t>항공</t>
        </is>
      </c>
      <c r="D587" s="48" t="inlineStr">
        <is>
          <t>인천공항</t>
        </is>
      </c>
      <c r="E587" s="46" t="inlineStr">
        <is>
          <t>ICN</t>
        </is>
      </c>
      <c r="F587" s="48" t="inlineStr">
        <is>
          <t>프랑크푸르트공항</t>
        </is>
      </c>
      <c r="G587" s="46" t="inlineStr">
        <is>
          <t>FRA</t>
        </is>
      </c>
      <c r="H587" s="47" t="n">
        <v>45421</v>
      </c>
      <c r="I587" s="52" t="n">
        <v>45424</v>
      </c>
      <c r="J587" s="52" t="n">
        <v>45424</v>
      </c>
      <c r="K587" s="53" t="n">
        <v>147.17</v>
      </c>
    </row>
    <row r="588" ht="15" customHeight="1" s="32">
      <c r="A588" s="46" t="inlineStr">
        <is>
          <t>L-HB-0587</t>
        </is>
      </c>
      <c r="B588" s="46" t="inlineStr">
        <is>
          <t>R-HB-0587</t>
        </is>
      </c>
      <c r="C588" s="48" t="inlineStr">
        <is>
          <t>항공</t>
        </is>
      </c>
      <c r="D588" s="48" t="inlineStr">
        <is>
          <t>인천공항</t>
        </is>
      </c>
      <c r="E588" s="46" t="inlineStr">
        <is>
          <t>ICN</t>
        </is>
      </c>
      <c r="F588" s="48" t="inlineStr">
        <is>
          <t>시애틀공항</t>
        </is>
      </c>
      <c r="G588" s="46" t="inlineStr">
        <is>
          <t>SEA</t>
        </is>
      </c>
      <c r="H588" s="47" t="n">
        <v>45422</v>
      </c>
      <c r="I588" s="52" t="n">
        <v>45426</v>
      </c>
      <c r="J588" s="52" t="n">
        <v>45426</v>
      </c>
      <c r="K588" s="53" t="n">
        <v>298.48</v>
      </c>
    </row>
    <row r="589" ht="15" customHeight="1" s="32">
      <c r="A589" s="46" t="inlineStr">
        <is>
          <t>L-HB-0588</t>
        </is>
      </c>
      <c r="B589" s="46" t="inlineStr">
        <is>
          <t>R-HB-0588</t>
        </is>
      </c>
      <c r="C589" s="48" t="inlineStr">
        <is>
          <t>항공</t>
        </is>
      </c>
      <c r="D589" s="48" t="inlineStr">
        <is>
          <t>인천공항</t>
        </is>
      </c>
      <c r="E589" s="46" t="inlineStr">
        <is>
          <t>ICN</t>
        </is>
      </c>
      <c r="F589" s="48" t="inlineStr">
        <is>
          <t>하노이공항</t>
        </is>
      </c>
      <c r="G589" s="46" t="inlineStr">
        <is>
          <t>HAN</t>
        </is>
      </c>
      <c r="H589" s="47" t="n">
        <v>45422</v>
      </c>
      <c r="I589" s="52" t="n">
        <v>45424</v>
      </c>
      <c r="J589" s="52" t="n">
        <v>45424</v>
      </c>
      <c r="K589" s="53" t="n">
        <v>135</v>
      </c>
    </row>
    <row r="590" ht="15" customHeight="1" s="32">
      <c r="A590" s="46" t="inlineStr">
        <is>
          <t>L-HB-0589</t>
        </is>
      </c>
      <c r="B590" s="46" t="inlineStr">
        <is>
          <t>R-HB-0589</t>
        </is>
      </c>
      <c r="C590" s="48" t="inlineStr">
        <is>
          <t>항공</t>
        </is>
      </c>
      <c r="D590" s="48" t="inlineStr">
        <is>
          <t>인천공항</t>
        </is>
      </c>
      <c r="E590" s="46" t="inlineStr">
        <is>
          <t>ICN</t>
        </is>
      </c>
      <c r="F590" s="48" t="inlineStr">
        <is>
          <t>델리공항</t>
        </is>
      </c>
      <c r="G590" s="46" t="inlineStr">
        <is>
          <t>DEL</t>
        </is>
      </c>
      <c r="H590" s="47" t="n">
        <v>45422</v>
      </c>
      <c r="I590" s="52" t="n">
        <v>45424</v>
      </c>
      <c r="J590" s="52" t="n">
        <v>45424</v>
      </c>
      <c r="K590" s="53" t="n">
        <v>135</v>
      </c>
    </row>
    <row r="591" ht="15" customHeight="1" s="32">
      <c r="A591" s="46" t="inlineStr">
        <is>
          <t>L-HB-0590</t>
        </is>
      </c>
      <c r="B591" s="46" t="inlineStr">
        <is>
          <t>R-HB-0590</t>
        </is>
      </c>
      <c r="C591" s="48" t="inlineStr">
        <is>
          <t>해상</t>
        </is>
      </c>
      <c r="D591" s="48" t="inlineStr">
        <is>
          <t>부산항</t>
        </is>
      </c>
      <c r="E591" s="46" t="inlineStr">
        <is>
          <t>KRPUS</t>
        </is>
      </c>
      <c r="F591" s="48" t="inlineStr">
        <is>
          <t>서커우항</t>
        </is>
      </c>
      <c r="G591" s="46" t="inlineStr">
        <is>
          <t>CNSHK</t>
        </is>
      </c>
      <c r="H591" s="47" t="n">
        <v>45422</v>
      </c>
      <c r="I591" s="52" t="n">
        <v>45429</v>
      </c>
      <c r="J591" s="52" t="n">
        <v>45431</v>
      </c>
      <c r="K591" s="53" t="n">
        <v>530</v>
      </c>
    </row>
    <row r="592" ht="15" customHeight="1" s="32">
      <c r="A592" s="46" t="inlineStr">
        <is>
          <t>L-HB-0591</t>
        </is>
      </c>
      <c r="B592" s="46" t="inlineStr">
        <is>
          <t>R-HB-0591</t>
        </is>
      </c>
      <c r="C592" s="48" t="inlineStr">
        <is>
          <t>항공</t>
        </is>
      </c>
      <c r="D592" s="48" t="inlineStr">
        <is>
          <t>인천공항</t>
        </is>
      </c>
      <c r="E592" s="46" t="inlineStr">
        <is>
          <t>ICN</t>
        </is>
      </c>
      <c r="F592" s="48" t="inlineStr">
        <is>
          <t>시애틀공항</t>
        </is>
      </c>
      <c r="G592" s="46" t="inlineStr">
        <is>
          <t>SEA</t>
        </is>
      </c>
      <c r="H592" s="47" t="n">
        <v>45423</v>
      </c>
      <c r="I592" s="52" t="n">
        <v>45426</v>
      </c>
      <c r="J592" s="52" t="n">
        <v>45429</v>
      </c>
      <c r="K592" s="53" t="n">
        <v>135</v>
      </c>
    </row>
    <row r="593" ht="15" customHeight="1" s="32">
      <c r="A593" s="46" t="inlineStr">
        <is>
          <t>L-HB-0592</t>
        </is>
      </c>
      <c r="B593" s="46" t="inlineStr">
        <is>
          <t>R-HB-0592</t>
        </is>
      </c>
      <c r="C593" s="48" t="inlineStr">
        <is>
          <t>항공</t>
        </is>
      </c>
      <c r="D593" s="48" t="inlineStr">
        <is>
          <t>인천공항</t>
        </is>
      </c>
      <c r="E593" s="46" t="inlineStr">
        <is>
          <t>ICN</t>
        </is>
      </c>
      <c r="F593" s="48" t="inlineStr">
        <is>
          <t>하노이공항</t>
        </is>
      </c>
      <c r="G593" s="46" t="inlineStr">
        <is>
          <t>HAN</t>
        </is>
      </c>
      <c r="H593" s="47" t="n">
        <v>45423</v>
      </c>
      <c r="I593" s="52" t="n">
        <v>45424</v>
      </c>
      <c r="J593" s="52" t="n">
        <v>45423</v>
      </c>
      <c r="K593" s="53" t="n">
        <v>225.98</v>
      </c>
    </row>
    <row r="594" ht="15" customHeight="1" s="32">
      <c r="A594" s="46" t="inlineStr">
        <is>
          <t>L-HB-0593</t>
        </is>
      </c>
      <c r="B594" s="46" t="inlineStr">
        <is>
          <t>R-HB-0593</t>
        </is>
      </c>
      <c r="C594" s="48" t="inlineStr">
        <is>
          <t>항공</t>
        </is>
      </c>
      <c r="D594" s="48" t="inlineStr">
        <is>
          <t>인천공항</t>
        </is>
      </c>
      <c r="E594" s="46" t="inlineStr">
        <is>
          <t>ICN</t>
        </is>
      </c>
      <c r="F594" s="48" t="inlineStr">
        <is>
          <t>델리공항</t>
        </is>
      </c>
      <c r="G594" s="46" t="inlineStr">
        <is>
          <t>DEL</t>
        </is>
      </c>
      <c r="H594" s="47" t="n">
        <v>45425</v>
      </c>
      <c r="I594" s="52" t="n">
        <v>45428</v>
      </c>
      <c r="J594" s="52" t="n">
        <v>45428</v>
      </c>
      <c r="K594" s="53" t="n">
        <v>178.63</v>
      </c>
    </row>
    <row r="595" ht="15" customHeight="1" s="32">
      <c r="A595" s="46" t="inlineStr">
        <is>
          <t>L-HB-0594</t>
        </is>
      </c>
      <c r="B595" s="46" t="inlineStr">
        <is>
          <t>R-HB-0594</t>
        </is>
      </c>
      <c r="C595" s="48" t="inlineStr">
        <is>
          <t>항공</t>
        </is>
      </c>
      <c r="D595" s="48" t="inlineStr">
        <is>
          <t>인천공항</t>
        </is>
      </c>
      <c r="E595" s="46" t="inlineStr">
        <is>
          <t>ICN</t>
        </is>
      </c>
      <c r="F595" s="48" t="inlineStr">
        <is>
          <t>선전공항</t>
        </is>
      </c>
      <c r="G595" s="46" t="inlineStr">
        <is>
          <t>SZX</t>
        </is>
      </c>
      <c r="H595" s="47" t="n">
        <v>45425</v>
      </c>
      <c r="I595" s="52" t="n">
        <v>45426</v>
      </c>
      <c r="J595" s="52" t="n">
        <v>45426</v>
      </c>
      <c r="K595" s="53" t="n">
        <v>135</v>
      </c>
    </row>
    <row r="596" ht="15" customHeight="1" s="32">
      <c r="A596" s="46" t="inlineStr">
        <is>
          <t>L-HB-0595</t>
        </is>
      </c>
      <c r="B596" s="46" t="inlineStr">
        <is>
          <t>R-HB-0595</t>
        </is>
      </c>
      <c r="C596" s="48" t="inlineStr">
        <is>
          <t>항공</t>
        </is>
      </c>
      <c r="D596" s="48" t="inlineStr">
        <is>
          <t>인천공항</t>
        </is>
      </c>
      <c r="E596" s="46" t="inlineStr">
        <is>
          <t>ICN</t>
        </is>
      </c>
      <c r="F596" s="48" t="inlineStr">
        <is>
          <t>충칭공항</t>
        </is>
      </c>
      <c r="G596" s="46" t="inlineStr">
        <is>
          <t>CKG</t>
        </is>
      </c>
      <c r="H596" s="47" t="n">
        <v>45425</v>
      </c>
      <c r="I596" s="52" t="n">
        <v>45426</v>
      </c>
      <c r="J596" s="52" t="n">
        <v>45426</v>
      </c>
      <c r="K596" s="53" t="n">
        <v>288.21</v>
      </c>
    </row>
    <row r="597" ht="15" customHeight="1" s="32">
      <c r="A597" s="46" t="inlineStr">
        <is>
          <t>L-HB-0596</t>
        </is>
      </c>
      <c r="B597" s="46" t="inlineStr">
        <is>
          <t>R-HB-0596</t>
        </is>
      </c>
      <c r="C597" s="48" t="inlineStr">
        <is>
          <t>항공</t>
        </is>
      </c>
      <c r="D597" s="48" t="inlineStr">
        <is>
          <t>인천공항</t>
        </is>
      </c>
      <c r="E597" s="46" t="inlineStr">
        <is>
          <t>ICN</t>
        </is>
      </c>
      <c r="F597" s="48" t="inlineStr">
        <is>
          <t>과달라하라공항</t>
        </is>
      </c>
      <c r="G597" s="46" t="inlineStr">
        <is>
          <t>GDL</t>
        </is>
      </c>
      <c r="H597" s="47" t="n">
        <v>45427</v>
      </c>
      <c r="I597" s="52" t="n">
        <v>45431</v>
      </c>
      <c r="J597" s="52" t="n">
        <v>45431</v>
      </c>
      <c r="K597" s="53" t="n">
        <v>135</v>
      </c>
    </row>
    <row r="598" ht="15" customHeight="1" s="32">
      <c r="A598" s="46" t="inlineStr">
        <is>
          <t>L-HB-0597</t>
        </is>
      </c>
      <c r="B598" s="46" t="inlineStr">
        <is>
          <t>R-HB-0597</t>
        </is>
      </c>
      <c r="C598" s="48" t="inlineStr">
        <is>
          <t>해상</t>
        </is>
      </c>
      <c r="D598" s="48" t="inlineStr">
        <is>
          <t>부산항</t>
        </is>
      </c>
      <c r="E598" s="46" t="inlineStr">
        <is>
          <t>KRPUS</t>
        </is>
      </c>
      <c r="F598" s="48" t="inlineStr">
        <is>
          <t>상하이항</t>
        </is>
      </c>
      <c r="G598" s="46" t="inlineStr">
        <is>
          <t>CNSHA</t>
        </is>
      </c>
      <c r="H598" s="47" t="n">
        <v>45427</v>
      </c>
      <c r="I598" s="52" t="n">
        <v>45432</v>
      </c>
      <c r="J598" s="52" t="n">
        <v>45430</v>
      </c>
      <c r="K598" s="53" t="n">
        <v>530</v>
      </c>
    </row>
    <row r="599" ht="15" customHeight="1" s="32">
      <c r="A599" s="46" t="inlineStr">
        <is>
          <t>L-HB-0598</t>
        </is>
      </c>
      <c r="B599" s="46" t="inlineStr">
        <is>
          <t>R-HB-0598</t>
        </is>
      </c>
      <c r="C599" s="48" t="inlineStr">
        <is>
          <t>항공</t>
        </is>
      </c>
      <c r="D599" s="48" t="inlineStr">
        <is>
          <t>인천공항</t>
        </is>
      </c>
      <c r="E599" s="46" t="inlineStr">
        <is>
          <t>ICN</t>
        </is>
      </c>
      <c r="F599" s="48" t="inlineStr">
        <is>
          <t>충칭공항</t>
        </is>
      </c>
      <c r="G599" s="46" t="inlineStr">
        <is>
          <t>CKG</t>
        </is>
      </c>
      <c r="H599" s="47" t="n">
        <v>45427</v>
      </c>
      <c r="I599" s="52" t="n">
        <v>45428</v>
      </c>
      <c r="J599" s="52" t="n">
        <v>45428</v>
      </c>
      <c r="K599" s="53" t="n">
        <v>135</v>
      </c>
    </row>
    <row r="600" ht="15" customHeight="1" s="32">
      <c r="A600" s="46" t="inlineStr">
        <is>
          <t>L-HB-0599</t>
        </is>
      </c>
      <c r="B600" s="46" t="inlineStr">
        <is>
          <t>R-HB-0599</t>
        </is>
      </c>
      <c r="C600" s="48" t="inlineStr">
        <is>
          <t>항공</t>
        </is>
      </c>
      <c r="D600" s="48" t="inlineStr">
        <is>
          <t>인천공항</t>
        </is>
      </c>
      <c r="E600" s="46" t="inlineStr">
        <is>
          <t>ICN</t>
        </is>
      </c>
      <c r="F600" s="48" t="inlineStr">
        <is>
          <t>과달라하라공항</t>
        </is>
      </c>
      <c r="G600" s="46" t="inlineStr">
        <is>
          <t>GDL</t>
        </is>
      </c>
      <c r="H600" s="47" t="n">
        <v>45429</v>
      </c>
      <c r="I600" s="52" t="n">
        <v>45432</v>
      </c>
      <c r="J600" s="52" t="n">
        <v>45432</v>
      </c>
      <c r="K600" s="53" t="n">
        <v>135</v>
      </c>
    </row>
    <row r="601" ht="15" customHeight="1" s="32">
      <c r="A601" s="46" t="inlineStr">
        <is>
          <t>L-HB-0600</t>
        </is>
      </c>
      <c r="B601" s="46" t="inlineStr">
        <is>
          <t>R-HB-0600</t>
        </is>
      </c>
      <c r="C601" s="48" t="inlineStr">
        <is>
          <t>항공</t>
        </is>
      </c>
      <c r="D601" s="48" t="inlineStr">
        <is>
          <t>인천공항</t>
        </is>
      </c>
      <c r="E601" s="46" t="inlineStr">
        <is>
          <t>ICN</t>
        </is>
      </c>
      <c r="F601" s="48" t="inlineStr">
        <is>
          <t>토론토공항</t>
        </is>
      </c>
      <c r="G601" s="46" t="inlineStr">
        <is>
          <t>YYZ</t>
        </is>
      </c>
      <c r="H601" s="47" t="n">
        <v>45429</v>
      </c>
      <c r="I601" s="52" t="n">
        <v>45432</v>
      </c>
      <c r="J601" s="52" t="n">
        <v>45432</v>
      </c>
      <c r="K601" s="53" t="n">
        <v>135</v>
      </c>
    </row>
    <row r="602" ht="15" customHeight="1" s="32">
      <c r="A602" s="46" t="inlineStr">
        <is>
          <t>L-HB-0601</t>
        </is>
      </c>
      <c r="B602" s="46" t="inlineStr">
        <is>
          <t>R-HB-0601</t>
        </is>
      </c>
      <c r="C602" s="48" t="inlineStr">
        <is>
          <t>해상</t>
        </is>
      </c>
      <c r="D602" s="48" t="inlineStr">
        <is>
          <t>부산항</t>
        </is>
      </c>
      <c r="E602" s="46" t="inlineStr">
        <is>
          <t>KRPUS</t>
        </is>
      </c>
      <c r="F602" s="48" t="inlineStr">
        <is>
          <t>하이퐁항</t>
        </is>
      </c>
      <c r="G602" s="46" t="inlineStr">
        <is>
          <t>VNHPH</t>
        </is>
      </c>
      <c r="H602" s="47" t="n">
        <v>45430</v>
      </c>
      <c r="I602" s="52" t="n">
        <v>45438</v>
      </c>
      <c r="J602" s="52" t="n">
        <v>45438</v>
      </c>
      <c r="K602" s="53" t="n">
        <v>530</v>
      </c>
    </row>
    <row r="603" ht="15" customHeight="1" s="32">
      <c r="A603" s="46" t="inlineStr">
        <is>
          <t>L-HB-0602</t>
        </is>
      </c>
      <c r="B603" s="46" t="inlineStr">
        <is>
          <t>R-HB-0602</t>
        </is>
      </c>
      <c r="C603" s="48" t="inlineStr">
        <is>
          <t>항공</t>
        </is>
      </c>
      <c r="D603" s="48" t="inlineStr">
        <is>
          <t>인천공항</t>
        </is>
      </c>
      <c r="E603" s="46" t="inlineStr">
        <is>
          <t>ICN</t>
        </is>
      </c>
      <c r="F603" s="48" t="inlineStr">
        <is>
          <t>토론토공항</t>
        </is>
      </c>
      <c r="G603" s="46" t="inlineStr">
        <is>
          <t>YYZ</t>
        </is>
      </c>
      <c r="H603" s="47" t="n">
        <v>45432</v>
      </c>
      <c r="I603" s="52" t="n">
        <v>45436</v>
      </c>
      <c r="J603" s="52" t="n">
        <v>45435</v>
      </c>
      <c r="K603" s="53" t="n">
        <v>135</v>
      </c>
    </row>
    <row r="604" ht="15" customHeight="1" s="32">
      <c r="A604" s="46" t="inlineStr">
        <is>
          <t>L-HB-0603</t>
        </is>
      </c>
      <c r="B604" s="46" t="inlineStr">
        <is>
          <t>R-HB-0603</t>
        </is>
      </c>
      <c r="C604" s="48" t="inlineStr">
        <is>
          <t>항공</t>
        </is>
      </c>
      <c r="D604" s="48" t="inlineStr">
        <is>
          <t>인천공항</t>
        </is>
      </c>
      <c r="E604" s="46" t="inlineStr">
        <is>
          <t>ICN</t>
        </is>
      </c>
      <c r="F604" s="48" t="inlineStr">
        <is>
          <t>토론토공항</t>
        </is>
      </c>
      <c r="G604" s="46" t="inlineStr">
        <is>
          <t>YYZ</t>
        </is>
      </c>
      <c r="H604" s="47" t="n">
        <v>45432</v>
      </c>
      <c r="I604" s="52" t="n">
        <v>45435</v>
      </c>
      <c r="J604" s="52" t="n">
        <v>45437</v>
      </c>
      <c r="K604" s="53" t="n">
        <v>135</v>
      </c>
    </row>
    <row r="605" ht="15" customHeight="1" s="32">
      <c r="A605" s="46" t="inlineStr">
        <is>
          <t>L-HB-0604</t>
        </is>
      </c>
      <c r="B605" s="46" t="inlineStr">
        <is>
          <t>R-HB-0604</t>
        </is>
      </c>
      <c r="C605" s="48" t="inlineStr">
        <is>
          <t>항공</t>
        </is>
      </c>
      <c r="D605" s="48" t="inlineStr">
        <is>
          <t>인천공항</t>
        </is>
      </c>
      <c r="E605" s="46" t="inlineStr">
        <is>
          <t>ICN</t>
        </is>
      </c>
      <c r="F605" s="48" t="inlineStr">
        <is>
          <t>델리공항</t>
        </is>
      </c>
      <c r="G605" s="46" t="inlineStr">
        <is>
          <t>DEL</t>
        </is>
      </c>
      <c r="H605" s="47" t="n">
        <v>45432</v>
      </c>
      <c r="I605" s="52" t="n">
        <v>45434</v>
      </c>
      <c r="J605" s="52" t="n">
        <v>45434</v>
      </c>
      <c r="K605" s="53" t="n">
        <v>137.46</v>
      </c>
    </row>
    <row r="606" ht="15" customHeight="1" s="32">
      <c r="A606" s="46" t="inlineStr">
        <is>
          <t>L-HB-0605</t>
        </is>
      </c>
      <c r="B606" s="46" t="inlineStr">
        <is>
          <t>R-HB-0605</t>
        </is>
      </c>
      <c r="C606" s="48" t="inlineStr">
        <is>
          <t>항공</t>
        </is>
      </c>
      <c r="D606" s="48" t="inlineStr">
        <is>
          <t>인천공항</t>
        </is>
      </c>
      <c r="E606" s="46" t="inlineStr">
        <is>
          <t>ICN</t>
        </is>
      </c>
      <c r="F606" s="48" t="inlineStr">
        <is>
          <t>프랑크푸르트공항</t>
        </is>
      </c>
      <c r="G606" s="46" t="inlineStr">
        <is>
          <t>FRA</t>
        </is>
      </c>
      <c r="H606" s="47" t="n">
        <v>45433</v>
      </c>
      <c r="I606" s="52" t="n">
        <v>45438</v>
      </c>
      <c r="J606" s="52" t="n">
        <v>45437</v>
      </c>
      <c r="K606" s="53" t="n">
        <v>281.55</v>
      </c>
    </row>
    <row r="607" ht="15" customHeight="1" s="32">
      <c r="A607" s="46" t="inlineStr">
        <is>
          <t>L-HB-0606</t>
        </is>
      </c>
      <c r="B607" s="46" t="inlineStr">
        <is>
          <t>R-HB-0606</t>
        </is>
      </c>
      <c r="C607" s="48" t="inlineStr">
        <is>
          <t>항공</t>
        </is>
      </c>
      <c r="D607" s="48" t="inlineStr">
        <is>
          <t>인천공항</t>
        </is>
      </c>
      <c r="E607" s="46" t="inlineStr">
        <is>
          <t>ICN</t>
        </is>
      </c>
      <c r="F607" s="48" t="inlineStr">
        <is>
          <t>하노이공항</t>
        </is>
      </c>
      <c r="G607" s="46" t="inlineStr">
        <is>
          <t>HAN</t>
        </is>
      </c>
      <c r="H607" s="47" t="n">
        <v>45435</v>
      </c>
      <c r="I607" s="52" t="n">
        <v>45438</v>
      </c>
      <c r="J607" s="52" t="n">
        <v>45438</v>
      </c>
      <c r="K607" s="53" t="n">
        <v>135</v>
      </c>
    </row>
    <row r="608" ht="15" customHeight="1" s="32">
      <c r="A608" s="46" t="inlineStr">
        <is>
          <t>L-HB-0607</t>
        </is>
      </c>
      <c r="B608" s="46" t="inlineStr">
        <is>
          <t>R-HB-0607</t>
        </is>
      </c>
      <c r="C608" s="48" t="inlineStr">
        <is>
          <t>항공</t>
        </is>
      </c>
      <c r="D608" s="48" t="inlineStr">
        <is>
          <t>인천공항</t>
        </is>
      </c>
      <c r="E608" s="46" t="inlineStr">
        <is>
          <t>ICN</t>
        </is>
      </c>
      <c r="F608" s="48" t="inlineStr">
        <is>
          <t>선전공항</t>
        </is>
      </c>
      <c r="G608" s="46" t="inlineStr">
        <is>
          <t>SZX</t>
        </is>
      </c>
      <c r="H608" s="47" t="n">
        <v>45435</v>
      </c>
      <c r="I608" s="52" t="n">
        <v>45438</v>
      </c>
      <c r="J608" s="52" t="n">
        <v>45437</v>
      </c>
      <c r="K608" s="53" t="n">
        <v>135</v>
      </c>
    </row>
    <row r="609" ht="15" customHeight="1" s="32">
      <c r="A609" s="46" t="inlineStr">
        <is>
          <t>L-HB-0608</t>
        </is>
      </c>
      <c r="B609" s="46" t="inlineStr">
        <is>
          <t>R-HB-0608</t>
        </is>
      </c>
      <c r="C609" s="48" t="inlineStr">
        <is>
          <t>항공</t>
        </is>
      </c>
      <c r="D609" s="48" t="inlineStr">
        <is>
          <t>인천공항</t>
        </is>
      </c>
      <c r="E609" s="46" t="inlineStr">
        <is>
          <t>ICN</t>
        </is>
      </c>
      <c r="F609" s="48" t="inlineStr">
        <is>
          <t>프랑크푸르트공항</t>
        </is>
      </c>
      <c r="G609" s="46" t="inlineStr">
        <is>
          <t>FRA</t>
        </is>
      </c>
      <c r="H609" s="47" t="n">
        <v>45436</v>
      </c>
      <c r="I609" s="52" t="n">
        <v>45439</v>
      </c>
      <c r="J609" s="52" t="n">
        <v>45439</v>
      </c>
      <c r="K609" s="53" t="n">
        <v>470.96</v>
      </c>
    </row>
    <row r="610" ht="15" customHeight="1" s="32">
      <c r="A610" s="46" t="inlineStr">
        <is>
          <t>L-HB-0609</t>
        </is>
      </c>
      <c r="B610" s="46" t="inlineStr">
        <is>
          <t>R-HB-0609</t>
        </is>
      </c>
      <c r="C610" s="48" t="inlineStr">
        <is>
          <t>항공</t>
        </is>
      </c>
      <c r="D610" s="48" t="inlineStr">
        <is>
          <t>인천공항</t>
        </is>
      </c>
      <c r="E610" s="46" t="inlineStr">
        <is>
          <t>ICN</t>
        </is>
      </c>
      <c r="F610" s="48" t="inlineStr">
        <is>
          <t>로스앤젤레스공항</t>
        </is>
      </c>
      <c r="G610" s="46" t="inlineStr">
        <is>
          <t>LAX</t>
        </is>
      </c>
      <c r="H610" s="47" t="n">
        <v>45437</v>
      </c>
      <c r="I610" s="52" t="n">
        <v>45440</v>
      </c>
      <c r="J610" s="52" t="n">
        <v>45440</v>
      </c>
      <c r="K610" s="53" t="n">
        <v>320.26</v>
      </c>
    </row>
    <row r="611" ht="15" customHeight="1" s="32">
      <c r="A611" s="46" t="inlineStr">
        <is>
          <t>L-HB-0610</t>
        </is>
      </c>
      <c r="B611" s="46" t="inlineStr">
        <is>
          <t>R-HB-0610</t>
        </is>
      </c>
      <c r="C611" s="48" t="inlineStr">
        <is>
          <t>항공</t>
        </is>
      </c>
      <c r="D611" s="48" t="inlineStr">
        <is>
          <t>인천공항</t>
        </is>
      </c>
      <c r="E611" s="46" t="inlineStr">
        <is>
          <t>ICN</t>
        </is>
      </c>
      <c r="F611" s="48" t="inlineStr">
        <is>
          <t>로스앤젤레스공항</t>
        </is>
      </c>
      <c r="G611" s="46" t="inlineStr">
        <is>
          <t>LAX</t>
        </is>
      </c>
      <c r="H611" s="47" t="n">
        <v>45438</v>
      </c>
      <c r="I611" s="52" t="n">
        <v>45442</v>
      </c>
      <c r="J611" s="52" t="n">
        <v>45442</v>
      </c>
      <c r="K611" s="53" t="n">
        <v>135</v>
      </c>
    </row>
    <row r="612" ht="15" customHeight="1" s="32">
      <c r="A612" s="46" t="inlineStr">
        <is>
          <t>L-HB-0611</t>
        </is>
      </c>
      <c r="B612" s="46" t="inlineStr">
        <is>
          <t>R-HB-0611</t>
        </is>
      </c>
      <c r="C612" s="48" t="inlineStr">
        <is>
          <t>항공</t>
        </is>
      </c>
      <c r="D612" s="48" t="inlineStr">
        <is>
          <t>인천공항</t>
        </is>
      </c>
      <c r="E612" s="46" t="inlineStr">
        <is>
          <t>ICN</t>
        </is>
      </c>
      <c r="F612" s="48" t="inlineStr">
        <is>
          <t>과달라하라공항</t>
        </is>
      </c>
      <c r="G612" s="46" t="inlineStr">
        <is>
          <t>GDL</t>
        </is>
      </c>
      <c r="H612" s="47" t="n">
        <v>45438</v>
      </c>
      <c r="I612" s="52" t="n">
        <v>45442</v>
      </c>
      <c r="J612" s="52" t="n">
        <v>45441</v>
      </c>
      <c r="K612" s="53" t="n">
        <v>135</v>
      </c>
    </row>
    <row r="613" ht="15" customHeight="1" s="32">
      <c r="A613" s="46" t="inlineStr">
        <is>
          <t>L-HB-0612</t>
        </is>
      </c>
      <c r="B613" s="46" t="inlineStr">
        <is>
          <t>R-HB-0612</t>
        </is>
      </c>
      <c r="C613" s="48" t="inlineStr">
        <is>
          <t>항공</t>
        </is>
      </c>
      <c r="D613" s="48" t="inlineStr">
        <is>
          <t>인천공항</t>
        </is>
      </c>
      <c r="E613" s="46" t="inlineStr">
        <is>
          <t>ICN</t>
        </is>
      </c>
      <c r="F613" s="48" t="inlineStr">
        <is>
          <t>토론토공항</t>
        </is>
      </c>
      <c r="G613" s="46" t="inlineStr">
        <is>
          <t>YYZ</t>
        </is>
      </c>
      <c r="H613" s="47" t="n">
        <v>45438</v>
      </c>
      <c r="I613" s="52" t="n">
        <v>45442</v>
      </c>
      <c r="J613" s="52" t="n">
        <v>45442</v>
      </c>
      <c r="K613" s="53" t="n">
        <v>135</v>
      </c>
    </row>
    <row r="614" ht="15" customHeight="1" s="32">
      <c r="A614" s="46" t="inlineStr">
        <is>
          <t>L-HB-0613</t>
        </is>
      </c>
      <c r="B614" s="46" t="inlineStr">
        <is>
          <t>R-HB-0613</t>
        </is>
      </c>
      <c r="C614" s="48" t="inlineStr">
        <is>
          <t>항공</t>
        </is>
      </c>
      <c r="D614" s="48" t="inlineStr">
        <is>
          <t>인천공항</t>
        </is>
      </c>
      <c r="E614" s="46" t="inlineStr">
        <is>
          <t>ICN</t>
        </is>
      </c>
      <c r="F614" s="48" t="inlineStr">
        <is>
          <t>시애틀공항</t>
        </is>
      </c>
      <c r="G614" s="46" t="inlineStr">
        <is>
          <t>SEA</t>
        </is>
      </c>
      <c r="H614" s="47" t="n">
        <v>45446</v>
      </c>
      <c r="I614" s="52" t="n">
        <v>45450</v>
      </c>
      <c r="J614" s="52" t="n">
        <v>45450</v>
      </c>
      <c r="K614" s="53" t="n">
        <v>135</v>
      </c>
    </row>
    <row r="615" ht="15" customHeight="1" s="32">
      <c r="A615" s="46" t="inlineStr">
        <is>
          <t>L-HB-0614</t>
        </is>
      </c>
      <c r="B615" s="46" t="inlineStr">
        <is>
          <t>R-HB-0614</t>
        </is>
      </c>
      <c r="C615" s="48" t="inlineStr">
        <is>
          <t>항공</t>
        </is>
      </c>
      <c r="D615" s="48" t="inlineStr">
        <is>
          <t>인천공항</t>
        </is>
      </c>
      <c r="E615" s="46" t="inlineStr">
        <is>
          <t>ICN</t>
        </is>
      </c>
      <c r="F615" s="48" t="inlineStr">
        <is>
          <t>하노이공항</t>
        </is>
      </c>
      <c r="G615" s="46" t="inlineStr">
        <is>
          <t>HAN</t>
        </is>
      </c>
      <c r="H615" s="47" t="n">
        <v>45447</v>
      </c>
      <c r="I615" s="52" t="n">
        <v>45448</v>
      </c>
      <c r="J615" s="52" t="n">
        <v>45447</v>
      </c>
      <c r="K615" s="53" t="n">
        <v>135</v>
      </c>
    </row>
    <row r="616" ht="15" customHeight="1" s="32">
      <c r="A616" s="46" t="inlineStr">
        <is>
          <t>L-HB-0615</t>
        </is>
      </c>
      <c r="B616" s="46" t="inlineStr">
        <is>
          <t>R-HB-0615</t>
        </is>
      </c>
      <c r="C616" s="48" t="inlineStr">
        <is>
          <t>항공</t>
        </is>
      </c>
      <c r="D616" s="48" t="inlineStr">
        <is>
          <t>인천공항</t>
        </is>
      </c>
      <c r="E616" s="46" t="inlineStr">
        <is>
          <t>ICN</t>
        </is>
      </c>
      <c r="F616" s="48" t="inlineStr">
        <is>
          <t>시애틀공항</t>
        </is>
      </c>
      <c r="G616" s="46" t="inlineStr">
        <is>
          <t>SEA</t>
        </is>
      </c>
      <c r="H616" s="47" t="n">
        <v>45448</v>
      </c>
      <c r="I616" s="52" t="n">
        <v>45450</v>
      </c>
      <c r="J616" s="52" t="n">
        <v>45450</v>
      </c>
      <c r="K616" s="53" t="n">
        <v>322.06</v>
      </c>
    </row>
    <row r="617" ht="15" customHeight="1" s="32">
      <c r="A617" s="46" t="inlineStr">
        <is>
          <t>L-HB-0616</t>
        </is>
      </c>
      <c r="B617" s="46" t="inlineStr">
        <is>
          <t>R-HB-0616</t>
        </is>
      </c>
      <c r="C617" s="48" t="inlineStr">
        <is>
          <t>항공</t>
        </is>
      </c>
      <c r="D617" s="48" t="inlineStr">
        <is>
          <t>인천공항</t>
        </is>
      </c>
      <c r="E617" s="46" t="inlineStr">
        <is>
          <t>ICN</t>
        </is>
      </c>
      <c r="F617" s="48" t="inlineStr">
        <is>
          <t>시애틀공항</t>
        </is>
      </c>
      <c r="G617" s="46" t="inlineStr">
        <is>
          <t>SEA</t>
        </is>
      </c>
      <c r="H617" s="47" t="n">
        <v>45449</v>
      </c>
      <c r="I617" s="52" t="n">
        <v>45451</v>
      </c>
      <c r="J617" s="52" t="n">
        <v>45450</v>
      </c>
      <c r="K617" s="53" t="n">
        <v>168.1</v>
      </c>
    </row>
    <row r="618" ht="15" customHeight="1" s="32">
      <c r="A618" s="46" t="inlineStr">
        <is>
          <t>L-HB-0617</t>
        </is>
      </c>
      <c r="B618" s="46" t="inlineStr">
        <is>
          <t>R-HB-0617</t>
        </is>
      </c>
      <c r="C618" s="48" t="inlineStr">
        <is>
          <t>항공</t>
        </is>
      </c>
      <c r="D618" s="48" t="inlineStr">
        <is>
          <t>인천공항</t>
        </is>
      </c>
      <c r="E618" s="46" t="inlineStr">
        <is>
          <t>ICN</t>
        </is>
      </c>
      <c r="F618" s="48" t="inlineStr">
        <is>
          <t>과달라하라공항</t>
        </is>
      </c>
      <c r="G618" s="46" t="inlineStr">
        <is>
          <t>GDL</t>
        </is>
      </c>
      <c r="H618" s="47" t="n">
        <v>45449</v>
      </c>
      <c r="I618" s="52" t="n">
        <v>45453</v>
      </c>
      <c r="J618" s="52" t="n">
        <v>45452</v>
      </c>
      <c r="K618" s="53" t="n">
        <v>150.47</v>
      </c>
    </row>
    <row r="619" ht="15" customHeight="1" s="32">
      <c r="A619" s="46" t="inlineStr">
        <is>
          <t>L-HB-0618</t>
        </is>
      </c>
      <c r="B619" s="46" t="inlineStr">
        <is>
          <t>R-HB-0618</t>
        </is>
      </c>
      <c r="C619" s="48" t="inlineStr">
        <is>
          <t>항공</t>
        </is>
      </c>
      <c r="D619" s="48" t="inlineStr">
        <is>
          <t>인천공항</t>
        </is>
      </c>
      <c r="E619" s="46" t="inlineStr">
        <is>
          <t>ICN</t>
        </is>
      </c>
      <c r="F619" s="48" t="inlineStr">
        <is>
          <t>하노이공항</t>
        </is>
      </c>
      <c r="G619" s="46" t="inlineStr">
        <is>
          <t>HAN</t>
        </is>
      </c>
      <c r="H619" s="47" t="n">
        <v>45449</v>
      </c>
      <c r="I619" s="52" t="n">
        <v>45451</v>
      </c>
      <c r="J619" s="52" t="n">
        <v>45451</v>
      </c>
      <c r="K619" s="53" t="n">
        <v>255.89</v>
      </c>
    </row>
    <row r="620" ht="15" customHeight="1" s="32">
      <c r="A620" s="46" t="inlineStr">
        <is>
          <t>L-HB-0619</t>
        </is>
      </c>
      <c r="B620" s="46" t="inlineStr">
        <is>
          <t>R-HB-0619</t>
        </is>
      </c>
      <c r="C620" s="48" t="inlineStr">
        <is>
          <t>항공</t>
        </is>
      </c>
      <c r="D620" s="48" t="inlineStr">
        <is>
          <t>인천공항</t>
        </is>
      </c>
      <c r="E620" s="46" t="inlineStr">
        <is>
          <t>ICN</t>
        </is>
      </c>
      <c r="F620" s="48" t="inlineStr">
        <is>
          <t>선전공항</t>
        </is>
      </c>
      <c r="G620" s="46" t="inlineStr">
        <is>
          <t>SZX</t>
        </is>
      </c>
      <c r="H620" s="47" t="n">
        <v>45449</v>
      </c>
      <c r="I620" s="52" t="n">
        <v>45452</v>
      </c>
      <c r="J620" s="52" t="n">
        <v>45452</v>
      </c>
      <c r="K620" s="53" t="n">
        <v>464.3</v>
      </c>
    </row>
    <row r="621" ht="15" customHeight="1" s="32">
      <c r="A621" s="46" t="inlineStr">
        <is>
          <t>L-HB-0620</t>
        </is>
      </c>
      <c r="B621" s="46" t="inlineStr">
        <is>
          <t>R-HB-0620</t>
        </is>
      </c>
      <c r="C621" s="48" t="inlineStr">
        <is>
          <t>해상</t>
        </is>
      </c>
      <c r="D621" s="48" t="inlineStr">
        <is>
          <t>부산항</t>
        </is>
      </c>
      <c r="E621" s="46" t="inlineStr">
        <is>
          <t>KRPUS</t>
        </is>
      </c>
      <c r="F621" s="48" t="inlineStr">
        <is>
          <t>상하이항</t>
        </is>
      </c>
      <c r="G621" s="46" t="inlineStr">
        <is>
          <t>CNSHA</t>
        </is>
      </c>
      <c r="H621" s="47" t="n">
        <v>45449</v>
      </c>
      <c r="I621" s="52" t="n">
        <v>45456</v>
      </c>
      <c r="J621" s="52" t="n">
        <v>45456</v>
      </c>
      <c r="K621" s="53" t="n">
        <v>530</v>
      </c>
    </row>
    <row r="622" ht="15" customHeight="1" s="32">
      <c r="A622" s="46" t="inlineStr">
        <is>
          <t>L-HB-0621</t>
        </is>
      </c>
      <c r="B622" s="46" t="inlineStr">
        <is>
          <t>R-HB-0621</t>
        </is>
      </c>
      <c r="C622" s="48" t="inlineStr">
        <is>
          <t>항공</t>
        </is>
      </c>
      <c r="D622" s="48" t="inlineStr">
        <is>
          <t>인천공항</t>
        </is>
      </c>
      <c r="E622" s="46" t="inlineStr">
        <is>
          <t>ICN</t>
        </is>
      </c>
      <c r="F622" s="48" t="inlineStr">
        <is>
          <t>로스앤젤레스공항</t>
        </is>
      </c>
      <c r="G622" s="46" t="inlineStr">
        <is>
          <t>LAX</t>
        </is>
      </c>
      <c r="H622" s="47" t="n">
        <v>45450</v>
      </c>
      <c r="I622" s="52" t="n">
        <v>45453</v>
      </c>
      <c r="J622" s="52" t="n">
        <v>45453</v>
      </c>
      <c r="K622" s="53" t="n">
        <v>168.71</v>
      </c>
    </row>
    <row r="623" ht="15" customHeight="1" s="32">
      <c r="A623" s="46" t="inlineStr">
        <is>
          <t>L-HB-0622</t>
        </is>
      </c>
      <c r="B623" s="46" t="inlineStr">
        <is>
          <t>R-HB-0622</t>
        </is>
      </c>
      <c r="C623" s="48" t="inlineStr">
        <is>
          <t>항공</t>
        </is>
      </c>
      <c r="D623" s="48" t="inlineStr">
        <is>
          <t>인천공항</t>
        </is>
      </c>
      <c r="E623" s="46" t="inlineStr">
        <is>
          <t>ICN</t>
        </is>
      </c>
      <c r="F623" s="48" t="inlineStr">
        <is>
          <t>델리공항</t>
        </is>
      </c>
      <c r="G623" s="46" t="inlineStr">
        <is>
          <t>DEL</t>
        </is>
      </c>
      <c r="H623" s="47" t="n">
        <v>45451</v>
      </c>
      <c r="I623" s="52" t="n">
        <v>45455</v>
      </c>
      <c r="J623" s="52" t="n">
        <v>45454</v>
      </c>
      <c r="K623" s="53" t="n">
        <v>135</v>
      </c>
    </row>
    <row r="624" ht="15" customHeight="1" s="32">
      <c r="A624" s="46" t="inlineStr">
        <is>
          <t>L-HB-0623</t>
        </is>
      </c>
      <c r="B624" s="46" t="inlineStr">
        <is>
          <t>R-HB-0623</t>
        </is>
      </c>
      <c r="C624" s="48" t="inlineStr">
        <is>
          <t>항공</t>
        </is>
      </c>
      <c r="D624" s="48" t="inlineStr">
        <is>
          <t>인천공항</t>
        </is>
      </c>
      <c r="E624" s="46" t="inlineStr">
        <is>
          <t>ICN</t>
        </is>
      </c>
      <c r="F624" s="48" t="inlineStr">
        <is>
          <t>시애틀공항</t>
        </is>
      </c>
      <c r="G624" s="46" t="inlineStr">
        <is>
          <t>SEA</t>
        </is>
      </c>
      <c r="H624" s="47" t="n">
        <v>45452</v>
      </c>
      <c r="I624" s="52" t="n">
        <v>45456</v>
      </c>
      <c r="J624" s="52" t="n">
        <v>45456</v>
      </c>
      <c r="K624" s="53" t="n">
        <v>135</v>
      </c>
    </row>
    <row r="625" ht="15" customHeight="1" s="32">
      <c r="A625" s="46" t="inlineStr">
        <is>
          <t>L-HB-0624</t>
        </is>
      </c>
      <c r="B625" s="46" t="inlineStr">
        <is>
          <t>R-HB-0624</t>
        </is>
      </c>
      <c r="C625" s="48" t="inlineStr">
        <is>
          <t>항공</t>
        </is>
      </c>
      <c r="D625" s="48" t="inlineStr">
        <is>
          <t>인천공항</t>
        </is>
      </c>
      <c r="E625" s="46" t="inlineStr">
        <is>
          <t>ICN</t>
        </is>
      </c>
      <c r="F625" s="48" t="inlineStr">
        <is>
          <t>토론토공항</t>
        </is>
      </c>
      <c r="G625" s="46" t="inlineStr">
        <is>
          <t>YYZ</t>
        </is>
      </c>
      <c r="H625" s="47" t="n">
        <v>45452</v>
      </c>
      <c r="I625" s="52" t="n">
        <v>45455</v>
      </c>
      <c r="J625" s="52" t="n">
        <v>45455</v>
      </c>
      <c r="K625" s="53" t="n">
        <v>135</v>
      </c>
    </row>
    <row r="626" ht="15" customHeight="1" s="32">
      <c r="A626" s="46" t="inlineStr">
        <is>
          <t>L-HB-0625</t>
        </is>
      </c>
      <c r="B626" s="46" t="inlineStr">
        <is>
          <t>R-HB-0625</t>
        </is>
      </c>
      <c r="C626" s="48" t="inlineStr">
        <is>
          <t>해상</t>
        </is>
      </c>
      <c r="D626" s="48" t="inlineStr">
        <is>
          <t>부산항</t>
        </is>
      </c>
      <c r="E626" s="46" t="inlineStr">
        <is>
          <t>KRPUS</t>
        </is>
      </c>
      <c r="F626" s="48" t="inlineStr">
        <is>
          <t>하이퐁항</t>
        </is>
      </c>
      <c r="G626" s="46" t="inlineStr">
        <is>
          <t>VNHPH</t>
        </is>
      </c>
      <c r="H626" s="47" t="n">
        <v>45452</v>
      </c>
      <c r="I626" s="52" t="n">
        <v>45461</v>
      </c>
      <c r="J626" s="52" t="n">
        <v>45461</v>
      </c>
      <c r="K626" s="53" t="n">
        <v>530</v>
      </c>
    </row>
    <row r="627" ht="15" customHeight="1" s="32">
      <c r="A627" s="46" t="inlineStr">
        <is>
          <t>L-HB-0626</t>
        </is>
      </c>
      <c r="B627" s="46" t="inlineStr">
        <is>
          <t>R-HB-0626</t>
        </is>
      </c>
      <c r="C627" s="48" t="inlineStr">
        <is>
          <t>항공</t>
        </is>
      </c>
      <c r="D627" s="48" t="inlineStr">
        <is>
          <t>인천공항</t>
        </is>
      </c>
      <c r="E627" s="46" t="inlineStr">
        <is>
          <t>ICN</t>
        </is>
      </c>
      <c r="F627" s="48" t="inlineStr">
        <is>
          <t>로스앤젤레스공항</t>
        </is>
      </c>
      <c r="G627" s="46" t="inlineStr">
        <is>
          <t>LAX</t>
        </is>
      </c>
      <c r="H627" s="47" t="n">
        <v>45453</v>
      </c>
      <c r="I627" s="52" t="n">
        <v>45455</v>
      </c>
      <c r="J627" s="52" t="n">
        <v>45455</v>
      </c>
      <c r="K627" s="53" t="n">
        <v>135</v>
      </c>
    </row>
    <row r="628" ht="15" customHeight="1" s="32">
      <c r="A628" s="46" t="inlineStr">
        <is>
          <t>L-HB-0627</t>
        </is>
      </c>
      <c r="B628" s="46" t="inlineStr">
        <is>
          <t>R-HB-0627</t>
        </is>
      </c>
      <c r="C628" s="48" t="inlineStr">
        <is>
          <t>항공</t>
        </is>
      </c>
      <c r="D628" s="48" t="inlineStr">
        <is>
          <t>인천공항</t>
        </is>
      </c>
      <c r="E628" s="46" t="inlineStr">
        <is>
          <t>ICN</t>
        </is>
      </c>
      <c r="F628" s="48" t="inlineStr">
        <is>
          <t>프랑크푸르트공항</t>
        </is>
      </c>
      <c r="G628" s="46" t="inlineStr">
        <is>
          <t>FRA</t>
        </is>
      </c>
      <c r="H628" s="47" t="n">
        <v>45453</v>
      </c>
      <c r="I628" s="52" t="n">
        <v>45456</v>
      </c>
      <c r="J628" s="52" t="n">
        <v>45456</v>
      </c>
      <c r="K628" s="53" t="n">
        <v>162.75</v>
      </c>
    </row>
    <row r="629" ht="15" customHeight="1" s="32">
      <c r="A629" s="46" t="inlineStr">
        <is>
          <t>L-HB-0628</t>
        </is>
      </c>
      <c r="B629" s="46" t="inlineStr">
        <is>
          <t>R-HB-0628</t>
        </is>
      </c>
      <c r="C629" s="48" t="inlineStr">
        <is>
          <t>해상</t>
        </is>
      </c>
      <c r="D629" s="48" t="inlineStr">
        <is>
          <t>부산항</t>
        </is>
      </c>
      <c r="E629" s="46" t="inlineStr">
        <is>
          <t>KRPUS</t>
        </is>
      </c>
      <c r="F629" s="48" t="inlineStr">
        <is>
          <t>서커우항</t>
        </is>
      </c>
      <c r="G629" s="46" t="inlineStr">
        <is>
          <t>CNSHK</t>
        </is>
      </c>
      <c r="H629" s="47" t="n">
        <v>45454</v>
      </c>
      <c r="I629" s="52" t="n">
        <v>45459</v>
      </c>
      <c r="J629" s="52" t="n">
        <v>45458</v>
      </c>
      <c r="K629" s="53" t="n">
        <v>530</v>
      </c>
    </row>
    <row r="630" ht="15" customHeight="1" s="32">
      <c r="A630" s="46" t="inlineStr">
        <is>
          <t>L-HB-0629</t>
        </is>
      </c>
      <c r="B630" s="46" t="inlineStr">
        <is>
          <t>R-HB-0629</t>
        </is>
      </c>
      <c r="C630" s="48" t="inlineStr">
        <is>
          <t>항공</t>
        </is>
      </c>
      <c r="D630" s="48" t="inlineStr">
        <is>
          <t>인천공항</t>
        </is>
      </c>
      <c r="E630" s="46" t="inlineStr">
        <is>
          <t>ICN</t>
        </is>
      </c>
      <c r="F630" s="48" t="inlineStr">
        <is>
          <t>로스앤젤레스공항</t>
        </is>
      </c>
      <c r="G630" s="46" t="inlineStr">
        <is>
          <t>LAX</t>
        </is>
      </c>
      <c r="H630" s="47" t="n">
        <v>45455</v>
      </c>
      <c r="I630" s="52" t="n">
        <v>45459</v>
      </c>
      <c r="J630" s="52" t="n">
        <v>45463</v>
      </c>
      <c r="K630" s="53" t="n">
        <v>292.16</v>
      </c>
    </row>
    <row r="631" ht="15" customHeight="1" s="32">
      <c r="A631" s="46" t="inlineStr">
        <is>
          <t>L-HB-0630</t>
        </is>
      </c>
      <c r="B631" s="46" t="inlineStr">
        <is>
          <t>R-HB-0630</t>
        </is>
      </c>
      <c r="C631" s="48" t="inlineStr">
        <is>
          <t>항공</t>
        </is>
      </c>
      <c r="D631" s="48" t="inlineStr">
        <is>
          <t>인천공항</t>
        </is>
      </c>
      <c r="E631" s="46" t="inlineStr">
        <is>
          <t>ICN</t>
        </is>
      </c>
      <c r="F631" s="48" t="inlineStr">
        <is>
          <t>과달라하라공항</t>
        </is>
      </c>
      <c r="G631" s="46" t="inlineStr">
        <is>
          <t>GDL</t>
        </is>
      </c>
      <c r="H631" s="47" t="n">
        <v>45455</v>
      </c>
      <c r="I631" s="52" t="n">
        <v>45459</v>
      </c>
      <c r="J631" s="52" t="n">
        <v>45459</v>
      </c>
      <c r="K631" s="53" t="n">
        <v>135</v>
      </c>
    </row>
    <row r="632" ht="15" customHeight="1" s="32">
      <c r="A632" s="46" t="inlineStr">
        <is>
          <t>L-HB-0631</t>
        </is>
      </c>
      <c r="B632" s="46" t="inlineStr">
        <is>
          <t>R-HB-0631</t>
        </is>
      </c>
      <c r="C632" s="48" t="inlineStr">
        <is>
          <t>항공</t>
        </is>
      </c>
      <c r="D632" s="48" t="inlineStr">
        <is>
          <t>인천공항</t>
        </is>
      </c>
      <c r="E632" s="46" t="inlineStr">
        <is>
          <t>ICN</t>
        </is>
      </c>
      <c r="F632" s="48" t="inlineStr">
        <is>
          <t>과달라하라공항</t>
        </is>
      </c>
      <c r="G632" s="46" t="inlineStr">
        <is>
          <t>GDL</t>
        </is>
      </c>
      <c r="H632" s="47" t="n">
        <v>45457</v>
      </c>
      <c r="I632" s="52" t="n">
        <v>45462</v>
      </c>
      <c r="J632" s="52" t="n">
        <v>45462</v>
      </c>
      <c r="K632" s="53" t="n">
        <v>135</v>
      </c>
    </row>
    <row r="633" ht="15" customHeight="1" s="32">
      <c r="A633" s="46" t="inlineStr">
        <is>
          <t>L-HB-0632</t>
        </is>
      </c>
      <c r="B633" s="46" t="inlineStr">
        <is>
          <t>R-HB-0632</t>
        </is>
      </c>
      <c r="C633" s="48" t="inlineStr">
        <is>
          <t>항공</t>
        </is>
      </c>
      <c r="D633" s="48" t="inlineStr">
        <is>
          <t>인천공항</t>
        </is>
      </c>
      <c r="E633" s="46" t="inlineStr">
        <is>
          <t>ICN</t>
        </is>
      </c>
      <c r="F633" s="48" t="inlineStr">
        <is>
          <t>과달라하라공항</t>
        </is>
      </c>
      <c r="G633" s="46" t="inlineStr">
        <is>
          <t>GDL</t>
        </is>
      </c>
      <c r="H633" s="47" t="n">
        <v>45457</v>
      </c>
      <c r="I633" s="52" t="n">
        <v>45462</v>
      </c>
      <c r="J633" s="52" t="n">
        <v>45463</v>
      </c>
      <c r="K633" s="53" t="n">
        <v>135</v>
      </c>
    </row>
    <row r="634" ht="15" customHeight="1" s="32">
      <c r="A634" s="46" t="inlineStr">
        <is>
          <t>L-HB-0633</t>
        </is>
      </c>
      <c r="B634" s="46" t="inlineStr">
        <is>
          <t>R-HB-0633</t>
        </is>
      </c>
      <c r="C634" s="48" t="inlineStr">
        <is>
          <t>항공</t>
        </is>
      </c>
      <c r="D634" s="48" t="inlineStr">
        <is>
          <t>인천공항</t>
        </is>
      </c>
      <c r="E634" s="46" t="inlineStr">
        <is>
          <t>ICN</t>
        </is>
      </c>
      <c r="F634" s="48" t="inlineStr">
        <is>
          <t>델리공항</t>
        </is>
      </c>
      <c r="G634" s="46" t="inlineStr">
        <is>
          <t>DEL</t>
        </is>
      </c>
      <c r="H634" s="47" t="n">
        <v>45458</v>
      </c>
      <c r="I634" s="52" t="n">
        <v>45462</v>
      </c>
      <c r="J634" s="52" t="n">
        <v>45462</v>
      </c>
      <c r="K634" s="53" t="n">
        <v>219.85</v>
      </c>
    </row>
    <row r="635" ht="15" customHeight="1" s="32">
      <c r="A635" s="46" t="inlineStr">
        <is>
          <t>L-HB-0634</t>
        </is>
      </c>
      <c r="B635" s="46" t="inlineStr">
        <is>
          <t>R-HB-0634</t>
        </is>
      </c>
      <c r="C635" s="48" t="inlineStr">
        <is>
          <t>항공</t>
        </is>
      </c>
      <c r="D635" s="48" t="inlineStr">
        <is>
          <t>인천공항</t>
        </is>
      </c>
      <c r="E635" s="46" t="inlineStr">
        <is>
          <t>ICN</t>
        </is>
      </c>
      <c r="F635" s="48" t="inlineStr">
        <is>
          <t>충칭공항</t>
        </is>
      </c>
      <c r="G635" s="46" t="inlineStr">
        <is>
          <t>CKG</t>
        </is>
      </c>
      <c r="H635" s="47" t="n">
        <v>45458</v>
      </c>
      <c r="I635" s="52" t="n">
        <v>45460</v>
      </c>
      <c r="J635" s="52" t="n">
        <v>45460</v>
      </c>
      <c r="K635" s="53" t="n">
        <v>135</v>
      </c>
    </row>
    <row r="636" ht="15" customHeight="1" s="32">
      <c r="A636" s="46" t="inlineStr">
        <is>
          <t>L-HB-0635</t>
        </is>
      </c>
      <c r="B636" s="46" t="inlineStr">
        <is>
          <t>R-HB-0635</t>
        </is>
      </c>
      <c r="C636" s="48" t="inlineStr">
        <is>
          <t>항공</t>
        </is>
      </c>
      <c r="D636" s="48" t="inlineStr">
        <is>
          <t>인천공항</t>
        </is>
      </c>
      <c r="E636" s="46" t="inlineStr">
        <is>
          <t>ICN</t>
        </is>
      </c>
      <c r="F636" s="48" t="inlineStr">
        <is>
          <t>충칭공항</t>
        </is>
      </c>
      <c r="G636" s="46" t="inlineStr">
        <is>
          <t>CKG</t>
        </is>
      </c>
      <c r="H636" s="47" t="n">
        <v>45459</v>
      </c>
      <c r="I636" s="52" t="n">
        <v>45462</v>
      </c>
      <c r="J636" s="52" t="n">
        <v>45462</v>
      </c>
      <c r="K636" s="53" t="n">
        <v>275.01</v>
      </c>
    </row>
    <row r="637" ht="15" customHeight="1" s="32">
      <c r="A637" s="46" t="inlineStr">
        <is>
          <t>L-HB-0636</t>
        </is>
      </c>
      <c r="B637" s="46" t="inlineStr">
        <is>
          <t>R-HB-0636</t>
        </is>
      </c>
      <c r="C637" s="48" t="inlineStr">
        <is>
          <t>항공</t>
        </is>
      </c>
      <c r="D637" s="48" t="inlineStr">
        <is>
          <t>인천공항</t>
        </is>
      </c>
      <c r="E637" s="46" t="inlineStr">
        <is>
          <t>ICN</t>
        </is>
      </c>
      <c r="F637" s="48" t="inlineStr">
        <is>
          <t>토론토공항</t>
        </is>
      </c>
      <c r="G637" s="46" t="inlineStr">
        <is>
          <t>YYZ</t>
        </is>
      </c>
      <c r="H637" s="47" t="n">
        <v>45461</v>
      </c>
      <c r="I637" s="52" t="n">
        <v>45464</v>
      </c>
      <c r="J637" s="52" t="n">
        <v>45464</v>
      </c>
      <c r="K637" s="53" t="n">
        <v>135</v>
      </c>
    </row>
    <row r="638" ht="15" customHeight="1" s="32">
      <c r="A638" s="46" t="inlineStr">
        <is>
          <t>L-HB-0637</t>
        </is>
      </c>
      <c r="B638" s="46" t="inlineStr">
        <is>
          <t>R-HB-0637</t>
        </is>
      </c>
      <c r="C638" s="48" t="inlineStr">
        <is>
          <t>항공</t>
        </is>
      </c>
      <c r="D638" s="48" t="inlineStr">
        <is>
          <t>인천공항</t>
        </is>
      </c>
      <c r="E638" s="46" t="inlineStr">
        <is>
          <t>ICN</t>
        </is>
      </c>
      <c r="F638" s="48" t="inlineStr">
        <is>
          <t>델리공항</t>
        </is>
      </c>
      <c r="G638" s="46" t="inlineStr">
        <is>
          <t>DEL</t>
        </is>
      </c>
      <c r="H638" s="47" t="n">
        <v>45461</v>
      </c>
      <c r="I638" s="52" t="n">
        <v>45464</v>
      </c>
      <c r="J638" s="52" t="n">
        <v>45464</v>
      </c>
      <c r="K638" s="53" t="n">
        <v>135</v>
      </c>
    </row>
    <row r="639" ht="15" customHeight="1" s="32">
      <c r="A639" s="46" t="inlineStr">
        <is>
          <t>L-HB-0638</t>
        </is>
      </c>
      <c r="B639" s="46" t="inlineStr">
        <is>
          <t>R-HB-0638</t>
        </is>
      </c>
      <c r="C639" s="48" t="inlineStr">
        <is>
          <t>항공</t>
        </is>
      </c>
      <c r="D639" s="48" t="inlineStr">
        <is>
          <t>인천공항</t>
        </is>
      </c>
      <c r="E639" s="46" t="inlineStr">
        <is>
          <t>ICN</t>
        </is>
      </c>
      <c r="F639" s="48" t="inlineStr">
        <is>
          <t>델리공항</t>
        </is>
      </c>
      <c r="G639" s="46" t="inlineStr">
        <is>
          <t>DEL</t>
        </is>
      </c>
      <c r="H639" s="47" t="n">
        <v>45461</v>
      </c>
      <c r="I639" s="52" t="n">
        <v>45465</v>
      </c>
      <c r="J639" s="52" t="n">
        <v>45466</v>
      </c>
      <c r="K639" s="53" t="n">
        <v>135</v>
      </c>
    </row>
    <row r="640" ht="15" customHeight="1" s="32">
      <c r="A640" s="46" t="inlineStr">
        <is>
          <t>L-HB-0639</t>
        </is>
      </c>
      <c r="B640" s="46" t="inlineStr">
        <is>
          <t>R-HB-0639</t>
        </is>
      </c>
      <c r="C640" s="48" t="inlineStr">
        <is>
          <t>항공</t>
        </is>
      </c>
      <c r="D640" s="48" t="inlineStr">
        <is>
          <t>인천공항</t>
        </is>
      </c>
      <c r="E640" s="46" t="inlineStr">
        <is>
          <t>ICN</t>
        </is>
      </c>
      <c r="F640" s="48" t="inlineStr">
        <is>
          <t>충칭공항</t>
        </is>
      </c>
      <c r="G640" s="46" t="inlineStr">
        <is>
          <t>CKG</t>
        </is>
      </c>
      <c r="H640" s="47" t="n">
        <v>45461</v>
      </c>
      <c r="I640" s="52" t="n">
        <v>45462</v>
      </c>
      <c r="J640" s="52" t="n">
        <v>45462</v>
      </c>
      <c r="K640" s="53" t="n">
        <v>135</v>
      </c>
    </row>
    <row r="641" ht="15" customHeight="1" s="32">
      <c r="A641" s="46" t="inlineStr">
        <is>
          <t>L-HB-0640</t>
        </is>
      </c>
      <c r="B641" s="46" t="inlineStr">
        <is>
          <t>R-HB-0640</t>
        </is>
      </c>
      <c r="C641" s="48" t="inlineStr">
        <is>
          <t>항공</t>
        </is>
      </c>
      <c r="D641" s="48" t="inlineStr">
        <is>
          <t>인천공항</t>
        </is>
      </c>
      <c r="E641" s="46" t="inlineStr">
        <is>
          <t>ICN</t>
        </is>
      </c>
      <c r="F641" s="48" t="inlineStr">
        <is>
          <t>하노이공항</t>
        </is>
      </c>
      <c r="G641" s="46" t="inlineStr">
        <is>
          <t>HAN</t>
        </is>
      </c>
      <c r="H641" s="47" t="n">
        <v>45462</v>
      </c>
      <c r="I641" s="52" t="n">
        <v>45465</v>
      </c>
      <c r="J641" s="52" t="n">
        <v>45465</v>
      </c>
      <c r="K641" s="53" t="n">
        <v>135</v>
      </c>
    </row>
    <row r="642" ht="15" customHeight="1" s="32">
      <c r="A642" s="46" t="inlineStr">
        <is>
          <t>L-HB-0641</t>
        </is>
      </c>
      <c r="B642" s="46" t="inlineStr">
        <is>
          <t>R-HB-0641</t>
        </is>
      </c>
      <c r="C642" s="48" t="inlineStr">
        <is>
          <t>항공</t>
        </is>
      </c>
      <c r="D642" s="48" t="inlineStr">
        <is>
          <t>인천공항</t>
        </is>
      </c>
      <c r="E642" s="46" t="inlineStr">
        <is>
          <t>ICN</t>
        </is>
      </c>
      <c r="F642" s="48" t="inlineStr">
        <is>
          <t>프랑크푸르트공항</t>
        </is>
      </c>
      <c r="G642" s="46" t="inlineStr">
        <is>
          <t>FRA</t>
        </is>
      </c>
      <c r="H642" s="47" t="n">
        <v>45463</v>
      </c>
      <c r="I642" s="52" t="n">
        <v>45467</v>
      </c>
      <c r="J642" s="52" t="n">
        <v>45467</v>
      </c>
      <c r="K642" s="53" t="n">
        <v>576.59</v>
      </c>
    </row>
    <row r="643" ht="15" customHeight="1" s="32">
      <c r="A643" s="46" t="inlineStr">
        <is>
          <t>L-HB-0642</t>
        </is>
      </c>
      <c r="B643" s="46" t="inlineStr">
        <is>
          <t>R-HB-0642</t>
        </is>
      </c>
      <c r="C643" s="48" t="inlineStr">
        <is>
          <t>항공</t>
        </is>
      </c>
      <c r="D643" s="48" t="inlineStr">
        <is>
          <t>인천공항</t>
        </is>
      </c>
      <c r="E643" s="46" t="inlineStr">
        <is>
          <t>ICN</t>
        </is>
      </c>
      <c r="F643" s="48" t="inlineStr">
        <is>
          <t>프랑크푸르트공항</t>
        </is>
      </c>
      <c r="G643" s="46" t="inlineStr">
        <is>
          <t>FRA</t>
        </is>
      </c>
      <c r="H643" s="47" t="n">
        <v>45464</v>
      </c>
      <c r="I643" s="52" t="n">
        <v>45467</v>
      </c>
      <c r="J643" s="52" t="n">
        <v>45467</v>
      </c>
      <c r="K643" s="53" t="n">
        <v>135</v>
      </c>
    </row>
    <row r="644" ht="15" customHeight="1" s="32">
      <c r="A644" s="46" t="inlineStr">
        <is>
          <t>L-HB-0643</t>
        </is>
      </c>
      <c r="B644" s="46" t="inlineStr">
        <is>
          <t>R-HB-0643</t>
        </is>
      </c>
      <c r="C644" s="48" t="inlineStr">
        <is>
          <t>항공</t>
        </is>
      </c>
      <c r="D644" s="48" t="inlineStr">
        <is>
          <t>인천공항</t>
        </is>
      </c>
      <c r="E644" s="46" t="inlineStr">
        <is>
          <t>ICN</t>
        </is>
      </c>
      <c r="F644" s="48" t="inlineStr">
        <is>
          <t>프랑크푸르트공항</t>
        </is>
      </c>
      <c r="G644" s="46" t="inlineStr">
        <is>
          <t>FRA</t>
        </is>
      </c>
      <c r="H644" s="47" t="n">
        <v>45466</v>
      </c>
      <c r="I644" s="52" t="n">
        <v>45470</v>
      </c>
      <c r="J644" s="52" t="n">
        <v>45469</v>
      </c>
      <c r="K644" s="53" t="n">
        <v>262.27</v>
      </c>
    </row>
    <row r="645" ht="15" customHeight="1" s="32">
      <c r="A645" s="46" t="inlineStr">
        <is>
          <t>L-HB-0644</t>
        </is>
      </c>
      <c r="B645" s="46" t="inlineStr">
        <is>
          <t>R-HB-0644</t>
        </is>
      </c>
      <c r="C645" s="48" t="inlineStr">
        <is>
          <t>항공</t>
        </is>
      </c>
      <c r="D645" s="48" t="inlineStr">
        <is>
          <t>인천공항</t>
        </is>
      </c>
      <c r="E645" s="46" t="inlineStr">
        <is>
          <t>ICN</t>
        </is>
      </c>
      <c r="F645" s="48" t="inlineStr">
        <is>
          <t>선전공항</t>
        </is>
      </c>
      <c r="G645" s="46" t="inlineStr">
        <is>
          <t>SZX</t>
        </is>
      </c>
      <c r="H645" s="47" t="n">
        <v>45466</v>
      </c>
      <c r="I645" s="52" t="n">
        <v>45469</v>
      </c>
      <c r="J645" s="52" t="n">
        <v>45469</v>
      </c>
      <c r="K645" s="53" t="n">
        <v>142.06</v>
      </c>
    </row>
    <row r="646" ht="15" customHeight="1" s="32">
      <c r="A646" s="46" t="inlineStr">
        <is>
          <t>L-HB-0645</t>
        </is>
      </c>
      <c r="B646" s="46" t="inlineStr">
        <is>
          <t>R-HB-0645</t>
        </is>
      </c>
      <c r="C646" s="48" t="inlineStr">
        <is>
          <t>항공</t>
        </is>
      </c>
      <c r="D646" s="48" t="inlineStr">
        <is>
          <t>인천공항</t>
        </is>
      </c>
      <c r="E646" s="46" t="inlineStr">
        <is>
          <t>ICN</t>
        </is>
      </c>
      <c r="F646" s="48" t="inlineStr">
        <is>
          <t>토론토공항</t>
        </is>
      </c>
      <c r="G646" s="46" t="inlineStr">
        <is>
          <t>YYZ</t>
        </is>
      </c>
      <c r="H646" s="47" t="n">
        <v>45469</v>
      </c>
      <c r="I646" s="52" t="n">
        <v>45473</v>
      </c>
      <c r="J646" s="52" t="n">
        <v>45473</v>
      </c>
      <c r="K646" s="53" t="n">
        <v>135</v>
      </c>
    </row>
    <row r="647" ht="15" customHeight="1" s="32">
      <c r="A647" s="46" t="inlineStr">
        <is>
          <t>L-HB-0646</t>
        </is>
      </c>
      <c r="B647" s="46" t="inlineStr">
        <is>
          <t>R-HB-0646</t>
        </is>
      </c>
      <c r="C647" s="48" t="inlineStr">
        <is>
          <t>항공</t>
        </is>
      </c>
      <c r="D647" s="48" t="inlineStr">
        <is>
          <t>인천공항</t>
        </is>
      </c>
      <c r="E647" s="46" t="inlineStr">
        <is>
          <t>ICN</t>
        </is>
      </c>
      <c r="F647" s="48" t="inlineStr">
        <is>
          <t>선전공항</t>
        </is>
      </c>
      <c r="G647" s="46" t="inlineStr">
        <is>
          <t>SZX</t>
        </is>
      </c>
      <c r="H647" s="47" t="n">
        <v>45469</v>
      </c>
      <c r="I647" s="52" t="n">
        <v>45470</v>
      </c>
      <c r="J647" s="52" t="n">
        <v>45470</v>
      </c>
      <c r="K647" s="53" t="n">
        <v>135</v>
      </c>
    </row>
    <row r="648" ht="15" customHeight="1" s="32">
      <c r="A648" s="46" t="inlineStr">
        <is>
          <t>L-HB-0647</t>
        </is>
      </c>
      <c r="B648" s="46" t="inlineStr">
        <is>
          <t>R-HB-0647</t>
        </is>
      </c>
      <c r="C648" s="48" t="inlineStr">
        <is>
          <t>항공</t>
        </is>
      </c>
      <c r="D648" s="48" t="inlineStr">
        <is>
          <t>인천공항</t>
        </is>
      </c>
      <c r="E648" s="46" t="inlineStr">
        <is>
          <t>ICN</t>
        </is>
      </c>
      <c r="F648" s="48" t="inlineStr">
        <is>
          <t>로스앤젤레스공항</t>
        </is>
      </c>
      <c r="G648" s="46" t="inlineStr">
        <is>
          <t>LAX</t>
        </is>
      </c>
      <c r="H648" s="47" t="n">
        <v>45470</v>
      </c>
      <c r="I648" s="52" t="n">
        <v>45473</v>
      </c>
      <c r="J648" s="52" t="n">
        <v>45472</v>
      </c>
      <c r="K648" s="53" t="n">
        <v>546.34</v>
      </c>
    </row>
    <row r="649" ht="15" customHeight="1" s="32">
      <c r="A649" s="46" t="inlineStr">
        <is>
          <t>L-HB-0648</t>
        </is>
      </c>
      <c r="B649" s="46" t="inlineStr">
        <is>
          <t>R-HB-0648</t>
        </is>
      </c>
      <c r="C649" s="48" t="inlineStr">
        <is>
          <t>항공</t>
        </is>
      </c>
      <c r="D649" s="48" t="inlineStr">
        <is>
          <t>인천공항</t>
        </is>
      </c>
      <c r="E649" s="46" t="inlineStr">
        <is>
          <t>ICN</t>
        </is>
      </c>
      <c r="F649" s="48" t="inlineStr">
        <is>
          <t>토론토공항</t>
        </is>
      </c>
      <c r="G649" s="46" t="inlineStr">
        <is>
          <t>YYZ</t>
        </is>
      </c>
      <c r="H649" s="47" t="n">
        <v>45470</v>
      </c>
      <c r="I649" s="52" t="n">
        <v>45475</v>
      </c>
      <c r="J649" s="52" t="n">
        <v>45475</v>
      </c>
      <c r="K649" s="53" t="n">
        <v>135</v>
      </c>
    </row>
    <row r="650" ht="15" customHeight="1" s="32">
      <c r="A650" s="46" t="inlineStr">
        <is>
          <t>L-HB-0649</t>
        </is>
      </c>
      <c r="B650" s="46" t="inlineStr">
        <is>
          <t>R-HB-0649</t>
        </is>
      </c>
      <c r="C650" s="48" t="inlineStr">
        <is>
          <t>항공</t>
        </is>
      </c>
      <c r="D650" s="48" t="inlineStr">
        <is>
          <t>인천공항</t>
        </is>
      </c>
      <c r="E650" s="46" t="inlineStr">
        <is>
          <t>ICN</t>
        </is>
      </c>
      <c r="F650" s="48" t="inlineStr">
        <is>
          <t>토론토공항</t>
        </is>
      </c>
      <c r="G650" s="46" t="inlineStr">
        <is>
          <t>YYZ</t>
        </is>
      </c>
      <c r="H650" s="47" t="n">
        <v>45476</v>
      </c>
      <c r="I650" s="52" t="n">
        <v>45481</v>
      </c>
      <c r="J650" s="52" t="n">
        <v>45481</v>
      </c>
      <c r="K650" s="53" t="n">
        <v>135</v>
      </c>
    </row>
    <row r="651" ht="15" customHeight="1" s="32">
      <c r="A651" s="46" t="inlineStr">
        <is>
          <t>L-HB-0650</t>
        </is>
      </c>
      <c r="B651" s="46" t="inlineStr">
        <is>
          <t>R-HB-0650</t>
        </is>
      </c>
      <c r="C651" s="48" t="inlineStr">
        <is>
          <t>항공</t>
        </is>
      </c>
      <c r="D651" s="48" t="inlineStr">
        <is>
          <t>인천공항</t>
        </is>
      </c>
      <c r="E651" s="46" t="inlineStr">
        <is>
          <t>ICN</t>
        </is>
      </c>
      <c r="F651" s="48" t="inlineStr">
        <is>
          <t>토론토공항</t>
        </is>
      </c>
      <c r="G651" s="46" t="inlineStr">
        <is>
          <t>YYZ</t>
        </is>
      </c>
      <c r="H651" s="47" t="n">
        <v>45476</v>
      </c>
      <c r="I651" s="52" t="n">
        <v>45479</v>
      </c>
      <c r="J651" s="52" t="n">
        <v>45479</v>
      </c>
      <c r="K651" s="53" t="n">
        <v>135</v>
      </c>
    </row>
    <row r="652" ht="15" customHeight="1" s="32">
      <c r="A652" s="46" t="inlineStr">
        <is>
          <t>L-HB-0651</t>
        </is>
      </c>
      <c r="B652" s="46" t="inlineStr">
        <is>
          <t>R-HB-0651</t>
        </is>
      </c>
      <c r="C652" s="48" t="inlineStr">
        <is>
          <t>항공</t>
        </is>
      </c>
      <c r="D652" s="48" t="inlineStr">
        <is>
          <t>인천공항</t>
        </is>
      </c>
      <c r="E652" s="46" t="inlineStr">
        <is>
          <t>ICN</t>
        </is>
      </c>
      <c r="F652" s="48" t="inlineStr">
        <is>
          <t>프랑크푸르트공항</t>
        </is>
      </c>
      <c r="G652" s="46" t="inlineStr">
        <is>
          <t>FRA</t>
        </is>
      </c>
      <c r="H652" s="47" t="n">
        <v>45479</v>
      </c>
      <c r="I652" s="52" t="n">
        <v>45482</v>
      </c>
      <c r="J652" s="52" t="n">
        <v>45481</v>
      </c>
      <c r="K652" s="53" t="n">
        <v>169.86</v>
      </c>
    </row>
    <row r="653" ht="15" customHeight="1" s="32">
      <c r="A653" s="46" t="inlineStr">
        <is>
          <t>L-HB-0652</t>
        </is>
      </c>
      <c r="B653" s="46" t="inlineStr">
        <is>
          <t>R-HB-0652</t>
        </is>
      </c>
      <c r="C653" s="48" t="inlineStr">
        <is>
          <t>항공</t>
        </is>
      </c>
      <c r="D653" s="48" t="inlineStr">
        <is>
          <t>인천공항</t>
        </is>
      </c>
      <c r="E653" s="46" t="inlineStr">
        <is>
          <t>ICN</t>
        </is>
      </c>
      <c r="F653" s="48" t="inlineStr">
        <is>
          <t>델리공항</t>
        </is>
      </c>
      <c r="G653" s="46" t="inlineStr">
        <is>
          <t>DEL</t>
        </is>
      </c>
      <c r="H653" s="47" t="n">
        <v>45481</v>
      </c>
      <c r="I653" s="52" t="n">
        <v>45484</v>
      </c>
      <c r="J653" s="52" t="n">
        <v>45484</v>
      </c>
      <c r="K653" s="53" t="n">
        <v>135</v>
      </c>
    </row>
    <row r="654" ht="15" customHeight="1" s="32">
      <c r="A654" s="46" t="inlineStr">
        <is>
          <t>L-HB-0653</t>
        </is>
      </c>
      <c r="B654" s="46" t="inlineStr">
        <is>
          <t>R-HB-0653</t>
        </is>
      </c>
      <c r="C654" s="48" t="inlineStr">
        <is>
          <t>해상</t>
        </is>
      </c>
      <c r="D654" s="48" t="inlineStr">
        <is>
          <t>부산항</t>
        </is>
      </c>
      <c r="E654" s="46" t="inlineStr">
        <is>
          <t>KRPUS</t>
        </is>
      </c>
      <c r="F654" s="48" t="inlineStr">
        <is>
          <t>상하이항</t>
        </is>
      </c>
      <c r="G654" s="46" t="inlineStr">
        <is>
          <t>CNSHA</t>
        </is>
      </c>
      <c r="H654" s="47" t="n">
        <v>45483</v>
      </c>
      <c r="I654" s="52" t="n">
        <v>45490</v>
      </c>
      <c r="J654" s="52" t="n">
        <v>45490</v>
      </c>
      <c r="K654" s="53" t="n">
        <v>530</v>
      </c>
    </row>
    <row r="655" ht="15" customHeight="1" s="32">
      <c r="A655" s="46" t="inlineStr">
        <is>
          <t>L-HB-0654</t>
        </is>
      </c>
      <c r="B655" s="46" t="inlineStr">
        <is>
          <t>R-HB-0654</t>
        </is>
      </c>
      <c r="C655" s="48" t="inlineStr">
        <is>
          <t>항공</t>
        </is>
      </c>
      <c r="D655" s="48" t="inlineStr">
        <is>
          <t>인천공항</t>
        </is>
      </c>
      <c r="E655" s="46" t="inlineStr">
        <is>
          <t>ICN</t>
        </is>
      </c>
      <c r="F655" s="48" t="inlineStr">
        <is>
          <t>시애틀공항</t>
        </is>
      </c>
      <c r="G655" s="46" t="inlineStr">
        <is>
          <t>SEA</t>
        </is>
      </c>
      <c r="H655" s="47" t="n">
        <v>45484</v>
      </c>
      <c r="I655" s="52" t="n">
        <v>45486</v>
      </c>
      <c r="J655" s="52" t="n">
        <v>45486</v>
      </c>
      <c r="K655" s="53" t="n">
        <v>135</v>
      </c>
    </row>
    <row r="656" ht="15" customHeight="1" s="32">
      <c r="A656" s="46" t="inlineStr">
        <is>
          <t>L-HB-0655</t>
        </is>
      </c>
      <c r="B656" s="46" t="inlineStr">
        <is>
          <t>R-HB-0655</t>
        </is>
      </c>
      <c r="C656" s="48" t="inlineStr">
        <is>
          <t>항공</t>
        </is>
      </c>
      <c r="D656" s="48" t="inlineStr">
        <is>
          <t>인천공항</t>
        </is>
      </c>
      <c r="E656" s="46" t="inlineStr">
        <is>
          <t>ICN</t>
        </is>
      </c>
      <c r="F656" s="48" t="inlineStr">
        <is>
          <t>프랑크푸르트공항</t>
        </is>
      </c>
      <c r="G656" s="46" t="inlineStr">
        <is>
          <t>FRA</t>
        </is>
      </c>
      <c r="H656" s="47" t="n">
        <v>45485</v>
      </c>
      <c r="I656" s="52" t="n">
        <v>45488</v>
      </c>
      <c r="J656" s="52" t="n">
        <v>45488</v>
      </c>
      <c r="K656" s="53" t="n">
        <v>279.43</v>
      </c>
    </row>
    <row r="657" ht="15" customHeight="1" s="32">
      <c r="A657" s="46" t="inlineStr">
        <is>
          <t>L-HB-0656</t>
        </is>
      </c>
      <c r="B657" s="46" t="inlineStr">
        <is>
          <t>R-HB-0656</t>
        </is>
      </c>
      <c r="C657" s="48" t="inlineStr">
        <is>
          <t>항공</t>
        </is>
      </c>
      <c r="D657" s="48" t="inlineStr">
        <is>
          <t>인천공항</t>
        </is>
      </c>
      <c r="E657" s="46" t="inlineStr">
        <is>
          <t>ICN</t>
        </is>
      </c>
      <c r="F657" s="48" t="inlineStr">
        <is>
          <t>로스앤젤레스공항</t>
        </is>
      </c>
      <c r="G657" s="46" t="inlineStr">
        <is>
          <t>LAX</t>
        </is>
      </c>
      <c r="H657" s="47" t="n">
        <v>45486</v>
      </c>
      <c r="I657" s="52" t="n">
        <v>45488</v>
      </c>
      <c r="J657" s="52" t="n">
        <v>45488</v>
      </c>
      <c r="K657" s="53" t="n">
        <v>270.15</v>
      </c>
    </row>
    <row r="658" ht="15" customHeight="1" s="32">
      <c r="A658" s="46" t="inlineStr">
        <is>
          <t>L-HB-0657</t>
        </is>
      </c>
      <c r="B658" s="46" t="inlineStr">
        <is>
          <t>R-HB-0657</t>
        </is>
      </c>
      <c r="C658" s="48" t="inlineStr">
        <is>
          <t>항공</t>
        </is>
      </c>
      <c r="D658" s="48" t="inlineStr">
        <is>
          <t>인천공항</t>
        </is>
      </c>
      <c r="E658" s="46" t="inlineStr">
        <is>
          <t>ICN</t>
        </is>
      </c>
      <c r="F658" s="48" t="inlineStr">
        <is>
          <t>토론토공항</t>
        </is>
      </c>
      <c r="G658" s="46" t="inlineStr">
        <is>
          <t>YYZ</t>
        </is>
      </c>
      <c r="H658" s="47" t="n">
        <v>45488</v>
      </c>
      <c r="I658" s="52" t="n">
        <v>45492</v>
      </c>
      <c r="J658" s="52" t="n">
        <v>45495</v>
      </c>
      <c r="K658" s="53" t="n">
        <v>135</v>
      </c>
    </row>
    <row r="659" ht="15" customHeight="1" s="32">
      <c r="A659" s="46" t="inlineStr">
        <is>
          <t>L-HB-0658</t>
        </is>
      </c>
      <c r="B659" s="46" t="inlineStr">
        <is>
          <t>R-HB-0658</t>
        </is>
      </c>
      <c r="C659" s="48" t="inlineStr">
        <is>
          <t>항공</t>
        </is>
      </c>
      <c r="D659" s="48" t="inlineStr">
        <is>
          <t>인천공항</t>
        </is>
      </c>
      <c r="E659" s="46" t="inlineStr">
        <is>
          <t>ICN</t>
        </is>
      </c>
      <c r="F659" s="48" t="inlineStr">
        <is>
          <t>프랑크푸르트공항</t>
        </is>
      </c>
      <c r="G659" s="46" t="inlineStr">
        <is>
          <t>FRA</t>
        </is>
      </c>
      <c r="H659" s="47" t="n">
        <v>45488</v>
      </c>
      <c r="I659" s="52" t="n">
        <v>45493</v>
      </c>
      <c r="J659" s="52" t="n">
        <v>45493</v>
      </c>
      <c r="K659" s="53" t="n">
        <v>485.91</v>
      </c>
    </row>
    <row r="660" ht="15" customHeight="1" s="32">
      <c r="A660" s="46" t="inlineStr">
        <is>
          <t>L-HB-0659</t>
        </is>
      </c>
      <c r="B660" s="46" t="inlineStr">
        <is>
          <t>R-HB-0659</t>
        </is>
      </c>
      <c r="C660" s="48" t="inlineStr">
        <is>
          <t>항공</t>
        </is>
      </c>
      <c r="D660" s="48" t="inlineStr">
        <is>
          <t>인천공항</t>
        </is>
      </c>
      <c r="E660" s="46" t="inlineStr">
        <is>
          <t>ICN</t>
        </is>
      </c>
      <c r="F660" s="48" t="inlineStr">
        <is>
          <t>델리공항</t>
        </is>
      </c>
      <c r="G660" s="46" t="inlineStr">
        <is>
          <t>DEL</t>
        </is>
      </c>
      <c r="H660" s="47" t="n">
        <v>45488</v>
      </c>
      <c r="I660" s="52" t="n">
        <v>45491</v>
      </c>
      <c r="J660" s="52" t="n">
        <v>45491</v>
      </c>
      <c r="K660" s="53" t="n">
        <v>135</v>
      </c>
    </row>
    <row r="661" ht="15" customHeight="1" s="32">
      <c r="A661" s="46" t="inlineStr">
        <is>
          <t>L-HB-0660</t>
        </is>
      </c>
      <c r="B661" s="46" t="inlineStr">
        <is>
          <t>R-HB-0660</t>
        </is>
      </c>
      <c r="C661" s="48" t="inlineStr">
        <is>
          <t>항공</t>
        </is>
      </c>
      <c r="D661" s="48" t="inlineStr">
        <is>
          <t>인천공항</t>
        </is>
      </c>
      <c r="E661" s="46" t="inlineStr">
        <is>
          <t>ICN</t>
        </is>
      </c>
      <c r="F661" s="48" t="inlineStr">
        <is>
          <t>선전공항</t>
        </is>
      </c>
      <c r="G661" s="46" t="inlineStr">
        <is>
          <t>SZX</t>
        </is>
      </c>
      <c r="H661" s="47" t="n">
        <v>45489</v>
      </c>
      <c r="I661" s="52" t="n">
        <v>45490</v>
      </c>
      <c r="J661" s="52" t="n">
        <v>45491</v>
      </c>
      <c r="K661" s="53" t="n">
        <v>135</v>
      </c>
    </row>
    <row r="662" ht="15" customHeight="1" s="32">
      <c r="A662" s="46" t="inlineStr">
        <is>
          <t>L-HB-0661</t>
        </is>
      </c>
      <c r="B662" s="46" t="inlineStr">
        <is>
          <t>R-HB-0661</t>
        </is>
      </c>
      <c r="C662" s="48" t="inlineStr">
        <is>
          <t>항공</t>
        </is>
      </c>
      <c r="D662" s="48" t="inlineStr">
        <is>
          <t>인천공항</t>
        </is>
      </c>
      <c r="E662" s="46" t="inlineStr">
        <is>
          <t>ICN</t>
        </is>
      </c>
      <c r="F662" s="48" t="inlineStr">
        <is>
          <t>시애틀공항</t>
        </is>
      </c>
      <c r="G662" s="46" t="inlineStr">
        <is>
          <t>SEA</t>
        </is>
      </c>
      <c r="H662" s="47" t="n">
        <v>45490</v>
      </c>
      <c r="I662" s="52" t="n">
        <v>45493</v>
      </c>
      <c r="J662" s="52" t="n">
        <v>45495</v>
      </c>
      <c r="K662" s="53" t="n">
        <v>169.4</v>
      </c>
    </row>
    <row r="663" ht="15" customHeight="1" s="32">
      <c r="A663" s="46" t="inlineStr">
        <is>
          <t>L-HB-0662</t>
        </is>
      </c>
      <c r="B663" s="46" t="inlineStr">
        <is>
          <t>R-HB-0662</t>
        </is>
      </c>
      <c r="C663" s="48" t="inlineStr">
        <is>
          <t>항공</t>
        </is>
      </c>
      <c r="D663" s="48" t="inlineStr">
        <is>
          <t>인천공항</t>
        </is>
      </c>
      <c r="E663" s="46" t="inlineStr">
        <is>
          <t>ICN</t>
        </is>
      </c>
      <c r="F663" s="48" t="inlineStr">
        <is>
          <t>델리공항</t>
        </is>
      </c>
      <c r="G663" s="46" t="inlineStr">
        <is>
          <t>DEL</t>
        </is>
      </c>
      <c r="H663" s="47" t="n">
        <v>45491</v>
      </c>
      <c r="I663" s="52" t="n">
        <v>45494</v>
      </c>
      <c r="J663" s="52" t="n">
        <v>45493</v>
      </c>
      <c r="K663" s="53" t="n">
        <v>201.42</v>
      </c>
    </row>
    <row r="664" ht="15" customHeight="1" s="32">
      <c r="A664" s="46" t="inlineStr">
        <is>
          <t>L-HB-0663</t>
        </is>
      </c>
      <c r="B664" s="46" t="inlineStr">
        <is>
          <t>R-HB-0663</t>
        </is>
      </c>
      <c r="C664" s="48" t="inlineStr">
        <is>
          <t>항공</t>
        </is>
      </c>
      <c r="D664" s="48" t="inlineStr">
        <is>
          <t>인천공항</t>
        </is>
      </c>
      <c r="E664" s="46" t="inlineStr">
        <is>
          <t>ICN</t>
        </is>
      </c>
      <c r="F664" s="48" t="inlineStr">
        <is>
          <t>시애틀공항</t>
        </is>
      </c>
      <c r="G664" s="46" t="inlineStr">
        <is>
          <t>SEA</t>
        </is>
      </c>
      <c r="H664" s="47" t="n">
        <v>45492</v>
      </c>
      <c r="I664" s="52" t="n">
        <v>45495</v>
      </c>
      <c r="J664" s="52" t="n">
        <v>45495</v>
      </c>
      <c r="K664" s="53" t="n">
        <v>135</v>
      </c>
    </row>
    <row r="665" ht="15" customHeight="1" s="32">
      <c r="A665" s="46" t="inlineStr">
        <is>
          <t>L-HB-0664</t>
        </is>
      </c>
      <c r="B665" s="46" t="inlineStr">
        <is>
          <t>R-HB-0664</t>
        </is>
      </c>
      <c r="C665" s="48" t="inlineStr">
        <is>
          <t>해상</t>
        </is>
      </c>
      <c r="D665" s="48" t="inlineStr">
        <is>
          <t>부산항</t>
        </is>
      </c>
      <c r="E665" s="46" t="inlineStr">
        <is>
          <t>KRPUS</t>
        </is>
      </c>
      <c r="F665" s="48" t="inlineStr">
        <is>
          <t>하이퐁항</t>
        </is>
      </c>
      <c r="G665" s="46" t="inlineStr">
        <is>
          <t>VNHPH</t>
        </is>
      </c>
      <c r="H665" s="47" t="n">
        <v>45492</v>
      </c>
      <c r="I665" s="52" t="n">
        <v>45502</v>
      </c>
      <c r="J665" s="52" t="n">
        <v>45502</v>
      </c>
      <c r="K665" s="53" t="n">
        <v>530</v>
      </c>
    </row>
    <row r="666" ht="15" customHeight="1" s="32">
      <c r="A666" s="46" t="inlineStr">
        <is>
          <t>L-HB-0665</t>
        </is>
      </c>
      <c r="B666" s="46" t="inlineStr">
        <is>
          <t>R-HB-0665</t>
        </is>
      </c>
      <c r="C666" s="48" t="inlineStr">
        <is>
          <t>항공</t>
        </is>
      </c>
      <c r="D666" s="48" t="inlineStr">
        <is>
          <t>인천공항</t>
        </is>
      </c>
      <c r="E666" s="46" t="inlineStr">
        <is>
          <t>ICN</t>
        </is>
      </c>
      <c r="F666" s="48" t="inlineStr">
        <is>
          <t>로스앤젤레스공항</t>
        </is>
      </c>
      <c r="G666" s="46" t="inlineStr">
        <is>
          <t>LAX</t>
        </is>
      </c>
      <c r="H666" s="47" t="n">
        <v>45493</v>
      </c>
      <c r="I666" s="52" t="n">
        <v>45496</v>
      </c>
      <c r="J666" s="52" t="n">
        <v>45498</v>
      </c>
      <c r="K666" s="53" t="n">
        <v>462.95</v>
      </c>
    </row>
    <row r="667" ht="15" customHeight="1" s="32">
      <c r="A667" s="46" t="inlineStr">
        <is>
          <t>L-HB-0666</t>
        </is>
      </c>
      <c r="B667" s="46" t="inlineStr">
        <is>
          <t>R-HB-0666</t>
        </is>
      </c>
      <c r="C667" s="48" t="inlineStr">
        <is>
          <t>항공</t>
        </is>
      </c>
      <c r="D667" s="48" t="inlineStr">
        <is>
          <t>인천공항</t>
        </is>
      </c>
      <c r="E667" s="46" t="inlineStr">
        <is>
          <t>ICN</t>
        </is>
      </c>
      <c r="F667" s="48" t="inlineStr">
        <is>
          <t>과달라하라공항</t>
        </is>
      </c>
      <c r="G667" s="46" t="inlineStr">
        <is>
          <t>GDL</t>
        </is>
      </c>
      <c r="H667" s="47" t="n">
        <v>45493</v>
      </c>
      <c r="I667" s="52" t="n">
        <v>45497</v>
      </c>
      <c r="J667" s="52" t="n">
        <v>45497</v>
      </c>
      <c r="K667" s="53" t="n">
        <v>135</v>
      </c>
    </row>
    <row r="668" ht="15" customHeight="1" s="32">
      <c r="A668" s="46" t="inlineStr">
        <is>
          <t>L-HB-0667</t>
        </is>
      </c>
      <c r="B668" s="46" t="inlineStr">
        <is>
          <t>R-HB-0667</t>
        </is>
      </c>
      <c r="C668" s="48" t="inlineStr">
        <is>
          <t>항공</t>
        </is>
      </c>
      <c r="D668" s="48" t="inlineStr">
        <is>
          <t>인천공항</t>
        </is>
      </c>
      <c r="E668" s="46" t="inlineStr">
        <is>
          <t>ICN</t>
        </is>
      </c>
      <c r="F668" s="48" t="inlineStr">
        <is>
          <t>시애틀공항</t>
        </is>
      </c>
      <c r="G668" s="46" t="inlineStr">
        <is>
          <t>SEA</t>
        </is>
      </c>
      <c r="H668" s="47" t="n">
        <v>45494</v>
      </c>
      <c r="I668" s="52" t="n">
        <v>45496</v>
      </c>
      <c r="J668" s="52" t="n">
        <v>45495</v>
      </c>
      <c r="K668" s="53" t="n">
        <v>290.54</v>
      </c>
    </row>
    <row r="669" ht="15" customHeight="1" s="32">
      <c r="A669" s="46" t="inlineStr">
        <is>
          <t>L-HB-0668</t>
        </is>
      </c>
      <c r="B669" s="46" t="inlineStr">
        <is>
          <t>R-HB-0668</t>
        </is>
      </c>
      <c r="C669" s="48" t="inlineStr">
        <is>
          <t>항공</t>
        </is>
      </c>
      <c r="D669" s="48" t="inlineStr">
        <is>
          <t>인천공항</t>
        </is>
      </c>
      <c r="E669" s="46" t="inlineStr">
        <is>
          <t>ICN</t>
        </is>
      </c>
      <c r="F669" s="48" t="inlineStr">
        <is>
          <t>델리공항</t>
        </is>
      </c>
      <c r="G669" s="46" t="inlineStr">
        <is>
          <t>DEL</t>
        </is>
      </c>
      <c r="H669" s="47" t="n">
        <v>45494</v>
      </c>
      <c r="I669" s="52" t="n">
        <v>45498</v>
      </c>
      <c r="J669" s="52" t="n">
        <v>45497</v>
      </c>
      <c r="K669" s="53" t="n">
        <v>135</v>
      </c>
    </row>
    <row r="670" ht="15" customHeight="1" s="32">
      <c r="A670" s="46" t="inlineStr">
        <is>
          <t>L-HB-0669</t>
        </is>
      </c>
      <c r="B670" s="46" t="inlineStr">
        <is>
          <t>R-HB-0669</t>
        </is>
      </c>
      <c r="C670" s="48" t="inlineStr">
        <is>
          <t>항공</t>
        </is>
      </c>
      <c r="D670" s="48" t="inlineStr">
        <is>
          <t>인천공항</t>
        </is>
      </c>
      <c r="E670" s="46" t="inlineStr">
        <is>
          <t>ICN</t>
        </is>
      </c>
      <c r="F670" s="48" t="inlineStr">
        <is>
          <t>선전공항</t>
        </is>
      </c>
      <c r="G670" s="46" t="inlineStr">
        <is>
          <t>SZX</t>
        </is>
      </c>
      <c r="H670" s="47" t="n">
        <v>45494</v>
      </c>
      <c r="I670" s="52" t="n">
        <v>45496</v>
      </c>
      <c r="J670" s="52" t="n">
        <v>45496</v>
      </c>
      <c r="K670" s="53" t="n">
        <v>431.43</v>
      </c>
    </row>
    <row r="671" ht="15" customHeight="1" s="32">
      <c r="A671" s="46" t="inlineStr">
        <is>
          <t>L-HB-0670</t>
        </is>
      </c>
      <c r="B671" s="46" t="inlineStr">
        <is>
          <t>R-HB-0670</t>
        </is>
      </c>
      <c r="C671" s="48" t="inlineStr">
        <is>
          <t>항공</t>
        </is>
      </c>
      <c r="D671" s="48" t="inlineStr">
        <is>
          <t>인천공항</t>
        </is>
      </c>
      <c r="E671" s="46" t="inlineStr">
        <is>
          <t>ICN</t>
        </is>
      </c>
      <c r="F671" s="48" t="inlineStr">
        <is>
          <t>과달라하라공항</t>
        </is>
      </c>
      <c r="G671" s="46" t="inlineStr">
        <is>
          <t>GDL</t>
        </is>
      </c>
      <c r="H671" s="47" t="n">
        <v>45495</v>
      </c>
      <c r="I671" s="52" t="n">
        <v>45499</v>
      </c>
      <c r="J671" s="52" t="n">
        <v>45499</v>
      </c>
      <c r="K671" s="53" t="n">
        <v>149.35</v>
      </c>
    </row>
    <row r="672" ht="15" customHeight="1" s="32">
      <c r="A672" s="46" t="inlineStr">
        <is>
          <t>L-HB-0671</t>
        </is>
      </c>
      <c r="B672" s="46" t="inlineStr">
        <is>
          <t>R-HB-0671</t>
        </is>
      </c>
      <c r="C672" s="48" t="inlineStr">
        <is>
          <t>항공</t>
        </is>
      </c>
      <c r="D672" s="48" t="inlineStr">
        <is>
          <t>인천공항</t>
        </is>
      </c>
      <c r="E672" s="46" t="inlineStr">
        <is>
          <t>ICN</t>
        </is>
      </c>
      <c r="F672" s="48" t="inlineStr">
        <is>
          <t>토론토공항</t>
        </is>
      </c>
      <c r="G672" s="46" t="inlineStr">
        <is>
          <t>YYZ</t>
        </is>
      </c>
      <c r="H672" s="47" t="n">
        <v>45495</v>
      </c>
      <c r="I672" s="52" t="n">
        <v>45500</v>
      </c>
      <c r="J672" s="52" t="n">
        <v>45500</v>
      </c>
      <c r="K672" s="53" t="n">
        <v>135</v>
      </c>
    </row>
    <row r="673" ht="15" customHeight="1" s="32">
      <c r="A673" s="46" t="inlineStr">
        <is>
          <t>L-HB-0672</t>
        </is>
      </c>
      <c r="B673" s="46" t="inlineStr">
        <is>
          <t>R-HB-0672</t>
        </is>
      </c>
      <c r="C673" s="48" t="inlineStr">
        <is>
          <t>항공</t>
        </is>
      </c>
      <c r="D673" s="48" t="inlineStr">
        <is>
          <t>인천공항</t>
        </is>
      </c>
      <c r="E673" s="46" t="inlineStr">
        <is>
          <t>ICN</t>
        </is>
      </c>
      <c r="F673" s="48" t="inlineStr">
        <is>
          <t>하노이공항</t>
        </is>
      </c>
      <c r="G673" s="46" t="inlineStr">
        <is>
          <t>HAN</t>
        </is>
      </c>
      <c r="H673" s="47" t="n">
        <v>45495</v>
      </c>
      <c r="I673" s="52" t="n">
        <v>45496</v>
      </c>
      <c r="J673" s="52" t="n">
        <v>45496</v>
      </c>
      <c r="K673" s="53" t="n">
        <v>135</v>
      </c>
    </row>
    <row r="674" ht="15" customHeight="1" s="32">
      <c r="A674" s="46" t="inlineStr">
        <is>
          <t>L-HB-0673</t>
        </is>
      </c>
      <c r="B674" s="46" t="inlineStr">
        <is>
          <t>R-HB-0673</t>
        </is>
      </c>
      <c r="C674" s="48" t="inlineStr">
        <is>
          <t>항공</t>
        </is>
      </c>
      <c r="D674" s="48" t="inlineStr">
        <is>
          <t>인천공항</t>
        </is>
      </c>
      <c r="E674" s="46" t="inlineStr">
        <is>
          <t>ICN</t>
        </is>
      </c>
      <c r="F674" s="48" t="inlineStr">
        <is>
          <t>로스앤젤레스공항</t>
        </is>
      </c>
      <c r="G674" s="46" t="inlineStr">
        <is>
          <t>LAX</t>
        </is>
      </c>
      <c r="H674" s="47" t="n">
        <v>45496</v>
      </c>
      <c r="I674" s="52" t="n">
        <v>45498</v>
      </c>
      <c r="J674" s="52" t="n">
        <v>45498</v>
      </c>
      <c r="K674" s="53" t="n">
        <v>135</v>
      </c>
    </row>
    <row r="675" ht="15" customHeight="1" s="32">
      <c r="A675" s="46" t="inlineStr">
        <is>
          <t>L-HB-0674</t>
        </is>
      </c>
      <c r="B675" s="46" t="inlineStr">
        <is>
          <t>R-HB-0674</t>
        </is>
      </c>
      <c r="C675" s="48" t="inlineStr">
        <is>
          <t>항공</t>
        </is>
      </c>
      <c r="D675" s="48" t="inlineStr">
        <is>
          <t>인천공항</t>
        </is>
      </c>
      <c r="E675" s="46" t="inlineStr">
        <is>
          <t>ICN</t>
        </is>
      </c>
      <c r="F675" s="48" t="inlineStr">
        <is>
          <t>로스앤젤레스공항</t>
        </is>
      </c>
      <c r="G675" s="46" t="inlineStr">
        <is>
          <t>LAX</t>
        </is>
      </c>
      <c r="H675" s="47" t="n">
        <v>45496</v>
      </c>
      <c r="I675" s="52" t="n">
        <v>45498</v>
      </c>
      <c r="J675" s="52" t="n">
        <v>45498</v>
      </c>
      <c r="K675" s="53" t="n">
        <v>172.05</v>
      </c>
    </row>
    <row r="676" ht="15" customHeight="1" s="32">
      <c r="A676" s="46" t="inlineStr">
        <is>
          <t>L-HB-0675</t>
        </is>
      </c>
      <c r="B676" s="46" t="inlineStr">
        <is>
          <t>R-HB-0675</t>
        </is>
      </c>
      <c r="C676" s="48" t="inlineStr">
        <is>
          <t>항공</t>
        </is>
      </c>
      <c r="D676" s="48" t="inlineStr">
        <is>
          <t>인천공항</t>
        </is>
      </c>
      <c r="E676" s="46" t="inlineStr">
        <is>
          <t>ICN</t>
        </is>
      </c>
      <c r="F676" s="48" t="inlineStr">
        <is>
          <t>프랑크푸르트공항</t>
        </is>
      </c>
      <c r="G676" s="46" t="inlineStr">
        <is>
          <t>FRA</t>
        </is>
      </c>
      <c r="H676" s="47" t="n">
        <v>45496</v>
      </c>
      <c r="I676" s="52" t="n">
        <v>45499</v>
      </c>
      <c r="J676" s="52" t="n">
        <v>45499</v>
      </c>
      <c r="K676" s="53" t="n">
        <v>135</v>
      </c>
    </row>
    <row r="677" ht="15" customHeight="1" s="32">
      <c r="A677" s="46" t="inlineStr">
        <is>
          <t>L-HB-0676</t>
        </is>
      </c>
      <c r="B677" s="46" t="inlineStr">
        <is>
          <t>R-HB-0676</t>
        </is>
      </c>
      <c r="C677" s="48" t="inlineStr">
        <is>
          <t>항공</t>
        </is>
      </c>
      <c r="D677" s="48" t="inlineStr">
        <is>
          <t>인천공항</t>
        </is>
      </c>
      <c r="E677" s="46" t="inlineStr">
        <is>
          <t>ICN</t>
        </is>
      </c>
      <c r="F677" s="48" t="inlineStr">
        <is>
          <t>선전공항</t>
        </is>
      </c>
      <c r="G677" s="46" t="inlineStr">
        <is>
          <t>SZX</t>
        </is>
      </c>
      <c r="H677" s="47" t="n">
        <v>45497</v>
      </c>
      <c r="I677" s="52" t="n">
        <v>45498</v>
      </c>
      <c r="J677" s="52" t="n">
        <v>45497</v>
      </c>
      <c r="K677" s="53" t="n">
        <v>135</v>
      </c>
    </row>
    <row r="678" ht="15" customHeight="1" s="32">
      <c r="A678" s="46" t="inlineStr">
        <is>
          <t>L-HB-0677</t>
        </is>
      </c>
      <c r="B678" s="46" t="inlineStr">
        <is>
          <t>R-HB-0677</t>
        </is>
      </c>
      <c r="C678" s="48" t="inlineStr">
        <is>
          <t>항공</t>
        </is>
      </c>
      <c r="D678" s="48" t="inlineStr">
        <is>
          <t>인천공항</t>
        </is>
      </c>
      <c r="E678" s="46" t="inlineStr">
        <is>
          <t>ICN</t>
        </is>
      </c>
      <c r="F678" s="48" t="inlineStr">
        <is>
          <t>과달라하라공항</t>
        </is>
      </c>
      <c r="G678" s="46" t="inlineStr">
        <is>
          <t>GDL</t>
        </is>
      </c>
      <c r="H678" s="47" t="n">
        <v>45498</v>
      </c>
      <c r="I678" s="52" t="n">
        <v>45501</v>
      </c>
      <c r="J678" s="52" t="n">
        <v>45501</v>
      </c>
      <c r="K678" s="53" t="n">
        <v>135</v>
      </c>
    </row>
    <row r="679" ht="15" customHeight="1" s="32">
      <c r="A679" s="46" t="inlineStr">
        <is>
          <t>L-HB-0678</t>
        </is>
      </c>
      <c r="B679" s="46" t="inlineStr">
        <is>
          <t>R-HB-0678</t>
        </is>
      </c>
      <c r="C679" s="48" t="inlineStr">
        <is>
          <t>해상</t>
        </is>
      </c>
      <c r="D679" s="48" t="inlineStr">
        <is>
          <t>부산항</t>
        </is>
      </c>
      <c r="E679" s="46" t="inlineStr">
        <is>
          <t>KRPUS</t>
        </is>
      </c>
      <c r="F679" s="48" t="inlineStr">
        <is>
          <t>서커우항</t>
        </is>
      </c>
      <c r="G679" s="46" t="inlineStr">
        <is>
          <t>CNSHK</t>
        </is>
      </c>
      <c r="H679" s="47" t="n">
        <v>45498</v>
      </c>
      <c r="I679" s="52" t="n">
        <v>45505</v>
      </c>
      <c r="J679" s="52" t="n">
        <v>45505</v>
      </c>
      <c r="K679" s="53" t="n">
        <v>530</v>
      </c>
    </row>
    <row r="680" ht="15" customHeight="1" s="32">
      <c r="A680" s="46" t="inlineStr">
        <is>
          <t>L-HB-0679</t>
        </is>
      </c>
      <c r="B680" s="46" t="inlineStr">
        <is>
          <t>R-HB-0679</t>
        </is>
      </c>
      <c r="C680" s="48" t="inlineStr">
        <is>
          <t>항공</t>
        </is>
      </c>
      <c r="D680" s="48" t="inlineStr">
        <is>
          <t>인천공항</t>
        </is>
      </c>
      <c r="E680" s="46" t="inlineStr">
        <is>
          <t>ICN</t>
        </is>
      </c>
      <c r="F680" s="48" t="inlineStr">
        <is>
          <t>충칭공항</t>
        </is>
      </c>
      <c r="G680" s="46" t="inlineStr">
        <is>
          <t>CKG</t>
        </is>
      </c>
      <c r="H680" s="47" t="n">
        <v>45498</v>
      </c>
      <c r="I680" s="52" t="n">
        <v>45499</v>
      </c>
      <c r="J680" s="52" t="n">
        <v>45500</v>
      </c>
      <c r="K680" s="53" t="n">
        <v>135</v>
      </c>
    </row>
    <row r="681" ht="15" customHeight="1" s="32">
      <c r="A681" s="46" t="inlineStr">
        <is>
          <t>L-HB-0680</t>
        </is>
      </c>
      <c r="B681" s="46" t="inlineStr">
        <is>
          <t>R-HB-0680</t>
        </is>
      </c>
      <c r="C681" s="48" t="inlineStr">
        <is>
          <t>항공</t>
        </is>
      </c>
      <c r="D681" s="48" t="inlineStr">
        <is>
          <t>인천공항</t>
        </is>
      </c>
      <c r="E681" s="46" t="inlineStr">
        <is>
          <t>ICN</t>
        </is>
      </c>
      <c r="F681" s="48" t="inlineStr">
        <is>
          <t>과달라하라공항</t>
        </is>
      </c>
      <c r="G681" s="46" t="inlineStr">
        <is>
          <t>GDL</t>
        </is>
      </c>
      <c r="H681" s="47" t="n">
        <v>45499</v>
      </c>
      <c r="I681" s="52" t="n">
        <v>45503</v>
      </c>
      <c r="J681" s="52" t="n">
        <v>45503</v>
      </c>
      <c r="K681" s="53" t="n">
        <v>135</v>
      </c>
    </row>
    <row r="682" ht="15" customHeight="1" s="32">
      <c r="A682" s="46" t="inlineStr">
        <is>
          <t>L-HB-0681</t>
        </is>
      </c>
      <c r="B682" s="46" t="inlineStr">
        <is>
          <t>R-HB-0681</t>
        </is>
      </c>
      <c r="C682" s="48" t="inlineStr">
        <is>
          <t>항공</t>
        </is>
      </c>
      <c r="D682" s="48" t="inlineStr">
        <is>
          <t>인천공항</t>
        </is>
      </c>
      <c r="E682" s="46" t="inlineStr">
        <is>
          <t>ICN</t>
        </is>
      </c>
      <c r="F682" s="48" t="inlineStr">
        <is>
          <t>하노이공항</t>
        </is>
      </c>
      <c r="G682" s="46" t="inlineStr">
        <is>
          <t>HAN</t>
        </is>
      </c>
      <c r="H682" s="47" t="n">
        <v>45499</v>
      </c>
      <c r="I682" s="52" t="n">
        <v>45501</v>
      </c>
      <c r="J682" s="52" t="n">
        <v>45501</v>
      </c>
      <c r="K682" s="53" t="n">
        <v>135</v>
      </c>
    </row>
    <row r="683" ht="15" customHeight="1" s="32">
      <c r="A683" s="46" t="inlineStr">
        <is>
          <t>L-HB-0682</t>
        </is>
      </c>
      <c r="B683" s="46" t="inlineStr">
        <is>
          <t>R-HB-0682</t>
        </is>
      </c>
      <c r="C683" s="48" t="inlineStr">
        <is>
          <t>항공</t>
        </is>
      </c>
      <c r="D683" s="48" t="inlineStr">
        <is>
          <t>인천공항</t>
        </is>
      </c>
      <c r="E683" s="46" t="inlineStr">
        <is>
          <t>ICN</t>
        </is>
      </c>
      <c r="F683" s="48" t="inlineStr">
        <is>
          <t>하노이공항</t>
        </is>
      </c>
      <c r="G683" s="46" t="inlineStr">
        <is>
          <t>HAN</t>
        </is>
      </c>
      <c r="H683" s="47" t="n">
        <v>45500</v>
      </c>
      <c r="I683" s="52" t="n">
        <v>45501</v>
      </c>
      <c r="J683" s="52" t="n">
        <v>45501</v>
      </c>
      <c r="K683" s="53" t="n">
        <v>214.86</v>
      </c>
    </row>
    <row r="684" ht="15" customHeight="1" s="32">
      <c r="A684" s="46" t="inlineStr">
        <is>
          <t>L-HB-0683</t>
        </is>
      </c>
      <c r="B684" s="46" t="inlineStr">
        <is>
          <t>R-HB-0683</t>
        </is>
      </c>
      <c r="C684" s="48" t="inlineStr">
        <is>
          <t>항공</t>
        </is>
      </c>
      <c r="D684" s="48" t="inlineStr">
        <is>
          <t>인천공항</t>
        </is>
      </c>
      <c r="E684" s="46" t="inlineStr">
        <is>
          <t>ICN</t>
        </is>
      </c>
      <c r="F684" s="48" t="inlineStr">
        <is>
          <t>충칭공항</t>
        </is>
      </c>
      <c r="G684" s="46" t="inlineStr">
        <is>
          <t>CKG</t>
        </is>
      </c>
      <c r="H684" s="47" t="n">
        <v>45500</v>
      </c>
      <c r="I684" s="52" t="n">
        <v>45502</v>
      </c>
      <c r="J684" s="52" t="n">
        <v>45501</v>
      </c>
      <c r="K684" s="53" t="n">
        <v>317.25</v>
      </c>
    </row>
    <row r="685" ht="15" customHeight="1" s="32">
      <c r="A685" s="46" t="inlineStr">
        <is>
          <t>L-HB-0684</t>
        </is>
      </c>
      <c r="B685" s="46" t="inlineStr">
        <is>
          <t>R-HB-0684</t>
        </is>
      </c>
      <c r="C685" s="48" t="inlineStr">
        <is>
          <t>항공</t>
        </is>
      </c>
      <c r="D685" s="48" t="inlineStr">
        <is>
          <t>인천공항</t>
        </is>
      </c>
      <c r="E685" s="46" t="inlineStr">
        <is>
          <t>ICN</t>
        </is>
      </c>
      <c r="F685" s="48" t="inlineStr">
        <is>
          <t>충칭공항</t>
        </is>
      </c>
      <c r="G685" s="46" t="inlineStr">
        <is>
          <t>CKG</t>
        </is>
      </c>
      <c r="H685" s="47" t="n">
        <v>45500</v>
      </c>
      <c r="I685" s="52" t="n">
        <v>45503</v>
      </c>
      <c r="J685" s="52" t="n">
        <v>45505</v>
      </c>
      <c r="K685" s="53" t="n">
        <v>135</v>
      </c>
    </row>
    <row r="686" ht="15" customHeight="1" s="32">
      <c r="A686" s="46" t="inlineStr">
        <is>
          <t>L-HB-0685</t>
        </is>
      </c>
      <c r="B686" s="46" t="inlineStr">
        <is>
          <t>R-HB-0685</t>
        </is>
      </c>
      <c r="C686" s="48" t="inlineStr">
        <is>
          <t>항공</t>
        </is>
      </c>
      <c r="D686" s="48" t="inlineStr">
        <is>
          <t>인천공항</t>
        </is>
      </c>
      <c r="E686" s="46" t="inlineStr">
        <is>
          <t>ICN</t>
        </is>
      </c>
      <c r="F686" s="48" t="inlineStr">
        <is>
          <t>시애틀공항</t>
        </is>
      </c>
      <c r="G686" s="46" t="inlineStr">
        <is>
          <t>SEA</t>
        </is>
      </c>
      <c r="H686" s="47" t="n">
        <v>45508</v>
      </c>
      <c r="I686" s="52" t="n">
        <v>45512</v>
      </c>
      <c r="J686" s="52" t="n">
        <v>45512</v>
      </c>
      <c r="K686" s="53" t="n">
        <v>171.23</v>
      </c>
    </row>
    <row r="687" ht="15" customHeight="1" s="32">
      <c r="A687" s="46" t="inlineStr">
        <is>
          <t>L-HB-0686</t>
        </is>
      </c>
      <c r="B687" s="46" t="inlineStr">
        <is>
          <t>R-HB-0686</t>
        </is>
      </c>
      <c r="C687" s="48" t="inlineStr">
        <is>
          <t>항공</t>
        </is>
      </c>
      <c r="D687" s="48" t="inlineStr">
        <is>
          <t>인천공항</t>
        </is>
      </c>
      <c r="E687" s="46" t="inlineStr">
        <is>
          <t>ICN</t>
        </is>
      </c>
      <c r="F687" s="48" t="inlineStr">
        <is>
          <t>프랑크푸르트공항</t>
        </is>
      </c>
      <c r="G687" s="46" t="inlineStr">
        <is>
          <t>FRA</t>
        </is>
      </c>
      <c r="H687" s="47" t="n">
        <v>45508</v>
      </c>
      <c r="I687" s="52" t="n">
        <v>45511</v>
      </c>
      <c r="J687" s="52" t="n">
        <v>45511</v>
      </c>
      <c r="K687" s="53" t="n">
        <v>152.36</v>
      </c>
    </row>
    <row r="688" ht="15" customHeight="1" s="32">
      <c r="A688" s="46" t="inlineStr">
        <is>
          <t>L-HB-0687</t>
        </is>
      </c>
      <c r="B688" s="46" t="inlineStr">
        <is>
          <t>R-HB-0687</t>
        </is>
      </c>
      <c r="C688" s="48" t="inlineStr">
        <is>
          <t>항공</t>
        </is>
      </c>
      <c r="D688" s="48" t="inlineStr">
        <is>
          <t>인천공항</t>
        </is>
      </c>
      <c r="E688" s="46" t="inlineStr">
        <is>
          <t>ICN</t>
        </is>
      </c>
      <c r="F688" s="48" t="inlineStr">
        <is>
          <t>과달라하라공항</t>
        </is>
      </c>
      <c r="G688" s="46" t="inlineStr">
        <is>
          <t>GDL</t>
        </is>
      </c>
      <c r="H688" s="47" t="n">
        <v>45510</v>
      </c>
      <c r="I688" s="52" t="n">
        <v>45514</v>
      </c>
      <c r="J688" s="52" t="n">
        <v>45513</v>
      </c>
      <c r="K688" s="53" t="n">
        <v>135</v>
      </c>
    </row>
    <row r="689" ht="15" customHeight="1" s="32">
      <c r="A689" s="46" t="inlineStr">
        <is>
          <t>L-HB-0688</t>
        </is>
      </c>
      <c r="B689" s="46" t="inlineStr">
        <is>
          <t>R-HB-0688</t>
        </is>
      </c>
      <c r="C689" s="48" t="inlineStr">
        <is>
          <t>항공</t>
        </is>
      </c>
      <c r="D689" s="48" t="inlineStr">
        <is>
          <t>인천공항</t>
        </is>
      </c>
      <c r="E689" s="46" t="inlineStr">
        <is>
          <t>ICN</t>
        </is>
      </c>
      <c r="F689" s="48" t="inlineStr">
        <is>
          <t>하노이공항</t>
        </is>
      </c>
      <c r="G689" s="46" t="inlineStr">
        <is>
          <t>HAN</t>
        </is>
      </c>
      <c r="H689" s="47" t="n">
        <v>45510</v>
      </c>
      <c r="I689" s="52" t="n">
        <v>45512</v>
      </c>
      <c r="J689" s="52" t="n">
        <v>45512</v>
      </c>
      <c r="K689" s="53" t="n">
        <v>220.82</v>
      </c>
    </row>
    <row r="690" ht="15" customHeight="1" s="32">
      <c r="A690" s="46" t="inlineStr">
        <is>
          <t>L-HB-0689</t>
        </is>
      </c>
      <c r="B690" s="46" t="inlineStr">
        <is>
          <t>R-HB-0689</t>
        </is>
      </c>
      <c r="C690" s="48" t="inlineStr">
        <is>
          <t>항공</t>
        </is>
      </c>
      <c r="D690" s="48" t="inlineStr">
        <is>
          <t>인천공항</t>
        </is>
      </c>
      <c r="E690" s="46" t="inlineStr">
        <is>
          <t>ICN</t>
        </is>
      </c>
      <c r="F690" s="48" t="inlineStr">
        <is>
          <t>선전공항</t>
        </is>
      </c>
      <c r="G690" s="46" t="inlineStr">
        <is>
          <t>SZX</t>
        </is>
      </c>
      <c r="H690" s="47" t="n">
        <v>45510</v>
      </c>
      <c r="I690" s="52" t="n">
        <v>45511</v>
      </c>
      <c r="J690" s="52" t="n">
        <v>45510</v>
      </c>
      <c r="K690" s="53" t="n">
        <v>426.84</v>
      </c>
    </row>
    <row r="691" ht="15" customHeight="1" s="32">
      <c r="A691" s="46" t="inlineStr">
        <is>
          <t>L-HB-0690</t>
        </is>
      </c>
      <c r="B691" s="46" t="inlineStr">
        <is>
          <t>R-HB-0690</t>
        </is>
      </c>
      <c r="C691" s="48" t="inlineStr">
        <is>
          <t>항공</t>
        </is>
      </c>
      <c r="D691" s="48" t="inlineStr">
        <is>
          <t>인천공항</t>
        </is>
      </c>
      <c r="E691" s="46" t="inlineStr">
        <is>
          <t>ICN</t>
        </is>
      </c>
      <c r="F691" s="48" t="inlineStr">
        <is>
          <t>로스앤젤레스공항</t>
        </is>
      </c>
      <c r="G691" s="46" t="inlineStr">
        <is>
          <t>LAX</t>
        </is>
      </c>
      <c r="H691" s="47" t="n">
        <v>45512</v>
      </c>
      <c r="I691" s="52" t="n">
        <v>45515</v>
      </c>
      <c r="J691" s="52" t="n">
        <v>45515</v>
      </c>
      <c r="K691" s="53" t="n">
        <v>534</v>
      </c>
    </row>
    <row r="692" ht="15" customHeight="1" s="32">
      <c r="A692" s="46" t="inlineStr">
        <is>
          <t>L-HB-0691</t>
        </is>
      </c>
      <c r="B692" s="46" t="inlineStr">
        <is>
          <t>R-HB-0691</t>
        </is>
      </c>
      <c r="C692" s="48" t="inlineStr">
        <is>
          <t>항공</t>
        </is>
      </c>
      <c r="D692" s="48" t="inlineStr">
        <is>
          <t>인천공항</t>
        </is>
      </c>
      <c r="E692" s="46" t="inlineStr">
        <is>
          <t>ICN</t>
        </is>
      </c>
      <c r="F692" s="48" t="inlineStr">
        <is>
          <t>과달라하라공항</t>
        </is>
      </c>
      <c r="G692" s="46" t="inlineStr">
        <is>
          <t>GDL</t>
        </is>
      </c>
      <c r="H692" s="47" t="n">
        <v>45513</v>
      </c>
      <c r="I692" s="52" t="n">
        <v>45516</v>
      </c>
      <c r="J692" s="52" t="n">
        <v>45516</v>
      </c>
      <c r="K692" s="53" t="n">
        <v>166.71</v>
      </c>
    </row>
    <row r="693" ht="15" customHeight="1" s="32">
      <c r="A693" s="46" t="inlineStr">
        <is>
          <t>L-HB-0692</t>
        </is>
      </c>
      <c r="B693" s="46" t="inlineStr">
        <is>
          <t>R-HB-0692</t>
        </is>
      </c>
      <c r="C693" s="48" t="inlineStr">
        <is>
          <t>해상</t>
        </is>
      </c>
      <c r="D693" s="48" t="inlineStr">
        <is>
          <t>부산항</t>
        </is>
      </c>
      <c r="E693" s="46" t="inlineStr">
        <is>
          <t>KRPUS</t>
        </is>
      </c>
      <c r="F693" s="48" t="inlineStr">
        <is>
          <t>서커우항</t>
        </is>
      </c>
      <c r="G693" s="46" t="inlineStr">
        <is>
          <t>CNSHK</t>
        </is>
      </c>
      <c r="H693" s="47" t="n">
        <v>45513</v>
      </c>
      <c r="I693" s="52" t="n">
        <v>45519</v>
      </c>
      <c r="J693" s="52" t="n">
        <v>45518</v>
      </c>
      <c r="K693" s="53" t="n">
        <v>530</v>
      </c>
    </row>
    <row r="694" ht="15" customHeight="1" s="32">
      <c r="A694" s="46" t="inlineStr">
        <is>
          <t>L-HB-0693</t>
        </is>
      </c>
      <c r="B694" s="46" t="inlineStr">
        <is>
          <t>R-HB-0693</t>
        </is>
      </c>
      <c r="C694" s="48" t="inlineStr">
        <is>
          <t>해상</t>
        </is>
      </c>
      <c r="D694" s="48" t="inlineStr">
        <is>
          <t>부산항</t>
        </is>
      </c>
      <c r="E694" s="46" t="inlineStr">
        <is>
          <t>KRPUS</t>
        </is>
      </c>
      <c r="F694" s="48" t="inlineStr">
        <is>
          <t>상하이항</t>
        </is>
      </c>
      <c r="G694" s="46" t="inlineStr">
        <is>
          <t>CNSHA</t>
        </is>
      </c>
      <c r="H694" s="47" t="n">
        <v>45513</v>
      </c>
      <c r="I694" s="52" t="n">
        <v>45518</v>
      </c>
      <c r="J694" s="52" t="n">
        <v>45522</v>
      </c>
      <c r="K694" s="53" t="n">
        <v>530</v>
      </c>
    </row>
    <row r="695" ht="15" customHeight="1" s="32">
      <c r="A695" s="46" t="inlineStr">
        <is>
          <t>L-HB-0694</t>
        </is>
      </c>
      <c r="B695" s="46" t="inlineStr">
        <is>
          <t>R-HB-0694</t>
        </is>
      </c>
      <c r="C695" s="48" t="inlineStr">
        <is>
          <t>항공</t>
        </is>
      </c>
      <c r="D695" s="48" t="inlineStr">
        <is>
          <t>인천공항</t>
        </is>
      </c>
      <c r="E695" s="46" t="inlineStr">
        <is>
          <t>ICN</t>
        </is>
      </c>
      <c r="F695" s="48" t="inlineStr">
        <is>
          <t>과달라하라공항</t>
        </is>
      </c>
      <c r="G695" s="46" t="inlineStr">
        <is>
          <t>GDL</t>
        </is>
      </c>
      <c r="H695" s="47" t="n">
        <v>45514</v>
      </c>
      <c r="I695" s="52" t="n">
        <v>45518</v>
      </c>
      <c r="J695" s="52" t="n">
        <v>45519</v>
      </c>
      <c r="K695" s="53" t="n">
        <v>135</v>
      </c>
    </row>
    <row r="696" ht="15" customHeight="1" s="32">
      <c r="A696" s="46" t="inlineStr">
        <is>
          <t>L-HB-0695</t>
        </is>
      </c>
      <c r="B696" s="46" t="inlineStr">
        <is>
          <t>R-HB-0695</t>
        </is>
      </c>
      <c r="C696" s="48" t="inlineStr">
        <is>
          <t>항공</t>
        </is>
      </c>
      <c r="D696" s="48" t="inlineStr">
        <is>
          <t>인천공항</t>
        </is>
      </c>
      <c r="E696" s="46" t="inlineStr">
        <is>
          <t>ICN</t>
        </is>
      </c>
      <c r="F696" s="48" t="inlineStr">
        <is>
          <t>시애틀공항</t>
        </is>
      </c>
      <c r="G696" s="46" t="inlineStr">
        <is>
          <t>SEA</t>
        </is>
      </c>
      <c r="H696" s="47" t="n">
        <v>45515</v>
      </c>
      <c r="I696" s="52" t="n">
        <v>45517</v>
      </c>
      <c r="J696" s="52" t="n">
        <v>45517</v>
      </c>
      <c r="K696" s="53" t="n">
        <v>135</v>
      </c>
    </row>
    <row r="697" ht="15" customHeight="1" s="32">
      <c r="A697" s="46" t="inlineStr">
        <is>
          <t>L-HB-0696</t>
        </is>
      </c>
      <c r="B697" s="46" t="inlineStr">
        <is>
          <t>R-HB-0696</t>
        </is>
      </c>
      <c r="C697" s="48" t="inlineStr">
        <is>
          <t>항공</t>
        </is>
      </c>
      <c r="D697" s="48" t="inlineStr">
        <is>
          <t>인천공항</t>
        </is>
      </c>
      <c r="E697" s="46" t="inlineStr">
        <is>
          <t>ICN</t>
        </is>
      </c>
      <c r="F697" s="48" t="inlineStr">
        <is>
          <t>토론토공항</t>
        </is>
      </c>
      <c r="G697" s="46" t="inlineStr">
        <is>
          <t>YYZ</t>
        </is>
      </c>
      <c r="H697" s="47" t="n">
        <v>45515</v>
      </c>
      <c r="I697" s="52" t="n">
        <v>45519</v>
      </c>
      <c r="J697" s="52" t="n">
        <v>45519</v>
      </c>
      <c r="K697" s="53" t="n">
        <v>135</v>
      </c>
    </row>
    <row r="698" ht="15" customHeight="1" s="32">
      <c r="A698" s="46" t="inlineStr">
        <is>
          <t>L-HB-0697</t>
        </is>
      </c>
      <c r="B698" s="46" t="inlineStr">
        <is>
          <t>R-HB-0697</t>
        </is>
      </c>
      <c r="C698" s="48" t="inlineStr">
        <is>
          <t>항공</t>
        </is>
      </c>
      <c r="D698" s="48" t="inlineStr">
        <is>
          <t>인천공항</t>
        </is>
      </c>
      <c r="E698" s="46" t="inlineStr">
        <is>
          <t>ICN</t>
        </is>
      </c>
      <c r="F698" s="48" t="inlineStr">
        <is>
          <t>토론토공항</t>
        </is>
      </c>
      <c r="G698" s="46" t="inlineStr">
        <is>
          <t>YYZ</t>
        </is>
      </c>
      <c r="H698" s="47" t="n">
        <v>45516</v>
      </c>
      <c r="I698" s="52" t="n">
        <v>45519</v>
      </c>
      <c r="J698" s="52" t="n">
        <v>45519</v>
      </c>
      <c r="K698" s="53" t="n">
        <v>135</v>
      </c>
    </row>
    <row r="699" ht="15" customHeight="1" s="32">
      <c r="A699" s="46" t="inlineStr">
        <is>
          <t>L-HB-0698</t>
        </is>
      </c>
      <c r="B699" s="46" t="inlineStr">
        <is>
          <t>R-HB-0698</t>
        </is>
      </c>
      <c r="C699" s="48" t="inlineStr">
        <is>
          <t>항공</t>
        </is>
      </c>
      <c r="D699" s="48" t="inlineStr">
        <is>
          <t>인천공항</t>
        </is>
      </c>
      <c r="E699" s="46" t="inlineStr">
        <is>
          <t>ICN</t>
        </is>
      </c>
      <c r="F699" s="48" t="inlineStr">
        <is>
          <t>델리공항</t>
        </is>
      </c>
      <c r="G699" s="46" t="inlineStr">
        <is>
          <t>DEL</t>
        </is>
      </c>
      <c r="H699" s="47" t="n">
        <v>45517</v>
      </c>
      <c r="I699" s="52" t="n">
        <v>45519</v>
      </c>
      <c r="J699" s="52" t="n">
        <v>45519</v>
      </c>
      <c r="K699" s="53" t="n">
        <v>135</v>
      </c>
    </row>
    <row r="700" ht="15" customHeight="1" s="32">
      <c r="A700" s="46" t="inlineStr">
        <is>
          <t>L-HB-0699</t>
        </is>
      </c>
      <c r="B700" s="46" t="inlineStr">
        <is>
          <t>R-HB-0699</t>
        </is>
      </c>
      <c r="C700" s="48" t="inlineStr">
        <is>
          <t>항공</t>
        </is>
      </c>
      <c r="D700" s="48" t="inlineStr">
        <is>
          <t>인천공항</t>
        </is>
      </c>
      <c r="E700" s="46" t="inlineStr">
        <is>
          <t>ICN</t>
        </is>
      </c>
      <c r="F700" s="48" t="inlineStr">
        <is>
          <t>충칭공항</t>
        </is>
      </c>
      <c r="G700" s="46" t="inlineStr">
        <is>
          <t>CKG</t>
        </is>
      </c>
      <c r="H700" s="47" t="n">
        <v>45517</v>
      </c>
      <c r="I700" s="52" t="n">
        <v>45518</v>
      </c>
      <c r="J700" s="52" t="n">
        <v>45517</v>
      </c>
      <c r="K700" s="53" t="n">
        <v>135</v>
      </c>
    </row>
    <row r="701" ht="15" customHeight="1" s="32">
      <c r="A701" s="46" t="inlineStr">
        <is>
          <t>L-HB-0700</t>
        </is>
      </c>
      <c r="B701" s="46" t="inlineStr">
        <is>
          <t>R-HB-0700</t>
        </is>
      </c>
      <c r="C701" s="48" t="inlineStr">
        <is>
          <t>항공</t>
        </is>
      </c>
      <c r="D701" s="48" t="inlineStr">
        <is>
          <t>인천공항</t>
        </is>
      </c>
      <c r="E701" s="46" t="inlineStr">
        <is>
          <t>ICN</t>
        </is>
      </c>
      <c r="F701" s="48" t="inlineStr">
        <is>
          <t>시애틀공항</t>
        </is>
      </c>
      <c r="G701" s="46" t="inlineStr">
        <is>
          <t>SEA</t>
        </is>
      </c>
      <c r="H701" s="47" t="n">
        <v>45519</v>
      </c>
      <c r="I701" s="52" t="n">
        <v>45521</v>
      </c>
      <c r="J701" s="52" t="n">
        <v>45521</v>
      </c>
      <c r="K701" s="53" t="n">
        <v>135</v>
      </c>
    </row>
    <row r="702" ht="15" customHeight="1" s="32">
      <c r="A702" s="46" t="inlineStr">
        <is>
          <t>L-HB-0701</t>
        </is>
      </c>
      <c r="B702" s="46" t="inlineStr">
        <is>
          <t>R-HB-0701</t>
        </is>
      </c>
      <c r="C702" s="48" t="inlineStr">
        <is>
          <t>항공</t>
        </is>
      </c>
      <c r="D702" s="48" t="inlineStr">
        <is>
          <t>인천공항</t>
        </is>
      </c>
      <c r="E702" s="46" t="inlineStr">
        <is>
          <t>ICN</t>
        </is>
      </c>
      <c r="F702" s="48" t="inlineStr">
        <is>
          <t>프랑크푸르트공항</t>
        </is>
      </c>
      <c r="G702" s="46" t="inlineStr">
        <is>
          <t>FRA</t>
        </is>
      </c>
      <c r="H702" s="47" t="n">
        <v>45519</v>
      </c>
      <c r="I702" s="52" t="n">
        <v>45522</v>
      </c>
      <c r="J702" s="52" t="n">
        <v>45521</v>
      </c>
      <c r="K702" s="53" t="n">
        <v>459.85</v>
      </c>
    </row>
    <row r="703" ht="15" customHeight="1" s="32">
      <c r="A703" s="46" t="inlineStr">
        <is>
          <t>L-HB-0702</t>
        </is>
      </c>
      <c r="B703" s="46" t="inlineStr">
        <is>
          <t>R-HB-0702</t>
        </is>
      </c>
      <c r="C703" s="48" t="inlineStr">
        <is>
          <t>항공</t>
        </is>
      </c>
      <c r="D703" s="48" t="inlineStr">
        <is>
          <t>인천공항</t>
        </is>
      </c>
      <c r="E703" s="46" t="inlineStr">
        <is>
          <t>ICN</t>
        </is>
      </c>
      <c r="F703" s="48" t="inlineStr">
        <is>
          <t>델리공항</t>
        </is>
      </c>
      <c r="G703" s="46" t="inlineStr">
        <is>
          <t>DEL</t>
        </is>
      </c>
      <c r="H703" s="47" t="n">
        <v>45520</v>
      </c>
      <c r="I703" s="52" t="n">
        <v>45523</v>
      </c>
      <c r="J703" s="52" t="n">
        <v>45522</v>
      </c>
      <c r="K703" s="53" t="n">
        <v>207.77</v>
      </c>
    </row>
    <row r="704" ht="15" customHeight="1" s="32">
      <c r="A704" s="46" t="inlineStr">
        <is>
          <t>L-HB-0703</t>
        </is>
      </c>
      <c r="B704" s="46" t="inlineStr">
        <is>
          <t>R-HB-0703</t>
        </is>
      </c>
      <c r="C704" s="48" t="inlineStr">
        <is>
          <t>항공</t>
        </is>
      </c>
      <c r="D704" s="48" t="inlineStr">
        <is>
          <t>인천공항</t>
        </is>
      </c>
      <c r="E704" s="46" t="inlineStr">
        <is>
          <t>ICN</t>
        </is>
      </c>
      <c r="F704" s="48" t="inlineStr">
        <is>
          <t>선전공항</t>
        </is>
      </c>
      <c r="G704" s="46" t="inlineStr">
        <is>
          <t>SZX</t>
        </is>
      </c>
      <c r="H704" s="47" t="n">
        <v>45520</v>
      </c>
      <c r="I704" s="52" t="n">
        <v>45522</v>
      </c>
      <c r="J704" s="52" t="n">
        <v>45522</v>
      </c>
      <c r="K704" s="53" t="n">
        <v>135</v>
      </c>
    </row>
    <row r="705" ht="15" customHeight="1" s="32">
      <c r="A705" s="46" t="inlineStr">
        <is>
          <t>L-HB-0704</t>
        </is>
      </c>
      <c r="B705" s="46" t="inlineStr">
        <is>
          <t>R-HB-0704</t>
        </is>
      </c>
      <c r="C705" s="48" t="inlineStr">
        <is>
          <t>항공</t>
        </is>
      </c>
      <c r="D705" s="48" t="inlineStr">
        <is>
          <t>인천공항</t>
        </is>
      </c>
      <c r="E705" s="46" t="inlineStr">
        <is>
          <t>ICN</t>
        </is>
      </c>
      <c r="F705" s="48" t="inlineStr">
        <is>
          <t>선전공항</t>
        </is>
      </c>
      <c r="G705" s="46" t="inlineStr">
        <is>
          <t>SZX</t>
        </is>
      </c>
      <c r="H705" s="47" t="n">
        <v>45520</v>
      </c>
      <c r="I705" s="52" t="n">
        <v>45522</v>
      </c>
      <c r="J705" s="52" t="n">
        <v>45521</v>
      </c>
      <c r="K705" s="53" t="n">
        <v>145.17</v>
      </c>
    </row>
    <row r="706" ht="15" customHeight="1" s="32">
      <c r="A706" s="46" t="inlineStr">
        <is>
          <t>L-HB-0705</t>
        </is>
      </c>
      <c r="B706" s="46" t="inlineStr">
        <is>
          <t>R-HB-0705</t>
        </is>
      </c>
      <c r="C706" s="48" t="inlineStr">
        <is>
          <t>항공</t>
        </is>
      </c>
      <c r="D706" s="48" t="inlineStr">
        <is>
          <t>인천공항</t>
        </is>
      </c>
      <c r="E706" s="46" t="inlineStr">
        <is>
          <t>ICN</t>
        </is>
      </c>
      <c r="F706" s="48" t="inlineStr">
        <is>
          <t>델리공항</t>
        </is>
      </c>
      <c r="G706" s="46" t="inlineStr">
        <is>
          <t>DEL</t>
        </is>
      </c>
      <c r="H706" s="47" t="n">
        <v>45521</v>
      </c>
      <c r="I706" s="52" t="n">
        <v>45523</v>
      </c>
      <c r="J706" s="52" t="n">
        <v>45523</v>
      </c>
      <c r="K706" s="53" t="n">
        <v>135</v>
      </c>
    </row>
    <row r="707" ht="15" customHeight="1" s="32">
      <c r="A707" s="46" t="inlineStr">
        <is>
          <t>L-HB-0706</t>
        </is>
      </c>
      <c r="B707" s="46" t="inlineStr">
        <is>
          <t>R-HB-0706</t>
        </is>
      </c>
      <c r="C707" s="48" t="inlineStr">
        <is>
          <t>항공</t>
        </is>
      </c>
      <c r="D707" s="48" t="inlineStr">
        <is>
          <t>인천공항</t>
        </is>
      </c>
      <c r="E707" s="46" t="inlineStr">
        <is>
          <t>ICN</t>
        </is>
      </c>
      <c r="F707" s="48" t="inlineStr">
        <is>
          <t>시애틀공항</t>
        </is>
      </c>
      <c r="G707" s="46" t="inlineStr">
        <is>
          <t>SEA</t>
        </is>
      </c>
      <c r="H707" s="47" t="n">
        <v>45522</v>
      </c>
      <c r="I707" s="52" t="n">
        <v>45525</v>
      </c>
      <c r="J707" s="52" t="n">
        <v>45524</v>
      </c>
      <c r="K707" s="53" t="n">
        <v>337.62</v>
      </c>
    </row>
    <row r="708" ht="15" customHeight="1" s="32">
      <c r="A708" s="46" t="inlineStr">
        <is>
          <t>L-HB-0707</t>
        </is>
      </c>
      <c r="B708" s="46" t="inlineStr">
        <is>
          <t>R-HB-0707</t>
        </is>
      </c>
      <c r="C708" s="48" t="inlineStr">
        <is>
          <t>항공</t>
        </is>
      </c>
      <c r="D708" s="48" t="inlineStr">
        <is>
          <t>인천공항</t>
        </is>
      </c>
      <c r="E708" s="46" t="inlineStr">
        <is>
          <t>ICN</t>
        </is>
      </c>
      <c r="F708" s="48" t="inlineStr">
        <is>
          <t>하노이공항</t>
        </is>
      </c>
      <c r="G708" s="46" t="inlineStr">
        <is>
          <t>HAN</t>
        </is>
      </c>
      <c r="H708" s="47" t="n">
        <v>45523</v>
      </c>
      <c r="I708" s="52" t="n">
        <v>45524</v>
      </c>
      <c r="J708" s="52" t="n">
        <v>45524</v>
      </c>
      <c r="K708" s="53" t="n">
        <v>135</v>
      </c>
    </row>
    <row r="709" ht="15" customHeight="1" s="32">
      <c r="A709" s="46" t="inlineStr">
        <is>
          <t>L-HB-0708</t>
        </is>
      </c>
      <c r="B709" s="46" t="inlineStr">
        <is>
          <t>R-HB-0708</t>
        </is>
      </c>
      <c r="C709" s="48" t="inlineStr">
        <is>
          <t>항공</t>
        </is>
      </c>
      <c r="D709" s="48" t="inlineStr">
        <is>
          <t>인천공항</t>
        </is>
      </c>
      <c r="E709" s="46" t="inlineStr">
        <is>
          <t>ICN</t>
        </is>
      </c>
      <c r="F709" s="48" t="inlineStr">
        <is>
          <t>로스앤젤레스공항</t>
        </is>
      </c>
      <c r="G709" s="46" t="inlineStr">
        <is>
          <t>LAX</t>
        </is>
      </c>
      <c r="H709" s="47" t="n">
        <v>45524</v>
      </c>
      <c r="I709" s="52" t="n">
        <v>45527</v>
      </c>
      <c r="J709" s="52" t="n">
        <v>45526</v>
      </c>
      <c r="K709" s="53" t="n">
        <v>135</v>
      </c>
    </row>
    <row r="710" ht="15" customHeight="1" s="32">
      <c r="A710" s="46" t="inlineStr">
        <is>
          <t>L-HB-0709</t>
        </is>
      </c>
      <c r="B710" s="46" t="inlineStr">
        <is>
          <t>R-HB-0709</t>
        </is>
      </c>
      <c r="C710" s="48" t="inlineStr">
        <is>
          <t>항공</t>
        </is>
      </c>
      <c r="D710" s="48" t="inlineStr">
        <is>
          <t>인천공항</t>
        </is>
      </c>
      <c r="E710" s="46" t="inlineStr">
        <is>
          <t>ICN</t>
        </is>
      </c>
      <c r="F710" s="48" t="inlineStr">
        <is>
          <t>과달라하라공항</t>
        </is>
      </c>
      <c r="G710" s="46" t="inlineStr">
        <is>
          <t>GDL</t>
        </is>
      </c>
      <c r="H710" s="47" t="n">
        <v>45524</v>
      </c>
      <c r="I710" s="52" t="n">
        <v>45527</v>
      </c>
      <c r="J710" s="52" t="n">
        <v>45526</v>
      </c>
      <c r="K710" s="53" t="n">
        <v>135</v>
      </c>
    </row>
    <row r="711" ht="15" customHeight="1" s="32">
      <c r="A711" s="46" t="inlineStr">
        <is>
          <t>L-HB-0710</t>
        </is>
      </c>
      <c r="B711" s="46" t="inlineStr">
        <is>
          <t>R-HB-0710</t>
        </is>
      </c>
      <c r="C711" s="48" t="inlineStr">
        <is>
          <t>항공</t>
        </is>
      </c>
      <c r="D711" s="48" t="inlineStr">
        <is>
          <t>인천공항</t>
        </is>
      </c>
      <c r="E711" s="46" t="inlineStr">
        <is>
          <t>ICN</t>
        </is>
      </c>
      <c r="F711" s="48" t="inlineStr">
        <is>
          <t>충칭공항</t>
        </is>
      </c>
      <c r="G711" s="46" t="inlineStr">
        <is>
          <t>CKG</t>
        </is>
      </c>
      <c r="H711" s="47" t="n">
        <v>45524</v>
      </c>
      <c r="I711" s="52" t="n">
        <v>45525</v>
      </c>
      <c r="J711" s="52" t="n">
        <v>45525</v>
      </c>
      <c r="K711" s="53" t="n">
        <v>308.25</v>
      </c>
    </row>
    <row r="712" ht="15" customHeight="1" s="32">
      <c r="A712" s="46" t="inlineStr">
        <is>
          <t>L-HB-0711</t>
        </is>
      </c>
      <c r="B712" s="46" t="inlineStr">
        <is>
          <t>R-HB-0711</t>
        </is>
      </c>
      <c r="C712" s="48" t="inlineStr">
        <is>
          <t>항공</t>
        </is>
      </c>
      <c r="D712" s="48" t="inlineStr">
        <is>
          <t>인천공항</t>
        </is>
      </c>
      <c r="E712" s="46" t="inlineStr">
        <is>
          <t>ICN</t>
        </is>
      </c>
      <c r="F712" s="48" t="inlineStr">
        <is>
          <t>토론토공항</t>
        </is>
      </c>
      <c r="G712" s="46" t="inlineStr">
        <is>
          <t>YYZ</t>
        </is>
      </c>
      <c r="H712" s="47" t="n">
        <v>45525</v>
      </c>
      <c r="I712" s="52" t="n">
        <v>45528</v>
      </c>
      <c r="J712" s="52" t="n">
        <v>45528</v>
      </c>
      <c r="K712" s="53" t="n">
        <v>135</v>
      </c>
    </row>
    <row r="713" ht="15" customHeight="1" s="32">
      <c r="A713" s="46" t="inlineStr">
        <is>
          <t>L-HB-0712</t>
        </is>
      </c>
      <c r="B713" s="46" t="inlineStr">
        <is>
          <t>R-HB-0712</t>
        </is>
      </c>
      <c r="C713" s="48" t="inlineStr">
        <is>
          <t>해상</t>
        </is>
      </c>
      <c r="D713" s="48" t="inlineStr">
        <is>
          <t>부산항</t>
        </is>
      </c>
      <c r="E713" s="46" t="inlineStr">
        <is>
          <t>KRPUS</t>
        </is>
      </c>
      <c r="F713" s="48" t="inlineStr">
        <is>
          <t>하이퐁항</t>
        </is>
      </c>
      <c r="G713" s="46" t="inlineStr">
        <is>
          <t>VNHPH</t>
        </is>
      </c>
      <c r="H713" s="47" t="n">
        <v>45525</v>
      </c>
      <c r="I713" s="52" t="n">
        <v>45536</v>
      </c>
      <c r="J713" s="52" t="n">
        <v>45534</v>
      </c>
      <c r="K713" s="53" t="n">
        <v>530</v>
      </c>
    </row>
    <row r="714" ht="15" customHeight="1" s="32">
      <c r="A714" s="46" t="inlineStr">
        <is>
          <t>L-HB-0713</t>
        </is>
      </c>
      <c r="B714" s="46" t="inlineStr">
        <is>
          <t>R-HB-0713</t>
        </is>
      </c>
      <c r="C714" s="48" t="inlineStr">
        <is>
          <t>항공</t>
        </is>
      </c>
      <c r="D714" s="48" t="inlineStr">
        <is>
          <t>인천공항</t>
        </is>
      </c>
      <c r="E714" s="46" t="inlineStr">
        <is>
          <t>ICN</t>
        </is>
      </c>
      <c r="F714" s="48" t="inlineStr">
        <is>
          <t>델리공항</t>
        </is>
      </c>
      <c r="G714" s="46" t="inlineStr">
        <is>
          <t>DEL</t>
        </is>
      </c>
      <c r="H714" s="47" t="n">
        <v>45525</v>
      </c>
      <c r="I714" s="52" t="n">
        <v>45527</v>
      </c>
      <c r="J714" s="52" t="n">
        <v>45526</v>
      </c>
      <c r="K714" s="53" t="n">
        <v>142.54</v>
      </c>
    </row>
    <row r="715" ht="15" customHeight="1" s="32">
      <c r="A715" s="46" t="inlineStr">
        <is>
          <t>L-HB-0714</t>
        </is>
      </c>
      <c r="B715" s="46" t="inlineStr">
        <is>
          <t>R-HB-0714</t>
        </is>
      </c>
      <c r="C715" s="48" t="inlineStr">
        <is>
          <t>항공</t>
        </is>
      </c>
      <c r="D715" s="48" t="inlineStr">
        <is>
          <t>인천공항</t>
        </is>
      </c>
      <c r="E715" s="46" t="inlineStr">
        <is>
          <t>ICN</t>
        </is>
      </c>
      <c r="F715" s="48" t="inlineStr">
        <is>
          <t>로스앤젤레스공항</t>
        </is>
      </c>
      <c r="G715" s="46" t="inlineStr">
        <is>
          <t>LAX</t>
        </is>
      </c>
      <c r="H715" s="47" t="n">
        <v>45526</v>
      </c>
      <c r="I715" s="52" t="n">
        <v>45528</v>
      </c>
      <c r="J715" s="52" t="n">
        <v>45528</v>
      </c>
      <c r="K715" s="53" t="n">
        <v>186.82</v>
      </c>
    </row>
    <row r="716" ht="15" customHeight="1" s="32">
      <c r="A716" s="46" t="inlineStr">
        <is>
          <t>L-HB-0715</t>
        </is>
      </c>
      <c r="B716" s="46" t="inlineStr">
        <is>
          <t>R-HB-0715</t>
        </is>
      </c>
      <c r="C716" s="48" t="inlineStr">
        <is>
          <t>항공</t>
        </is>
      </c>
      <c r="D716" s="48" t="inlineStr">
        <is>
          <t>인천공항</t>
        </is>
      </c>
      <c r="E716" s="46" t="inlineStr">
        <is>
          <t>ICN</t>
        </is>
      </c>
      <c r="F716" s="48" t="inlineStr">
        <is>
          <t>프랑크푸르트공항</t>
        </is>
      </c>
      <c r="G716" s="46" t="inlineStr">
        <is>
          <t>FRA</t>
        </is>
      </c>
      <c r="H716" s="47" t="n">
        <v>45527</v>
      </c>
      <c r="I716" s="52" t="n">
        <v>45531</v>
      </c>
      <c r="J716" s="52" t="n">
        <v>45531</v>
      </c>
      <c r="K716" s="53" t="n">
        <v>288.31</v>
      </c>
    </row>
    <row r="717" ht="15" customHeight="1" s="32">
      <c r="A717" s="46" t="inlineStr">
        <is>
          <t>L-HB-0716</t>
        </is>
      </c>
      <c r="B717" s="46" t="inlineStr">
        <is>
          <t>R-HB-0716</t>
        </is>
      </c>
      <c r="C717" s="48" t="inlineStr">
        <is>
          <t>항공</t>
        </is>
      </c>
      <c r="D717" s="48" t="inlineStr">
        <is>
          <t>인천공항</t>
        </is>
      </c>
      <c r="E717" s="46" t="inlineStr">
        <is>
          <t>ICN</t>
        </is>
      </c>
      <c r="F717" s="48" t="inlineStr">
        <is>
          <t>충칭공항</t>
        </is>
      </c>
      <c r="G717" s="46" t="inlineStr">
        <is>
          <t>CKG</t>
        </is>
      </c>
      <c r="H717" s="47" t="n">
        <v>45527</v>
      </c>
      <c r="I717" s="52" t="n">
        <v>45528</v>
      </c>
      <c r="J717" s="52" t="n">
        <v>45528</v>
      </c>
      <c r="K717" s="53" t="n">
        <v>135</v>
      </c>
    </row>
    <row r="718" ht="15" customHeight="1" s="32">
      <c r="A718" s="46" t="inlineStr">
        <is>
          <t>L-HB-0717</t>
        </is>
      </c>
      <c r="B718" s="46" t="inlineStr">
        <is>
          <t>R-HB-0717</t>
        </is>
      </c>
      <c r="C718" s="48" t="inlineStr">
        <is>
          <t>항공</t>
        </is>
      </c>
      <c r="D718" s="48" t="inlineStr">
        <is>
          <t>인천공항</t>
        </is>
      </c>
      <c r="E718" s="46" t="inlineStr">
        <is>
          <t>ICN</t>
        </is>
      </c>
      <c r="F718" s="48" t="inlineStr">
        <is>
          <t>하노이공항</t>
        </is>
      </c>
      <c r="G718" s="46" t="inlineStr">
        <is>
          <t>HAN</t>
        </is>
      </c>
      <c r="H718" s="47" t="n">
        <v>45528</v>
      </c>
      <c r="I718" s="52" t="n">
        <v>45529</v>
      </c>
      <c r="J718" s="52" t="n">
        <v>45529</v>
      </c>
      <c r="K718" s="53" t="n">
        <v>135</v>
      </c>
    </row>
    <row r="719" ht="15" customHeight="1" s="32">
      <c r="A719" s="46" t="inlineStr">
        <is>
          <t>L-HB-0718</t>
        </is>
      </c>
      <c r="B719" s="46" t="inlineStr">
        <is>
          <t>R-HB-0718</t>
        </is>
      </c>
      <c r="C719" s="48" t="inlineStr">
        <is>
          <t>항공</t>
        </is>
      </c>
      <c r="D719" s="48" t="inlineStr">
        <is>
          <t>인천공항</t>
        </is>
      </c>
      <c r="E719" s="46" t="inlineStr">
        <is>
          <t>ICN</t>
        </is>
      </c>
      <c r="F719" s="48" t="inlineStr">
        <is>
          <t>로스앤젤레스공항</t>
        </is>
      </c>
      <c r="G719" s="46" t="inlineStr">
        <is>
          <t>LAX</t>
        </is>
      </c>
      <c r="H719" s="47" t="n">
        <v>45529</v>
      </c>
      <c r="I719" s="52" t="n">
        <v>45531</v>
      </c>
      <c r="J719" s="52" t="n">
        <v>45531</v>
      </c>
      <c r="K719" s="53" t="n">
        <v>311.1</v>
      </c>
    </row>
    <row r="720" ht="15" customHeight="1" s="32">
      <c r="A720" s="46" t="inlineStr">
        <is>
          <t>L-HB-0719</t>
        </is>
      </c>
      <c r="B720" s="46" t="inlineStr">
        <is>
          <t>R-HB-0719</t>
        </is>
      </c>
      <c r="C720" s="48" t="inlineStr">
        <is>
          <t>항공</t>
        </is>
      </c>
      <c r="D720" s="48" t="inlineStr">
        <is>
          <t>인천공항</t>
        </is>
      </c>
      <c r="E720" s="46" t="inlineStr">
        <is>
          <t>ICN</t>
        </is>
      </c>
      <c r="F720" s="48" t="inlineStr">
        <is>
          <t>토론토공항</t>
        </is>
      </c>
      <c r="G720" s="46" t="inlineStr">
        <is>
          <t>YYZ</t>
        </is>
      </c>
      <c r="H720" s="47" t="n">
        <v>45530</v>
      </c>
      <c r="I720" s="52" t="n">
        <v>45533</v>
      </c>
      <c r="J720" s="52" t="n">
        <v>45534</v>
      </c>
      <c r="K720" s="53" t="n">
        <v>135</v>
      </c>
    </row>
    <row r="721" ht="15" customHeight="1" s="32">
      <c r="A721" s="46" t="inlineStr">
        <is>
          <t>L-HB-0720</t>
        </is>
      </c>
      <c r="B721" s="46" t="inlineStr">
        <is>
          <t>R-HB-0720</t>
        </is>
      </c>
      <c r="C721" s="48" t="inlineStr">
        <is>
          <t>항공</t>
        </is>
      </c>
      <c r="D721" s="48" t="inlineStr">
        <is>
          <t>인천공항</t>
        </is>
      </c>
      <c r="E721" s="46" t="inlineStr">
        <is>
          <t>ICN</t>
        </is>
      </c>
      <c r="F721" s="48" t="inlineStr">
        <is>
          <t>프랑크푸르트공항</t>
        </is>
      </c>
      <c r="G721" s="46" t="inlineStr">
        <is>
          <t>FRA</t>
        </is>
      </c>
      <c r="H721" s="47" t="n">
        <v>45531</v>
      </c>
      <c r="I721" s="52" t="n">
        <v>45535</v>
      </c>
      <c r="J721" s="52" t="n">
        <v>45535</v>
      </c>
      <c r="K721" s="53" t="n">
        <v>135</v>
      </c>
    </row>
    <row r="722" ht="15" customHeight="1" s="32">
      <c r="A722" s="46" t="inlineStr">
        <is>
          <t>L-HB-0721</t>
        </is>
      </c>
      <c r="B722" s="46" t="inlineStr">
        <is>
          <t>R-HB-0721</t>
        </is>
      </c>
      <c r="C722" s="48" t="inlineStr">
        <is>
          <t>항공</t>
        </is>
      </c>
      <c r="D722" s="48" t="inlineStr">
        <is>
          <t>인천공항</t>
        </is>
      </c>
      <c r="E722" s="46" t="inlineStr">
        <is>
          <t>ICN</t>
        </is>
      </c>
      <c r="F722" s="48" t="inlineStr">
        <is>
          <t>하노이공항</t>
        </is>
      </c>
      <c r="G722" s="46" t="inlineStr">
        <is>
          <t>HAN</t>
        </is>
      </c>
      <c r="H722" s="47" t="n">
        <v>45538</v>
      </c>
      <c r="I722" s="52" t="n">
        <v>45539</v>
      </c>
      <c r="J722" s="52" t="n">
        <v>45539</v>
      </c>
      <c r="K722" s="53" t="n">
        <v>135</v>
      </c>
    </row>
    <row r="723" ht="15" customHeight="1" s="32">
      <c r="A723" s="46" t="inlineStr">
        <is>
          <t>L-HB-0722</t>
        </is>
      </c>
      <c r="B723" s="46" t="inlineStr">
        <is>
          <t>R-HB-0722</t>
        </is>
      </c>
      <c r="C723" s="48" t="inlineStr">
        <is>
          <t>항공</t>
        </is>
      </c>
      <c r="D723" s="48" t="inlineStr">
        <is>
          <t>인천공항</t>
        </is>
      </c>
      <c r="E723" s="46" t="inlineStr">
        <is>
          <t>ICN</t>
        </is>
      </c>
      <c r="F723" s="48" t="inlineStr">
        <is>
          <t>델리공항</t>
        </is>
      </c>
      <c r="G723" s="46" t="inlineStr">
        <is>
          <t>DEL</t>
        </is>
      </c>
      <c r="H723" s="47" t="n">
        <v>45538</v>
      </c>
      <c r="I723" s="52" t="n">
        <v>45540</v>
      </c>
      <c r="J723" s="52" t="n">
        <v>45539</v>
      </c>
      <c r="K723" s="53" t="n">
        <v>181.52</v>
      </c>
    </row>
    <row r="724" ht="15" customHeight="1" s="32">
      <c r="A724" s="46" t="inlineStr">
        <is>
          <t>L-HB-0723</t>
        </is>
      </c>
      <c r="B724" s="46" t="inlineStr">
        <is>
          <t>R-HB-0723</t>
        </is>
      </c>
      <c r="C724" s="48" t="inlineStr">
        <is>
          <t>항공</t>
        </is>
      </c>
      <c r="D724" s="48" t="inlineStr">
        <is>
          <t>인천공항</t>
        </is>
      </c>
      <c r="E724" s="46" t="inlineStr">
        <is>
          <t>ICN</t>
        </is>
      </c>
      <c r="F724" s="48" t="inlineStr">
        <is>
          <t>프랑크푸르트공항</t>
        </is>
      </c>
      <c r="G724" s="46" t="inlineStr">
        <is>
          <t>FRA</t>
        </is>
      </c>
      <c r="H724" s="47" t="n">
        <v>45539</v>
      </c>
      <c r="I724" s="52" t="n">
        <v>45542</v>
      </c>
      <c r="J724" s="52" t="n">
        <v>45542</v>
      </c>
      <c r="K724" s="53" t="n">
        <v>529.53</v>
      </c>
    </row>
    <row r="725" ht="15" customHeight="1" s="32">
      <c r="A725" s="46" t="inlineStr">
        <is>
          <t>L-HB-0724</t>
        </is>
      </c>
      <c r="B725" s="46" t="inlineStr">
        <is>
          <t>R-HB-0724</t>
        </is>
      </c>
      <c r="C725" s="48" t="inlineStr">
        <is>
          <t>항공</t>
        </is>
      </c>
      <c r="D725" s="48" t="inlineStr">
        <is>
          <t>인천공항</t>
        </is>
      </c>
      <c r="E725" s="46" t="inlineStr">
        <is>
          <t>ICN</t>
        </is>
      </c>
      <c r="F725" s="48" t="inlineStr">
        <is>
          <t>델리공항</t>
        </is>
      </c>
      <c r="G725" s="46" t="inlineStr">
        <is>
          <t>DEL</t>
        </is>
      </c>
      <c r="H725" s="47" t="n">
        <v>45539</v>
      </c>
      <c r="I725" s="52" t="n">
        <v>45542</v>
      </c>
      <c r="J725" s="52" t="n">
        <v>45542</v>
      </c>
      <c r="K725" s="53" t="n">
        <v>135</v>
      </c>
    </row>
    <row r="726" ht="15" customHeight="1" s="32">
      <c r="A726" s="46" t="inlineStr">
        <is>
          <t>L-HB-0725</t>
        </is>
      </c>
      <c r="B726" s="46" t="inlineStr">
        <is>
          <t>R-HB-0725</t>
        </is>
      </c>
      <c r="C726" s="48" t="inlineStr">
        <is>
          <t>항공</t>
        </is>
      </c>
      <c r="D726" s="48" t="inlineStr">
        <is>
          <t>인천공항</t>
        </is>
      </c>
      <c r="E726" s="46" t="inlineStr">
        <is>
          <t>ICN</t>
        </is>
      </c>
      <c r="F726" s="48" t="inlineStr">
        <is>
          <t>과달라하라공항</t>
        </is>
      </c>
      <c r="G726" s="46" t="inlineStr">
        <is>
          <t>GDL</t>
        </is>
      </c>
      <c r="H726" s="47" t="n">
        <v>45540</v>
      </c>
      <c r="I726" s="52" t="n">
        <v>45544</v>
      </c>
      <c r="J726" s="52" t="n">
        <v>45544</v>
      </c>
      <c r="K726" s="53" t="n">
        <v>140.48</v>
      </c>
    </row>
    <row r="727" ht="15" customHeight="1" s="32">
      <c r="A727" s="46" t="inlineStr">
        <is>
          <t>L-HB-0726</t>
        </is>
      </c>
      <c r="B727" s="46" t="inlineStr">
        <is>
          <t>R-HB-0726</t>
        </is>
      </c>
      <c r="C727" s="48" t="inlineStr">
        <is>
          <t>항공</t>
        </is>
      </c>
      <c r="D727" s="48" t="inlineStr">
        <is>
          <t>인천공항</t>
        </is>
      </c>
      <c r="E727" s="46" t="inlineStr">
        <is>
          <t>ICN</t>
        </is>
      </c>
      <c r="F727" s="48" t="inlineStr">
        <is>
          <t>토론토공항</t>
        </is>
      </c>
      <c r="G727" s="46" t="inlineStr">
        <is>
          <t>YYZ</t>
        </is>
      </c>
      <c r="H727" s="47" t="n">
        <v>45540</v>
      </c>
      <c r="I727" s="52" t="n">
        <v>45543</v>
      </c>
      <c r="J727" s="52" t="n">
        <v>45543</v>
      </c>
      <c r="K727" s="53" t="n">
        <v>135</v>
      </c>
    </row>
    <row r="728" ht="15" customHeight="1" s="32">
      <c r="A728" s="46" t="inlineStr">
        <is>
          <t>L-HB-0727</t>
        </is>
      </c>
      <c r="B728" s="46" t="inlineStr">
        <is>
          <t>R-HB-0727</t>
        </is>
      </c>
      <c r="C728" s="48" t="inlineStr">
        <is>
          <t>항공</t>
        </is>
      </c>
      <c r="D728" s="48" t="inlineStr">
        <is>
          <t>인천공항</t>
        </is>
      </c>
      <c r="E728" s="46" t="inlineStr">
        <is>
          <t>ICN</t>
        </is>
      </c>
      <c r="F728" s="48" t="inlineStr">
        <is>
          <t>선전공항</t>
        </is>
      </c>
      <c r="G728" s="46" t="inlineStr">
        <is>
          <t>SZX</t>
        </is>
      </c>
      <c r="H728" s="47" t="n">
        <v>45540</v>
      </c>
      <c r="I728" s="52" t="n">
        <v>45542</v>
      </c>
      <c r="J728" s="52" t="n">
        <v>45542</v>
      </c>
      <c r="K728" s="53" t="n">
        <v>135</v>
      </c>
    </row>
    <row r="729" ht="15" customHeight="1" s="32">
      <c r="A729" s="46" t="inlineStr">
        <is>
          <t>L-HB-0728</t>
        </is>
      </c>
      <c r="B729" s="46" t="inlineStr">
        <is>
          <t>R-HB-0728</t>
        </is>
      </c>
      <c r="C729" s="48" t="inlineStr">
        <is>
          <t>항공</t>
        </is>
      </c>
      <c r="D729" s="48" t="inlineStr">
        <is>
          <t>인천공항</t>
        </is>
      </c>
      <c r="E729" s="46" t="inlineStr">
        <is>
          <t>ICN</t>
        </is>
      </c>
      <c r="F729" s="48" t="inlineStr">
        <is>
          <t>충칭공항</t>
        </is>
      </c>
      <c r="G729" s="46" t="inlineStr">
        <is>
          <t>CKG</t>
        </is>
      </c>
      <c r="H729" s="47" t="n">
        <v>45541</v>
      </c>
      <c r="I729" s="52" t="n">
        <v>45542</v>
      </c>
      <c r="J729" s="52" t="n">
        <v>45546</v>
      </c>
      <c r="K729" s="53" t="n">
        <v>311</v>
      </c>
    </row>
    <row r="730" ht="15" customHeight="1" s="32">
      <c r="A730" s="46" t="inlineStr">
        <is>
          <t>L-HB-0729</t>
        </is>
      </c>
      <c r="B730" s="46" t="inlineStr">
        <is>
          <t>R-HB-0729</t>
        </is>
      </c>
      <c r="C730" s="48" t="inlineStr">
        <is>
          <t>항공</t>
        </is>
      </c>
      <c r="D730" s="48" t="inlineStr">
        <is>
          <t>인천공항</t>
        </is>
      </c>
      <c r="E730" s="46" t="inlineStr">
        <is>
          <t>ICN</t>
        </is>
      </c>
      <c r="F730" s="48" t="inlineStr">
        <is>
          <t>프랑크푸르트공항</t>
        </is>
      </c>
      <c r="G730" s="46" t="inlineStr">
        <is>
          <t>FRA</t>
        </is>
      </c>
      <c r="H730" s="47" t="n">
        <v>45542</v>
      </c>
      <c r="I730" s="52" t="n">
        <v>45546</v>
      </c>
      <c r="J730" s="52" t="n">
        <v>45546</v>
      </c>
      <c r="K730" s="53" t="n">
        <v>304.09</v>
      </c>
    </row>
    <row r="731" ht="15" customHeight="1" s="32">
      <c r="A731" s="46" t="inlineStr">
        <is>
          <t>L-HB-0730</t>
        </is>
      </c>
      <c r="B731" s="46" t="inlineStr">
        <is>
          <t>R-HB-0730</t>
        </is>
      </c>
      <c r="C731" s="48" t="inlineStr">
        <is>
          <t>항공</t>
        </is>
      </c>
      <c r="D731" s="48" t="inlineStr">
        <is>
          <t>인천공항</t>
        </is>
      </c>
      <c r="E731" s="46" t="inlineStr">
        <is>
          <t>ICN</t>
        </is>
      </c>
      <c r="F731" s="48" t="inlineStr">
        <is>
          <t>과달라하라공항</t>
        </is>
      </c>
      <c r="G731" s="46" t="inlineStr">
        <is>
          <t>GDL</t>
        </is>
      </c>
      <c r="H731" s="47" t="n">
        <v>45545</v>
      </c>
      <c r="I731" s="52" t="n">
        <v>45548</v>
      </c>
      <c r="J731" s="52" t="n">
        <v>45548</v>
      </c>
      <c r="K731" s="53" t="n">
        <v>135</v>
      </c>
    </row>
    <row r="732" ht="15" customHeight="1" s="32">
      <c r="A732" s="46" t="inlineStr">
        <is>
          <t>L-HB-0731</t>
        </is>
      </c>
      <c r="B732" s="46" t="inlineStr">
        <is>
          <t>R-HB-0731</t>
        </is>
      </c>
      <c r="C732" s="48" t="inlineStr">
        <is>
          <t>항공</t>
        </is>
      </c>
      <c r="D732" s="48" t="inlineStr">
        <is>
          <t>인천공항</t>
        </is>
      </c>
      <c r="E732" s="46" t="inlineStr">
        <is>
          <t>ICN</t>
        </is>
      </c>
      <c r="F732" s="48" t="inlineStr">
        <is>
          <t>토론토공항</t>
        </is>
      </c>
      <c r="G732" s="46" t="inlineStr">
        <is>
          <t>YYZ</t>
        </is>
      </c>
      <c r="H732" s="47" t="n">
        <v>45545</v>
      </c>
      <c r="I732" s="52" t="n">
        <v>45548</v>
      </c>
      <c r="J732" s="52" t="n">
        <v>45548</v>
      </c>
      <c r="K732" s="53" t="n">
        <v>135</v>
      </c>
    </row>
    <row r="733" ht="15" customHeight="1" s="32">
      <c r="A733" s="46" t="inlineStr">
        <is>
          <t>L-HB-0732</t>
        </is>
      </c>
      <c r="B733" s="46" t="inlineStr">
        <is>
          <t>R-HB-0732</t>
        </is>
      </c>
      <c r="C733" s="48" t="inlineStr">
        <is>
          <t>해상</t>
        </is>
      </c>
      <c r="D733" s="48" t="inlineStr">
        <is>
          <t>부산항</t>
        </is>
      </c>
      <c r="E733" s="46" t="inlineStr">
        <is>
          <t>KRPUS</t>
        </is>
      </c>
      <c r="F733" s="48" t="inlineStr">
        <is>
          <t>하이퐁항</t>
        </is>
      </c>
      <c r="G733" s="46" t="inlineStr">
        <is>
          <t>VNHPH</t>
        </is>
      </c>
      <c r="H733" s="47" t="n">
        <v>45545</v>
      </c>
      <c r="I733" s="52" t="n">
        <v>45554</v>
      </c>
      <c r="J733" s="52" t="n">
        <v>45553</v>
      </c>
      <c r="K733" s="53" t="n">
        <v>530</v>
      </c>
    </row>
    <row r="734" ht="15" customHeight="1" s="32">
      <c r="A734" s="46" t="inlineStr">
        <is>
          <t>L-HB-0733</t>
        </is>
      </c>
      <c r="B734" s="46" t="inlineStr">
        <is>
          <t>R-HB-0733</t>
        </is>
      </c>
      <c r="C734" s="48" t="inlineStr">
        <is>
          <t>항공</t>
        </is>
      </c>
      <c r="D734" s="48" t="inlineStr">
        <is>
          <t>인천공항</t>
        </is>
      </c>
      <c r="E734" s="46" t="inlineStr">
        <is>
          <t>ICN</t>
        </is>
      </c>
      <c r="F734" s="48" t="inlineStr">
        <is>
          <t>로스앤젤레스공항</t>
        </is>
      </c>
      <c r="G734" s="46" t="inlineStr">
        <is>
          <t>LAX</t>
        </is>
      </c>
      <c r="H734" s="47" t="n">
        <v>45546</v>
      </c>
      <c r="I734" s="52" t="n">
        <v>45549</v>
      </c>
      <c r="J734" s="52" t="n">
        <v>45551</v>
      </c>
      <c r="K734" s="53" t="n">
        <v>184.18</v>
      </c>
    </row>
    <row r="735" ht="15" customHeight="1" s="32">
      <c r="A735" s="46" t="inlineStr">
        <is>
          <t>L-HB-0734</t>
        </is>
      </c>
      <c r="B735" s="46" t="inlineStr">
        <is>
          <t>R-HB-0734</t>
        </is>
      </c>
      <c r="C735" s="48" t="inlineStr">
        <is>
          <t>항공</t>
        </is>
      </c>
      <c r="D735" s="48" t="inlineStr">
        <is>
          <t>인천공항</t>
        </is>
      </c>
      <c r="E735" s="46" t="inlineStr">
        <is>
          <t>ICN</t>
        </is>
      </c>
      <c r="F735" s="48" t="inlineStr">
        <is>
          <t>시애틀공항</t>
        </is>
      </c>
      <c r="G735" s="46" t="inlineStr">
        <is>
          <t>SEA</t>
        </is>
      </c>
      <c r="H735" s="47" t="n">
        <v>45547</v>
      </c>
      <c r="I735" s="52" t="n">
        <v>45549</v>
      </c>
      <c r="J735" s="52" t="n">
        <v>45549</v>
      </c>
      <c r="K735" s="53" t="n">
        <v>135</v>
      </c>
    </row>
    <row r="736" ht="15" customHeight="1" s="32">
      <c r="A736" s="46" t="inlineStr">
        <is>
          <t>L-HB-0735</t>
        </is>
      </c>
      <c r="B736" s="46" t="inlineStr">
        <is>
          <t>R-HB-0735</t>
        </is>
      </c>
      <c r="C736" s="48" t="inlineStr">
        <is>
          <t>항공</t>
        </is>
      </c>
      <c r="D736" s="48" t="inlineStr">
        <is>
          <t>인천공항</t>
        </is>
      </c>
      <c r="E736" s="46" t="inlineStr">
        <is>
          <t>ICN</t>
        </is>
      </c>
      <c r="F736" s="48" t="inlineStr">
        <is>
          <t>과달라하라공항</t>
        </is>
      </c>
      <c r="G736" s="46" t="inlineStr">
        <is>
          <t>GDL</t>
        </is>
      </c>
      <c r="H736" s="47" t="n">
        <v>45547</v>
      </c>
      <c r="I736" s="52" t="n">
        <v>45551</v>
      </c>
      <c r="J736" s="52" t="n">
        <v>45550</v>
      </c>
      <c r="K736" s="53" t="n">
        <v>135</v>
      </c>
    </row>
    <row r="737" ht="15" customHeight="1" s="32">
      <c r="A737" s="46" t="inlineStr">
        <is>
          <t>L-HB-0736</t>
        </is>
      </c>
      <c r="B737" s="46" t="inlineStr">
        <is>
          <t>R-HB-0736</t>
        </is>
      </c>
      <c r="C737" s="48" t="inlineStr">
        <is>
          <t>항공</t>
        </is>
      </c>
      <c r="D737" s="48" t="inlineStr">
        <is>
          <t>인천공항</t>
        </is>
      </c>
      <c r="E737" s="46" t="inlineStr">
        <is>
          <t>ICN</t>
        </is>
      </c>
      <c r="F737" s="48" t="inlineStr">
        <is>
          <t>하노이공항</t>
        </is>
      </c>
      <c r="G737" s="46" t="inlineStr">
        <is>
          <t>HAN</t>
        </is>
      </c>
      <c r="H737" s="47" t="n">
        <v>45547</v>
      </c>
      <c r="I737" s="52" t="n">
        <v>45548</v>
      </c>
      <c r="J737" s="52" t="n">
        <v>45548</v>
      </c>
      <c r="K737" s="53" t="n">
        <v>234.07</v>
      </c>
    </row>
    <row r="738" ht="15" customHeight="1" s="32">
      <c r="A738" s="46" t="inlineStr">
        <is>
          <t>L-HB-0737</t>
        </is>
      </c>
      <c r="B738" s="46" t="inlineStr">
        <is>
          <t>R-HB-0737</t>
        </is>
      </c>
      <c r="C738" s="48" t="inlineStr">
        <is>
          <t>항공</t>
        </is>
      </c>
      <c r="D738" s="48" t="inlineStr">
        <is>
          <t>인천공항</t>
        </is>
      </c>
      <c r="E738" s="46" t="inlineStr">
        <is>
          <t>ICN</t>
        </is>
      </c>
      <c r="F738" s="48" t="inlineStr">
        <is>
          <t>선전공항</t>
        </is>
      </c>
      <c r="G738" s="46" t="inlineStr">
        <is>
          <t>SZX</t>
        </is>
      </c>
      <c r="H738" s="47" t="n">
        <v>45548</v>
      </c>
      <c r="I738" s="52" t="n">
        <v>45549</v>
      </c>
      <c r="J738" s="52" t="n">
        <v>45549</v>
      </c>
      <c r="K738" s="53" t="n">
        <v>360.96</v>
      </c>
    </row>
    <row r="739" ht="15" customHeight="1" s="32">
      <c r="A739" s="46" t="inlineStr">
        <is>
          <t>L-HB-0738</t>
        </is>
      </c>
      <c r="B739" s="46" t="inlineStr">
        <is>
          <t>R-HB-0738</t>
        </is>
      </c>
      <c r="C739" s="48" t="inlineStr">
        <is>
          <t>항공</t>
        </is>
      </c>
      <c r="D739" s="48" t="inlineStr">
        <is>
          <t>인천공항</t>
        </is>
      </c>
      <c r="E739" s="46" t="inlineStr">
        <is>
          <t>ICN</t>
        </is>
      </c>
      <c r="F739" s="48" t="inlineStr">
        <is>
          <t>델리공항</t>
        </is>
      </c>
      <c r="G739" s="46" t="inlineStr">
        <is>
          <t>DEL</t>
        </is>
      </c>
      <c r="H739" s="47" t="n">
        <v>45549</v>
      </c>
      <c r="I739" s="52" t="n">
        <v>45552</v>
      </c>
      <c r="J739" s="52" t="n">
        <v>45552</v>
      </c>
      <c r="K739" s="53" t="n">
        <v>135</v>
      </c>
    </row>
    <row r="740" ht="15" customHeight="1" s="32">
      <c r="A740" s="46" t="inlineStr">
        <is>
          <t>L-HB-0739</t>
        </is>
      </c>
      <c r="B740" s="46" t="inlineStr">
        <is>
          <t>R-HB-0739</t>
        </is>
      </c>
      <c r="C740" s="48" t="inlineStr">
        <is>
          <t>항공</t>
        </is>
      </c>
      <c r="D740" s="48" t="inlineStr">
        <is>
          <t>인천공항</t>
        </is>
      </c>
      <c r="E740" s="46" t="inlineStr">
        <is>
          <t>ICN</t>
        </is>
      </c>
      <c r="F740" s="48" t="inlineStr">
        <is>
          <t>시애틀공항</t>
        </is>
      </c>
      <c r="G740" s="46" t="inlineStr">
        <is>
          <t>SEA</t>
        </is>
      </c>
      <c r="H740" s="47" t="n">
        <v>45550</v>
      </c>
      <c r="I740" s="52" t="n">
        <v>45552</v>
      </c>
      <c r="J740" s="52" t="n">
        <v>45552</v>
      </c>
      <c r="K740" s="53" t="n">
        <v>188.01</v>
      </c>
    </row>
    <row r="741" ht="15" customHeight="1" s="32">
      <c r="A741" s="46" t="inlineStr">
        <is>
          <t>L-HB-0740</t>
        </is>
      </c>
      <c r="B741" s="46" t="inlineStr">
        <is>
          <t>R-HB-0740</t>
        </is>
      </c>
      <c r="C741" s="48" t="inlineStr">
        <is>
          <t>해상</t>
        </is>
      </c>
      <c r="D741" s="48" t="inlineStr">
        <is>
          <t>부산항</t>
        </is>
      </c>
      <c r="E741" s="46" t="inlineStr">
        <is>
          <t>KRPUS</t>
        </is>
      </c>
      <c r="F741" s="48" t="inlineStr">
        <is>
          <t>상하이항</t>
        </is>
      </c>
      <c r="G741" s="46" t="inlineStr">
        <is>
          <t>CNSHA</t>
        </is>
      </c>
      <c r="H741" s="47" t="n">
        <v>45550</v>
      </c>
      <c r="I741" s="52" t="n">
        <v>45555</v>
      </c>
      <c r="J741" s="52" t="n">
        <v>45553</v>
      </c>
      <c r="K741" s="53" t="n">
        <v>530</v>
      </c>
    </row>
    <row r="742" ht="15" customHeight="1" s="32">
      <c r="A742" s="46" t="inlineStr">
        <is>
          <t>L-HB-0741</t>
        </is>
      </c>
      <c r="B742" s="46" t="inlineStr">
        <is>
          <t>R-HB-0741</t>
        </is>
      </c>
      <c r="C742" s="48" t="inlineStr">
        <is>
          <t>항공</t>
        </is>
      </c>
      <c r="D742" s="48" t="inlineStr">
        <is>
          <t>인천공항</t>
        </is>
      </c>
      <c r="E742" s="46" t="inlineStr">
        <is>
          <t>ICN</t>
        </is>
      </c>
      <c r="F742" s="48" t="inlineStr">
        <is>
          <t>로스앤젤레스공항</t>
        </is>
      </c>
      <c r="G742" s="46" t="inlineStr">
        <is>
          <t>LAX</t>
        </is>
      </c>
      <c r="H742" s="47" t="n">
        <v>45551</v>
      </c>
      <c r="I742" s="52" t="n">
        <v>45554</v>
      </c>
      <c r="J742" s="52" t="n">
        <v>45553</v>
      </c>
      <c r="K742" s="53" t="n">
        <v>135</v>
      </c>
    </row>
    <row r="743" ht="15" customHeight="1" s="32">
      <c r="A743" s="46" t="inlineStr">
        <is>
          <t>L-HB-0742</t>
        </is>
      </c>
      <c r="B743" s="46" t="inlineStr">
        <is>
          <t>R-HB-0742</t>
        </is>
      </c>
      <c r="C743" s="48" t="inlineStr">
        <is>
          <t>항공</t>
        </is>
      </c>
      <c r="D743" s="48" t="inlineStr">
        <is>
          <t>인천공항</t>
        </is>
      </c>
      <c r="E743" s="46" t="inlineStr">
        <is>
          <t>ICN</t>
        </is>
      </c>
      <c r="F743" s="48" t="inlineStr">
        <is>
          <t>선전공항</t>
        </is>
      </c>
      <c r="G743" s="46" t="inlineStr">
        <is>
          <t>SZX</t>
        </is>
      </c>
      <c r="H743" s="47" t="n">
        <v>45551</v>
      </c>
      <c r="I743" s="52" t="n">
        <v>45552</v>
      </c>
      <c r="J743" s="52" t="n">
        <v>45552</v>
      </c>
      <c r="K743" s="53" t="n">
        <v>135</v>
      </c>
    </row>
    <row r="744" ht="15" customHeight="1" s="32">
      <c r="A744" s="46" t="inlineStr">
        <is>
          <t>L-HB-0743</t>
        </is>
      </c>
      <c r="B744" s="46" t="inlineStr">
        <is>
          <t>R-HB-0743</t>
        </is>
      </c>
      <c r="C744" s="48" t="inlineStr">
        <is>
          <t>항공</t>
        </is>
      </c>
      <c r="D744" s="48" t="inlineStr">
        <is>
          <t>인천공항</t>
        </is>
      </c>
      <c r="E744" s="46" t="inlineStr">
        <is>
          <t>ICN</t>
        </is>
      </c>
      <c r="F744" s="48" t="inlineStr">
        <is>
          <t>로스앤젤레스공항</t>
        </is>
      </c>
      <c r="G744" s="46" t="inlineStr">
        <is>
          <t>LAX</t>
        </is>
      </c>
      <c r="H744" s="47" t="n">
        <v>45552</v>
      </c>
      <c r="I744" s="52" t="n">
        <v>45554</v>
      </c>
      <c r="J744" s="52" t="n">
        <v>45553</v>
      </c>
      <c r="K744" s="53" t="n">
        <v>322.35</v>
      </c>
    </row>
    <row r="745" ht="15" customHeight="1" s="32">
      <c r="A745" s="46" t="inlineStr">
        <is>
          <t>L-HB-0744</t>
        </is>
      </c>
      <c r="B745" s="46" t="inlineStr">
        <is>
          <t>R-HB-0744</t>
        </is>
      </c>
      <c r="C745" s="48" t="inlineStr">
        <is>
          <t>항공</t>
        </is>
      </c>
      <c r="D745" s="48" t="inlineStr">
        <is>
          <t>인천공항</t>
        </is>
      </c>
      <c r="E745" s="46" t="inlineStr">
        <is>
          <t>ICN</t>
        </is>
      </c>
      <c r="F745" s="48" t="inlineStr">
        <is>
          <t>델리공항</t>
        </is>
      </c>
      <c r="G745" s="46" t="inlineStr">
        <is>
          <t>DEL</t>
        </is>
      </c>
      <c r="H745" s="47" t="n">
        <v>45552</v>
      </c>
      <c r="I745" s="52" t="n">
        <v>45555</v>
      </c>
      <c r="J745" s="52" t="n">
        <v>45555</v>
      </c>
      <c r="K745" s="53" t="n">
        <v>135</v>
      </c>
    </row>
    <row r="746" ht="15" customHeight="1" s="32">
      <c r="A746" s="46" t="inlineStr">
        <is>
          <t>L-HB-0745</t>
        </is>
      </c>
      <c r="B746" s="46" t="inlineStr">
        <is>
          <t>R-HB-0745</t>
        </is>
      </c>
      <c r="C746" s="48" t="inlineStr">
        <is>
          <t>항공</t>
        </is>
      </c>
      <c r="D746" s="48" t="inlineStr">
        <is>
          <t>인천공항</t>
        </is>
      </c>
      <c r="E746" s="46" t="inlineStr">
        <is>
          <t>ICN</t>
        </is>
      </c>
      <c r="F746" s="48" t="inlineStr">
        <is>
          <t>충칭공항</t>
        </is>
      </c>
      <c r="G746" s="46" t="inlineStr">
        <is>
          <t>CKG</t>
        </is>
      </c>
      <c r="H746" s="47" t="n">
        <v>45552</v>
      </c>
      <c r="I746" s="52" t="n">
        <v>45553</v>
      </c>
      <c r="J746" s="52" t="n">
        <v>45553</v>
      </c>
      <c r="K746" s="53" t="n">
        <v>135</v>
      </c>
    </row>
    <row r="747" ht="15" customHeight="1" s="32">
      <c r="A747" s="46" t="inlineStr">
        <is>
          <t>L-HB-0746</t>
        </is>
      </c>
      <c r="B747" s="46" t="inlineStr">
        <is>
          <t>R-HB-0746</t>
        </is>
      </c>
      <c r="C747" s="48" t="inlineStr">
        <is>
          <t>항공</t>
        </is>
      </c>
      <c r="D747" s="48" t="inlineStr">
        <is>
          <t>인천공항</t>
        </is>
      </c>
      <c r="E747" s="46" t="inlineStr">
        <is>
          <t>ICN</t>
        </is>
      </c>
      <c r="F747" s="48" t="inlineStr">
        <is>
          <t>로스앤젤레스공항</t>
        </is>
      </c>
      <c r="G747" s="46" t="inlineStr">
        <is>
          <t>LAX</t>
        </is>
      </c>
      <c r="H747" s="47" t="n">
        <v>45553</v>
      </c>
      <c r="I747" s="52" t="n">
        <v>45556</v>
      </c>
      <c r="J747" s="52" t="n">
        <v>45556</v>
      </c>
      <c r="K747" s="53" t="n">
        <v>513.28</v>
      </c>
    </row>
    <row r="748" ht="15" customHeight="1" s="32">
      <c r="A748" s="46" t="inlineStr">
        <is>
          <t>L-HB-0747</t>
        </is>
      </c>
      <c r="B748" s="46" t="inlineStr">
        <is>
          <t>R-HB-0747</t>
        </is>
      </c>
      <c r="C748" s="48" t="inlineStr">
        <is>
          <t>항공</t>
        </is>
      </c>
      <c r="D748" s="48" t="inlineStr">
        <is>
          <t>인천공항</t>
        </is>
      </c>
      <c r="E748" s="46" t="inlineStr">
        <is>
          <t>ICN</t>
        </is>
      </c>
      <c r="F748" s="48" t="inlineStr">
        <is>
          <t>시애틀공항</t>
        </is>
      </c>
      <c r="G748" s="46" t="inlineStr">
        <is>
          <t>SEA</t>
        </is>
      </c>
      <c r="H748" s="47" t="n">
        <v>45553</v>
      </c>
      <c r="I748" s="52" t="n">
        <v>45557</v>
      </c>
      <c r="J748" s="52" t="n">
        <v>45557</v>
      </c>
      <c r="K748" s="53" t="n">
        <v>286.01</v>
      </c>
    </row>
    <row r="749" ht="15" customHeight="1" s="32">
      <c r="A749" s="46" t="inlineStr">
        <is>
          <t>L-HB-0748</t>
        </is>
      </c>
      <c r="B749" s="46" t="inlineStr">
        <is>
          <t>R-HB-0748</t>
        </is>
      </c>
      <c r="C749" s="48" t="inlineStr">
        <is>
          <t>항공</t>
        </is>
      </c>
      <c r="D749" s="48" t="inlineStr">
        <is>
          <t>인천공항</t>
        </is>
      </c>
      <c r="E749" s="46" t="inlineStr">
        <is>
          <t>ICN</t>
        </is>
      </c>
      <c r="F749" s="48" t="inlineStr">
        <is>
          <t>프랑크푸르트공항</t>
        </is>
      </c>
      <c r="G749" s="46" t="inlineStr">
        <is>
          <t>FRA</t>
        </is>
      </c>
      <c r="H749" s="47" t="n">
        <v>45553</v>
      </c>
      <c r="I749" s="52" t="n">
        <v>45557</v>
      </c>
      <c r="J749" s="52" t="n">
        <v>45557</v>
      </c>
      <c r="K749" s="53" t="n">
        <v>135</v>
      </c>
    </row>
    <row r="750" ht="15" customHeight="1" s="32">
      <c r="A750" s="46" t="inlineStr">
        <is>
          <t>L-HB-0749</t>
        </is>
      </c>
      <c r="B750" s="46" t="inlineStr">
        <is>
          <t>R-HB-0749</t>
        </is>
      </c>
      <c r="C750" s="48" t="inlineStr">
        <is>
          <t>항공</t>
        </is>
      </c>
      <c r="D750" s="48" t="inlineStr">
        <is>
          <t>인천공항</t>
        </is>
      </c>
      <c r="E750" s="46" t="inlineStr">
        <is>
          <t>ICN</t>
        </is>
      </c>
      <c r="F750" s="48" t="inlineStr">
        <is>
          <t>토론토공항</t>
        </is>
      </c>
      <c r="G750" s="46" t="inlineStr">
        <is>
          <t>YYZ</t>
        </is>
      </c>
      <c r="H750" s="47" t="n">
        <v>45555</v>
      </c>
      <c r="I750" s="52" t="n">
        <v>45559</v>
      </c>
      <c r="J750" s="52" t="n">
        <v>45559</v>
      </c>
      <c r="K750" s="53" t="n">
        <v>135</v>
      </c>
    </row>
    <row r="751" ht="15" customHeight="1" s="32">
      <c r="A751" s="46" t="inlineStr">
        <is>
          <t>L-HB-0750</t>
        </is>
      </c>
      <c r="B751" s="46" t="inlineStr">
        <is>
          <t>R-HB-0750</t>
        </is>
      </c>
      <c r="C751" s="48" t="inlineStr">
        <is>
          <t>항공</t>
        </is>
      </c>
      <c r="D751" s="48" t="inlineStr">
        <is>
          <t>인천공항</t>
        </is>
      </c>
      <c r="E751" s="46" t="inlineStr">
        <is>
          <t>ICN</t>
        </is>
      </c>
      <c r="F751" s="48" t="inlineStr">
        <is>
          <t>하노이공항</t>
        </is>
      </c>
      <c r="G751" s="46" t="inlineStr">
        <is>
          <t>HAN</t>
        </is>
      </c>
      <c r="H751" s="47" t="n">
        <v>45558</v>
      </c>
      <c r="I751" s="52" t="n">
        <v>45560</v>
      </c>
      <c r="J751" s="52" t="n">
        <v>45559</v>
      </c>
      <c r="K751" s="53" t="n">
        <v>135</v>
      </c>
    </row>
    <row r="752" ht="15" customHeight="1" s="32">
      <c r="A752" s="46" t="inlineStr">
        <is>
          <t>L-HB-0751</t>
        </is>
      </c>
      <c r="B752" s="46" t="inlineStr">
        <is>
          <t>R-HB-0751</t>
        </is>
      </c>
      <c r="C752" s="48" t="inlineStr">
        <is>
          <t>해상</t>
        </is>
      </c>
      <c r="D752" s="48" t="inlineStr">
        <is>
          <t>부산항</t>
        </is>
      </c>
      <c r="E752" s="46" t="inlineStr">
        <is>
          <t>KRPUS</t>
        </is>
      </c>
      <c r="F752" s="48" t="inlineStr">
        <is>
          <t>서커우항</t>
        </is>
      </c>
      <c r="G752" s="46" t="inlineStr">
        <is>
          <t>CNSHK</t>
        </is>
      </c>
      <c r="H752" s="47" t="n">
        <v>45558</v>
      </c>
      <c r="I752" s="52" t="n">
        <v>45563</v>
      </c>
      <c r="J752" s="52" t="n">
        <v>45568</v>
      </c>
      <c r="K752" s="53" t="n">
        <v>530</v>
      </c>
    </row>
    <row r="753" ht="15" customHeight="1" s="32">
      <c r="A753" s="46" t="inlineStr">
        <is>
          <t>L-HB-0752</t>
        </is>
      </c>
      <c r="B753" s="46" t="inlineStr">
        <is>
          <t>R-HB-0752</t>
        </is>
      </c>
      <c r="C753" s="48" t="inlineStr">
        <is>
          <t>항공</t>
        </is>
      </c>
      <c r="D753" s="48" t="inlineStr">
        <is>
          <t>인천공항</t>
        </is>
      </c>
      <c r="E753" s="46" t="inlineStr">
        <is>
          <t>ICN</t>
        </is>
      </c>
      <c r="F753" s="48" t="inlineStr">
        <is>
          <t>충칭공항</t>
        </is>
      </c>
      <c r="G753" s="46" t="inlineStr">
        <is>
          <t>CKG</t>
        </is>
      </c>
      <c r="H753" s="47" t="n">
        <v>45558</v>
      </c>
      <c r="I753" s="52" t="n">
        <v>45559</v>
      </c>
      <c r="J753" s="52" t="n">
        <v>45559</v>
      </c>
      <c r="K753" s="53" t="n">
        <v>135</v>
      </c>
    </row>
    <row r="754" ht="15" customHeight="1" s="32">
      <c r="A754" s="46" t="inlineStr">
        <is>
          <t>L-HB-0753</t>
        </is>
      </c>
      <c r="B754" s="46" t="inlineStr">
        <is>
          <t>R-HB-0753</t>
        </is>
      </c>
      <c r="C754" s="48" t="inlineStr">
        <is>
          <t>항공</t>
        </is>
      </c>
      <c r="D754" s="48" t="inlineStr">
        <is>
          <t>인천공항</t>
        </is>
      </c>
      <c r="E754" s="46" t="inlineStr">
        <is>
          <t>ICN</t>
        </is>
      </c>
      <c r="F754" s="48" t="inlineStr">
        <is>
          <t>과달라하라공항</t>
        </is>
      </c>
      <c r="G754" s="46" t="inlineStr">
        <is>
          <t>GDL</t>
        </is>
      </c>
      <c r="H754" s="47" t="n">
        <v>45559</v>
      </c>
      <c r="I754" s="52" t="n">
        <v>45564</v>
      </c>
      <c r="J754" s="52" t="n">
        <v>45564</v>
      </c>
      <c r="K754" s="53" t="n">
        <v>135</v>
      </c>
    </row>
    <row r="755" ht="15" customHeight="1" s="32">
      <c r="A755" s="46" t="inlineStr">
        <is>
          <t>L-HB-0754</t>
        </is>
      </c>
      <c r="B755" s="46" t="inlineStr">
        <is>
          <t>R-HB-0754</t>
        </is>
      </c>
      <c r="C755" s="48" t="inlineStr">
        <is>
          <t>항공</t>
        </is>
      </c>
      <c r="D755" s="48" t="inlineStr">
        <is>
          <t>인천공항</t>
        </is>
      </c>
      <c r="E755" s="46" t="inlineStr">
        <is>
          <t>ICN</t>
        </is>
      </c>
      <c r="F755" s="48" t="inlineStr">
        <is>
          <t>토론토공항</t>
        </is>
      </c>
      <c r="G755" s="46" t="inlineStr">
        <is>
          <t>YYZ</t>
        </is>
      </c>
      <c r="H755" s="47" t="n">
        <v>45559</v>
      </c>
      <c r="I755" s="52" t="n">
        <v>45563</v>
      </c>
      <c r="J755" s="52" t="n">
        <v>45563</v>
      </c>
      <c r="K755" s="53" t="n">
        <v>135</v>
      </c>
    </row>
    <row r="756" ht="15" customHeight="1" s="32">
      <c r="A756" s="46" t="inlineStr">
        <is>
          <t>L-HB-0755</t>
        </is>
      </c>
      <c r="B756" s="46" t="inlineStr">
        <is>
          <t>R-HB-0755</t>
        </is>
      </c>
      <c r="C756" s="48" t="inlineStr">
        <is>
          <t>항공</t>
        </is>
      </c>
      <c r="D756" s="48" t="inlineStr">
        <is>
          <t>인천공항</t>
        </is>
      </c>
      <c r="E756" s="46" t="inlineStr">
        <is>
          <t>ICN</t>
        </is>
      </c>
      <c r="F756" s="48" t="inlineStr">
        <is>
          <t>시애틀공항</t>
        </is>
      </c>
      <c r="G756" s="46" t="inlineStr">
        <is>
          <t>SEA</t>
        </is>
      </c>
      <c r="H756" s="47" t="n">
        <v>45560</v>
      </c>
      <c r="I756" s="52" t="n">
        <v>45562</v>
      </c>
      <c r="J756" s="52" t="n">
        <v>45562</v>
      </c>
      <c r="K756" s="53" t="n">
        <v>135</v>
      </c>
    </row>
    <row r="757" ht="15" customHeight="1" s="32">
      <c r="A757" s="46" t="inlineStr">
        <is>
          <t>L-HB-0756</t>
        </is>
      </c>
      <c r="B757" s="46" t="inlineStr">
        <is>
          <t>R-HB-0756</t>
        </is>
      </c>
      <c r="C757" s="48" t="inlineStr">
        <is>
          <t>항공</t>
        </is>
      </c>
      <c r="D757" s="48" t="inlineStr">
        <is>
          <t>인천공항</t>
        </is>
      </c>
      <c r="E757" s="46" t="inlineStr">
        <is>
          <t>ICN</t>
        </is>
      </c>
      <c r="F757" s="48" t="inlineStr">
        <is>
          <t>프랑크푸르트공항</t>
        </is>
      </c>
      <c r="G757" s="46" t="inlineStr">
        <is>
          <t>FRA</t>
        </is>
      </c>
      <c r="H757" s="47" t="n">
        <v>45562</v>
      </c>
      <c r="I757" s="52" t="n">
        <v>45565</v>
      </c>
      <c r="J757" s="52" t="n">
        <v>45565</v>
      </c>
      <c r="K757" s="53" t="n">
        <v>170.04</v>
      </c>
    </row>
    <row r="758" ht="15" customHeight="1" s="32">
      <c r="A758" s="46" t="inlineStr">
        <is>
          <t>L-HB-0757</t>
        </is>
      </c>
      <c r="B758" s="46" t="inlineStr">
        <is>
          <t>R-HB-0757</t>
        </is>
      </c>
      <c r="C758" s="48" t="inlineStr">
        <is>
          <t>항공</t>
        </is>
      </c>
      <c r="D758" s="48" t="inlineStr">
        <is>
          <t>인천공항</t>
        </is>
      </c>
      <c r="E758" s="46" t="inlineStr">
        <is>
          <t>ICN</t>
        </is>
      </c>
      <c r="F758" s="48" t="inlineStr">
        <is>
          <t>시애틀공항</t>
        </is>
      </c>
      <c r="G758" s="46" t="inlineStr">
        <is>
          <t>SEA</t>
        </is>
      </c>
      <c r="H758" s="47" t="n">
        <v>45568</v>
      </c>
      <c r="I758" s="52" t="n">
        <v>45570</v>
      </c>
      <c r="J758" s="52" t="n">
        <v>45569</v>
      </c>
      <c r="K758" s="53" t="n">
        <v>174.09</v>
      </c>
    </row>
    <row r="759" ht="15" customHeight="1" s="32">
      <c r="A759" s="46" t="inlineStr">
        <is>
          <t>L-HB-0758</t>
        </is>
      </c>
      <c r="B759" s="46" t="inlineStr">
        <is>
          <t>R-HB-0758</t>
        </is>
      </c>
      <c r="C759" s="48" t="inlineStr">
        <is>
          <t>항공</t>
        </is>
      </c>
      <c r="D759" s="48" t="inlineStr">
        <is>
          <t>인천공항</t>
        </is>
      </c>
      <c r="E759" s="46" t="inlineStr">
        <is>
          <t>ICN</t>
        </is>
      </c>
      <c r="F759" s="48" t="inlineStr">
        <is>
          <t>로스앤젤레스공항</t>
        </is>
      </c>
      <c r="G759" s="46" t="inlineStr">
        <is>
          <t>LAX</t>
        </is>
      </c>
      <c r="H759" s="47" t="n">
        <v>45570</v>
      </c>
      <c r="I759" s="52" t="n">
        <v>45572</v>
      </c>
      <c r="J759" s="52" t="n">
        <v>45572</v>
      </c>
      <c r="K759" s="53" t="n">
        <v>510.84</v>
      </c>
    </row>
    <row r="760" ht="15" customHeight="1" s="32">
      <c r="A760" s="46" t="inlineStr">
        <is>
          <t>L-HB-0759</t>
        </is>
      </c>
      <c r="B760" s="46" t="inlineStr">
        <is>
          <t>R-HB-0759</t>
        </is>
      </c>
      <c r="C760" s="48" t="inlineStr">
        <is>
          <t>항공</t>
        </is>
      </c>
      <c r="D760" s="48" t="inlineStr">
        <is>
          <t>인천공항</t>
        </is>
      </c>
      <c r="E760" s="46" t="inlineStr">
        <is>
          <t>ICN</t>
        </is>
      </c>
      <c r="F760" s="48" t="inlineStr">
        <is>
          <t>시애틀공항</t>
        </is>
      </c>
      <c r="G760" s="46" t="inlineStr">
        <is>
          <t>SEA</t>
        </is>
      </c>
      <c r="H760" s="47" t="n">
        <v>45570</v>
      </c>
      <c r="I760" s="52" t="n">
        <v>45573</v>
      </c>
      <c r="J760" s="52" t="n">
        <v>45573</v>
      </c>
      <c r="K760" s="53" t="n">
        <v>135</v>
      </c>
    </row>
    <row r="761" ht="15" customHeight="1" s="32">
      <c r="A761" s="46" t="inlineStr">
        <is>
          <t>L-HB-0760</t>
        </is>
      </c>
      <c r="B761" s="46" t="inlineStr">
        <is>
          <t>R-HB-0760</t>
        </is>
      </c>
      <c r="C761" s="48" t="inlineStr">
        <is>
          <t>항공</t>
        </is>
      </c>
      <c r="D761" s="48" t="inlineStr">
        <is>
          <t>인천공항</t>
        </is>
      </c>
      <c r="E761" s="46" t="inlineStr">
        <is>
          <t>ICN</t>
        </is>
      </c>
      <c r="F761" s="48" t="inlineStr">
        <is>
          <t>충칭공항</t>
        </is>
      </c>
      <c r="G761" s="46" t="inlineStr">
        <is>
          <t>CKG</t>
        </is>
      </c>
      <c r="H761" s="47" t="n">
        <v>45570</v>
      </c>
      <c r="I761" s="52" t="n">
        <v>45573</v>
      </c>
      <c r="J761" s="52" t="n">
        <v>45573</v>
      </c>
      <c r="K761" s="53" t="n">
        <v>274.98</v>
      </c>
    </row>
    <row r="762" ht="15" customHeight="1" s="32">
      <c r="A762" s="46" t="inlineStr">
        <is>
          <t>L-HB-0761</t>
        </is>
      </c>
      <c r="B762" s="46" t="inlineStr">
        <is>
          <t>R-HB-0761</t>
        </is>
      </c>
      <c r="C762" s="48" t="inlineStr">
        <is>
          <t>항공</t>
        </is>
      </c>
      <c r="D762" s="48" t="inlineStr">
        <is>
          <t>인천공항</t>
        </is>
      </c>
      <c r="E762" s="46" t="inlineStr">
        <is>
          <t>ICN</t>
        </is>
      </c>
      <c r="F762" s="48" t="inlineStr">
        <is>
          <t>델리공항</t>
        </is>
      </c>
      <c r="G762" s="46" t="inlineStr">
        <is>
          <t>DEL</t>
        </is>
      </c>
      <c r="H762" s="47" t="n">
        <v>45571</v>
      </c>
      <c r="I762" s="52" t="n">
        <v>45573</v>
      </c>
      <c r="J762" s="52" t="n">
        <v>45573</v>
      </c>
      <c r="K762" s="53" t="n">
        <v>135</v>
      </c>
    </row>
    <row r="763" ht="15" customHeight="1" s="32">
      <c r="A763" s="46" t="inlineStr">
        <is>
          <t>L-HB-0762</t>
        </is>
      </c>
      <c r="B763" s="46" t="inlineStr">
        <is>
          <t>R-HB-0762</t>
        </is>
      </c>
      <c r="C763" s="48" t="inlineStr">
        <is>
          <t>항공</t>
        </is>
      </c>
      <c r="D763" s="48" t="inlineStr">
        <is>
          <t>인천공항</t>
        </is>
      </c>
      <c r="E763" s="46" t="inlineStr">
        <is>
          <t>ICN</t>
        </is>
      </c>
      <c r="F763" s="48" t="inlineStr">
        <is>
          <t>로스앤젤레스공항</t>
        </is>
      </c>
      <c r="G763" s="46" t="inlineStr">
        <is>
          <t>LAX</t>
        </is>
      </c>
      <c r="H763" s="47" t="n">
        <v>45572</v>
      </c>
      <c r="I763" s="52" t="n">
        <v>45574</v>
      </c>
      <c r="J763" s="52" t="n">
        <v>45573</v>
      </c>
      <c r="K763" s="53" t="n">
        <v>151.54</v>
      </c>
    </row>
    <row r="764" ht="15" customHeight="1" s="32">
      <c r="A764" s="46" t="inlineStr">
        <is>
          <t>L-HB-0763</t>
        </is>
      </c>
      <c r="B764" s="46" t="inlineStr">
        <is>
          <t>R-HB-0763</t>
        </is>
      </c>
      <c r="C764" s="48" t="inlineStr">
        <is>
          <t>항공</t>
        </is>
      </c>
      <c r="D764" s="48" t="inlineStr">
        <is>
          <t>인천공항</t>
        </is>
      </c>
      <c r="E764" s="46" t="inlineStr">
        <is>
          <t>ICN</t>
        </is>
      </c>
      <c r="F764" s="48" t="inlineStr">
        <is>
          <t>시애틀공항</t>
        </is>
      </c>
      <c r="G764" s="46" t="inlineStr">
        <is>
          <t>SEA</t>
        </is>
      </c>
      <c r="H764" s="47" t="n">
        <v>45572</v>
      </c>
      <c r="I764" s="52" t="n">
        <v>45574</v>
      </c>
      <c r="J764" s="52" t="n">
        <v>45574</v>
      </c>
      <c r="K764" s="53" t="n">
        <v>292.02</v>
      </c>
    </row>
    <row r="765" ht="15" customHeight="1" s="32">
      <c r="A765" s="46" t="inlineStr">
        <is>
          <t>L-HB-0764</t>
        </is>
      </c>
      <c r="B765" s="46" t="inlineStr">
        <is>
          <t>R-HB-0764</t>
        </is>
      </c>
      <c r="C765" s="48" t="inlineStr">
        <is>
          <t>항공</t>
        </is>
      </c>
      <c r="D765" s="48" t="inlineStr">
        <is>
          <t>인천공항</t>
        </is>
      </c>
      <c r="E765" s="46" t="inlineStr">
        <is>
          <t>ICN</t>
        </is>
      </c>
      <c r="F765" s="48" t="inlineStr">
        <is>
          <t>토론토공항</t>
        </is>
      </c>
      <c r="G765" s="46" t="inlineStr">
        <is>
          <t>YYZ</t>
        </is>
      </c>
      <c r="H765" s="47" t="n">
        <v>45572</v>
      </c>
      <c r="I765" s="52" t="n">
        <v>45576</v>
      </c>
      <c r="J765" s="52" t="n">
        <v>45576</v>
      </c>
      <c r="K765" s="53" t="n">
        <v>135</v>
      </c>
    </row>
    <row r="766" ht="15" customHeight="1" s="32">
      <c r="A766" s="46" t="inlineStr">
        <is>
          <t>L-HB-0765</t>
        </is>
      </c>
      <c r="B766" s="46" t="inlineStr">
        <is>
          <t>R-HB-0765</t>
        </is>
      </c>
      <c r="C766" s="48" t="inlineStr">
        <is>
          <t>항공</t>
        </is>
      </c>
      <c r="D766" s="48" t="inlineStr">
        <is>
          <t>인천공항</t>
        </is>
      </c>
      <c r="E766" s="46" t="inlineStr">
        <is>
          <t>ICN</t>
        </is>
      </c>
      <c r="F766" s="48" t="inlineStr">
        <is>
          <t>프랑크푸르트공항</t>
        </is>
      </c>
      <c r="G766" s="46" t="inlineStr">
        <is>
          <t>FRA</t>
        </is>
      </c>
      <c r="H766" s="47" t="n">
        <v>45572</v>
      </c>
      <c r="I766" s="52" t="n">
        <v>45577</v>
      </c>
      <c r="J766" s="52" t="n">
        <v>45577</v>
      </c>
      <c r="K766" s="53" t="n">
        <v>135</v>
      </c>
    </row>
    <row r="767" ht="15" customHeight="1" s="32">
      <c r="A767" s="46" t="inlineStr">
        <is>
          <t>L-HB-0766</t>
        </is>
      </c>
      <c r="B767" s="46" t="inlineStr">
        <is>
          <t>R-HB-0766</t>
        </is>
      </c>
      <c r="C767" s="48" t="inlineStr">
        <is>
          <t>항공</t>
        </is>
      </c>
      <c r="D767" s="48" t="inlineStr">
        <is>
          <t>인천공항</t>
        </is>
      </c>
      <c r="E767" s="46" t="inlineStr">
        <is>
          <t>ICN</t>
        </is>
      </c>
      <c r="F767" s="48" t="inlineStr">
        <is>
          <t>시애틀공항</t>
        </is>
      </c>
      <c r="G767" s="46" t="inlineStr">
        <is>
          <t>SEA</t>
        </is>
      </c>
      <c r="H767" s="47" t="n">
        <v>45573</v>
      </c>
      <c r="I767" s="52" t="n">
        <v>45577</v>
      </c>
      <c r="J767" s="52" t="n">
        <v>45577</v>
      </c>
      <c r="K767" s="53" t="n">
        <v>135</v>
      </c>
    </row>
    <row r="768" ht="15" customHeight="1" s="32">
      <c r="A768" s="46" t="inlineStr">
        <is>
          <t>L-HB-0767</t>
        </is>
      </c>
      <c r="B768" s="46" t="inlineStr">
        <is>
          <t>R-HB-0767</t>
        </is>
      </c>
      <c r="C768" s="48" t="inlineStr">
        <is>
          <t>항공</t>
        </is>
      </c>
      <c r="D768" s="48" t="inlineStr">
        <is>
          <t>인천공항</t>
        </is>
      </c>
      <c r="E768" s="46" t="inlineStr">
        <is>
          <t>ICN</t>
        </is>
      </c>
      <c r="F768" s="48" t="inlineStr">
        <is>
          <t>과달라하라공항</t>
        </is>
      </c>
      <c r="G768" s="46" t="inlineStr">
        <is>
          <t>GDL</t>
        </is>
      </c>
      <c r="H768" s="47" t="n">
        <v>45574</v>
      </c>
      <c r="I768" s="52" t="n">
        <v>45579</v>
      </c>
      <c r="J768" s="52" t="n">
        <v>45579</v>
      </c>
      <c r="K768" s="53" t="n">
        <v>147.97</v>
      </c>
    </row>
    <row r="769" ht="15" customHeight="1" s="32">
      <c r="A769" s="46" t="inlineStr">
        <is>
          <t>L-HB-0768</t>
        </is>
      </c>
      <c r="B769" s="46" t="inlineStr">
        <is>
          <t>R-HB-0768</t>
        </is>
      </c>
      <c r="C769" s="48" t="inlineStr">
        <is>
          <t>항공</t>
        </is>
      </c>
      <c r="D769" s="48" t="inlineStr">
        <is>
          <t>인천공항</t>
        </is>
      </c>
      <c r="E769" s="46" t="inlineStr">
        <is>
          <t>ICN</t>
        </is>
      </c>
      <c r="F769" s="48" t="inlineStr">
        <is>
          <t>토론토공항</t>
        </is>
      </c>
      <c r="G769" s="46" t="inlineStr">
        <is>
          <t>YYZ</t>
        </is>
      </c>
      <c r="H769" s="47" t="n">
        <v>45574</v>
      </c>
      <c r="I769" s="52" t="n">
        <v>45577</v>
      </c>
      <c r="J769" s="52" t="n">
        <v>45579</v>
      </c>
      <c r="K769" s="53" t="n">
        <v>135</v>
      </c>
    </row>
    <row r="770" ht="15" customHeight="1" s="32">
      <c r="A770" s="46" t="inlineStr">
        <is>
          <t>L-HB-0769</t>
        </is>
      </c>
      <c r="B770" s="46" t="inlineStr">
        <is>
          <t>R-HB-0769</t>
        </is>
      </c>
      <c r="C770" s="48" t="inlineStr">
        <is>
          <t>항공</t>
        </is>
      </c>
      <c r="D770" s="48" t="inlineStr">
        <is>
          <t>인천공항</t>
        </is>
      </c>
      <c r="E770" s="46" t="inlineStr">
        <is>
          <t>ICN</t>
        </is>
      </c>
      <c r="F770" s="48" t="inlineStr">
        <is>
          <t>프랑크푸르트공항</t>
        </is>
      </c>
      <c r="G770" s="46" t="inlineStr">
        <is>
          <t>FRA</t>
        </is>
      </c>
      <c r="H770" s="47" t="n">
        <v>45575</v>
      </c>
      <c r="I770" s="52" t="n">
        <v>45578</v>
      </c>
      <c r="J770" s="52" t="n">
        <v>45578</v>
      </c>
      <c r="K770" s="53" t="n">
        <v>185.32</v>
      </c>
    </row>
    <row r="771" ht="15" customHeight="1" s="32">
      <c r="A771" s="46" t="inlineStr">
        <is>
          <t>L-HB-0770</t>
        </is>
      </c>
      <c r="B771" s="46" t="inlineStr">
        <is>
          <t>R-HB-0770</t>
        </is>
      </c>
      <c r="C771" s="48" t="inlineStr">
        <is>
          <t>항공</t>
        </is>
      </c>
      <c r="D771" s="48" t="inlineStr">
        <is>
          <t>인천공항</t>
        </is>
      </c>
      <c r="E771" s="46" t="inlineStr">
        <is>
          <t>ICN</t>
        </is>
      </c>
      <c r="F771" s="48" t="inlineStr">
        <is>
          <t>델리공항</t>
        </is>
      </c>
      <c r="G771" s="46" t="inlineStr">
        <is>
          <t>DEL</t>
        </is>
      </c>
      <c r="H771" s="47" t="n">
        <v>45575</v>
      </c>
      <c r="I771" s="52" t="n">
        <v>45579</v>
      </c>
      <c r="J771" s="52" t="n">
        <v>45579</v>
      </c>
      <c r="K771" s="53" t="n">
        <v>205.51</v>
      </c>
    </row>
    <row r="772" ht="15" customHeight="1" s="32">
      <c r="A772" s="46" t="inlineStr">
        <is>
          <t>L-HB-0771</t>
        </is>
      </c>
      <c r="B772" s="46" t="inlineStr">
        <is>
          <t>R-HB-0771</t>
        </is>
      </c>
      <c r="C772" s="48" t="inlineStr">
        <is>
          <t>항공</t>
        </is>
      </c>
      <c r="D772" s="48" t="inlineStr">
        <is>
          <t>인천공항</t>
        </is>
      </c>
      <c r="E772" s="46" t="inlineStr">
        <is>
          <t>ICN</t>
        </is>
      </c>
      <c r="F772" s="48" t="inlineStr">
        <is>
          <t>델리공항</t>
        </is>
      </c>
      <c r="G772" s="46" t="inlineStr">
        <is>
          <t>DEL</t>
        </is>
      </c>
      <c r="H772" s="47" t="n">
        <v>45575</v>
      </c>
      <c r="I772" s="52" t="n">
        <v>45577</v>
      </c>
      <c r="J772" s="52" t="n">
        <v>45577</v>
      </c>
      <c r="K772" s="53" t="n">
        <v>135</v>
      </c>
    </row>
    <row r="773" ht="15" customHeight="1" s="32">
      <c r="A773" s="46" t="inlineStr">
        <is>
          <t>L-HB-0772</t>
        </is>
      </c>
      <c r="B773" s="46" t="inlineStr">
        <is>
          <t>R-HB-0772</t>
        </is>
      </c>
      <c r="C773" s="48" t="inlineStr">
        <is>
          <t>항공</t>
        </is>
      </c>
      <c r="D773" s="48" t="inlineStr">
        <is>
          <t>인천공항</t>
        </is>
      </c>
      <c r="E773" s="46" t="inlineStr">
        <is>
          <t>ICN</t>
        </is>
      </c>
      <c r="F773" s="48" t="inlineStr">
        <is>
          <t>델리공항</t>
        </is>
      </c>
      <c r="G773" s="46" t="inlineStr">
        <is>
          <t>DEL</t>
        </is>
      </c>
      <c r="H773" s="47" t="n">
        <v>45575</v>
      </c>
      <c r="I773" s="52" t="n">
        <v>45578</v>
      </c>
      <c r="J773" s="52" t="n">
        <v>45577</v>
      </c>
      <c r="K773" s="53" t="n">
        <v>135</v>
      </c>
    </row>
    <row r="774" ht="15" customHeight="1" s="32">
      <c r="A774" s="46" t="inlineStr">
        <is>
          <t>L-HB-0773</t>
        </is>
      </c>
      <c r="B774" s="46" t="inlineStr">
        <is>
          <t>R-HB-0773</t>
        </is>
      </c>
      <c r="C774" s="48" t="inlineStr">
        <is>
          <t>항공</t>
        </is>
      </c>
      <c r="D774" s="48" t="inlineStr">
        <is>
          <t>인천공항</t>
        </is>
      </c>
      <c r="E774" s="46" t="inlineStr">
        <is>
          <t>ICN</t>
        </is>
      </c>
      <c r="F774" s="48" t="inlineStr">
        <is>
          <t>프랑크푸르트공항</t>
        </is>
      </c>
      <c r="G774" s="46" t="inlineStr">
        <is>
          <t>FRA</t>
        </is>
      </c>
      <c r="H774" s="47" t="n">
        <v>45579</v>
      </c>
      <c r="I774" s="52" t="n">
        <v>45582</v>
      </c>
      <c r="J774" s="52" t="n">
        <v>45582</v>
      </c>
      <c r="K774" s="53" t="n">
        <v>520.9299999999999</v>
      </c>
    </row>
    <row r="775" ht="15" customHeight="1" s="32">
      <c r="A775" s="46" t="inlineStr">
        <is>
          <t>L-HB-0774</t>
        </is>
      </c>
      <c r="B775" s="46" t="inlineStr">
        <is>
          <t>R-HB-0774</t>
        </is>
      </c>
      <c r="C775" s="48" t="inlineStr">
        <is>
          <t>해상</t>
        </is>
      </c>
      <c r="D775" s="48" t="inlineStr">
        <is>
          <t>부산항</t>
        </is>
      </c>
      <c r="E775" s="46" t="inlineStr">
        <is>
          <t>KRPUS</t>
        </is>
      </c>
      <c r="F775" s="48" t="inlineStr">
        <is>
          <t>서커우항</t>
        </is>
      </c>
      <c r="G775" s="46" t="inlineStr">
        <is>
          <t>CNSHK</t>
        </is>
      </c>
      <c r="H775" s="47" t="n">
        <v>45579</v>
      </c>
      <c r="I775" s="52" t="n">
        <v>45586</v>
      </c>
      <c r="J775" s="52" t="n">
        <v>45586</v>
      </c>
      <c r="K775" s="53" t="n">
        <v>530</v>
      </c>
    </row>
    <row r="776" ht="15" customHeight="1" s="32">
      <c r="A776" s="46" t="inlineStr">
        <is>
          <t>L-HB-0775</t>
        </is>
      </c>
      <c r="B776" s="46" t="inlineStr">
        <is>
          <t>R-HB-0775</t>
        </is>
      </c>
      <c r="C776" s="48" t="inlineStr">
        <is>
          <t>항공</t>
        </is>
      </c>
      <c r="D776" s="48" t="inlineStr">
        <is>
          <t>인천공항</t>
        </is>
      </c>
      <c r="E776" s="46" t="inlineStr">
        <is>
          <t>ICN</t>
        </is>
      </c>
      <c r="F776" s="48" t="inlineStr">
        <is>
          <t>선전공항</t>
        </is>
      </c>
      <c r="G776" s="46" t="inlineStr">
        <is>
          <t>SZX</t>
        </is>
      </c>
      <c r="H776" s="47" t="n">
        <v>45579</v>
      </c>
      <c r="I776" s="52" t="n">
        <v>45580</v>
      </c>
      <c r="J776" s="52" t="n">
        <v>45580</v>
      </c>
      <c r="K776" s="53" t="n">
        <v>148.61</v>
      </c>
    </row>
    <row r="777" ht="15" customHeight="1" s="32">
      <c r="A777" s="46" t="inlineStr">
        <is>
          <t>L-HB-0776</t>
        </is>
      </c>
      <c r="B777" s="46" t="inlineStr">
        <is>
          <t>R-HB-0776</t>
        </is>
      </c>
      <c r="C777" s="48" t="inlineStr">
        <is>
          <t>항공</t>
        </is>
      </c>
      <c r="D777" s="48" t="inlineStr">
        <is>
          <t>인천공항</t>
        </is>
      </c>
      <c r="E777" s="46" t="inlineStr">
        <is>
          <t>ICN</t>
        </is>
      </c>
      <c r="F777" s="48" t="inlineStr">
        <is>
          <t>충칭공항</t>
        </is>
      </c>
      <c r="G777" s="46" t="inlineStr">
        <is>
          <t>CKG</t>
        </is>
      </c>
      <c r="H777" s="47" t="n">
        <v>45579</v>
      </c>
      <c r="I777" s="52" t="n">
        <v>45581</v>
      </c>
      <c r="J777" s="52" t="n">
        <v>45581</v>
      </c>
      <c r="K777" s="53" t="n">
        <v>135</v>
      </c>
    </row>
    <row r="778" ht="15" customHeight="1" s="32">
      <c r="A778" s="46" t="inlineStr">
        <is>
          <t>L-HB-0777</t>
        </is>
      </c>
      <c r="B778" s="46" t="inlineStr">
        <is>
          <t>R-HB-0777</t>
        </is>
      </c>
      <c r="C778" s="48" t="inlineStr">
        <is>
          <t>항공</t>
        </is>
      </c>
      <c r="D778" s="48" t="inlineStr">
        <is>
          <t>인천공항</t>
        </is>
      </c>
      <c r="E778" s="46" t="inlineStr">
        <is>
          <t>ICN</t>
        </is>
      </c>
      <c r="F778" s="48" t="inlineStr">
        <is>
          <t>하노이공항</t>
        </is>
      </c>
      <c r="G778" s="46" t="inlineStr">
        <is>
          <t>HAN</t>
        </is>
      </c>
      <c r="H778" s="47" t="n">
        <v>45580</v>
      </c>
      <c r="I778" s="52" t="n">
        <v>45583</v>
      </c>
      <c r="J778" s="52" t="n">
        <v>45582</v>
      </c>
      <c r="K778" s="53" t="n">
        <v>254.74</v>
      </c>
    </row>
    <row r="779" ht="15" customHeight="1" s="32">
      <c r="A779" s="46" t="inlineStr">
        <is>
          <t>L-HB-0778</t>
        </is>
      </c>
      <c r="B779" s="46" t="inlineStr">
        <is>
          <t>R-HB-0778</t>
        </is>
      </c>
      <c r="C779" s="48" t="inlineStr">
        <is>
          <t>항공</t>
        </is>
      </c>
      <c r="D779" s="48" t="inlineStr">
        <is>
          <t>인천공항</t>
        </is>
      </c>
      <c r="E779" s="46" t="inlineStr">
        <is>
          <t>ICN</t>
        </is>
      </c>
      <c r="F779" s="48" t="inlineStr">
        <is>
          <t>선전공항</t>
        </is>
      </c>
      <c r="G779" s="46" t="inlineStr">
        <is>
          <t>SZX</t>
        </is>
      </c>
      <c r="H779" s="47" t="n">
        <v>45580</v>
      </c>
      <c r="I779" s="52" t="n">
        <v>45581</v>
      </c>
      <c r="J779" s="52" t="n">
        <v>45580</v>
      </c>
      <c r="K779" s="53" t="n">
        <v>401.85</v>
      </c>
    </row>
    <row r="780" ht="15" customHeight="1" s="32">
      <c r="A780" s="46" t="inlineStr">
        <is>
          <t>L-HB-0779</t>
        </is>
      </c>
      <c r="B780" s="46" t="inlineStr">
        <is>
          <t>R-HB-0779</t>
        </is>
      </c>
      <c r="C780" s="48" t="inlineStr">
        <is>
          <t>항공</t>
        </is>
      </c>
      <c r="D780" s="48" t="inlineStr">
        <is>
          <t>인천공항</t>
        </is>
      </c>
      <c r="E780" s="46" t="inlineStr">
        <is>
          <t>ICN</t>
        </is>
      </c>
      <c r="F780" s="48" t="inlineStr">
        <is>
          <t>과달라하라공항</t>
        </is>
      </c>
      <c r="G780" s="46" t="inlineStr">
        <is>
          <t>GDL</t>
        </is>
      </c>
      <c r="H780" s="47" t="n">
        <v>45582</v>
      </c>
      <c r="I780" s="52" t="n">
        <v>45586</v>
      </c>
      <c r="J780" s="52" t="n">
        <v>45586</v>
      </c>
      <c r="K780" s="53" t="n">
        <v>135</v>
      </c>
    </row>
    <row r="781" ht="15" customHeight="1" s="32">
      <c r="A781" s="46" t="inlineStr">
        <is>
          <t>L-HB-0780</t>
        </is>
      </c>
      <c r="B781" s="46" t="inlineStr">
        <is>
          <t>R-HB-0780</t>
        </is>
      </c>
      <c r="C781" s="48" t="inlineStr">
        <is>
          <t>항공</t>
        </is>
      </c>
      <c r="D781" s="48" t="inlineStr">
        <is>
          <t>인천공항</t>
        </is>
      </c>
      <c r="E781" s="46" t="inlineStr">
        <is>
          <t>ICN</t>
        </is>
      </c>
      <c r="F781" s="48" t="inlineStr">
        <is>
          <t>토론토공항</t>
        </is>
      </c>
      <c r="G781" s="46" t="inlineStr">
        <is>
          <t>YYZ</t>
        </is>
      </c>
      <c r="H781" s="47" t="n">
        <v>45582</v>
      </c>
      <c r="I781" s="52" t="n">
        <v>45587</v>
      </c>
      <c r="J781" s="52" t="n">
        <v>45587</v>
      </c>
      <c r="K781" s="53" t="n">
        <v>135</v>
      </c>
    </row>
    <row r="782" ht="15" customHeight="1" s="32">
      <c r="A782" s="46" t="inlineStr">
        <is>
          <t>L-HB-0781</t>
        </is>
      </c>
      <c r="B782" s="46" t="inlineStr">
        <is>
          <t>R-HB-0781</t>
        </is>
      </c>
      <c r="C782" s="48" t="inlineStr">
        <is>
          <t>항공</t>
        </is>
      </c>
      <c r="D782" s="48" t="inlineStr">
        <is>
          <t>인천공항</t>
        </is>
      </c>
      <c r="E782" s="46" t="inlineStr">
        <is>
          <t>ICN</t>
        </is>
      </c>
      <c r="F782" s="48" t="inlineStr">
        <is>
          <t>하노이공항</t>
        </is>
      </c>
      <c r="G782" s="46" t="inlineStr">
        <is>
          <t>HAN</t>
        </is>
      </c>
      <c r="H782" s="47" t="n">
        <v>45582</v>
      </c>
      <c r="I782" s="52" t="n">
        <v>45584</v>
      </c>
      <c r="J782" s="52" t="n">
        <v>45584</v>
      </c>
      <c r="K782" s="53" t="n">
        <v>135</v>
      </c>
    </row>
    <row r="783" ht="15" customHeight="1" s="32">
      <c r="A783" s="46" t="inlineStr">
        <is>
          <t>L-HB-0782</t>
        </is>
      </c>
      <c r="B783" s="46" t="inlineStr">
        <is>
          <t>R-HB-0782</t>
        </is>
      </c>
      <c r="C783" s="48" t="inlineStr">
        <is>
          <t>항공</t>
        </is>
      </c>
      <c r="D783" s="48" t="inlineStr">
        <is>
          <t>인천공항</t>
        </is>
      </c>
      <c r="E783" s="46" t="inlineStr">
        <is>
          <t>ICN</t>
        </is>
      </c>
      <c r="F783" s="48" t="inlineStr">
        <is>
          <t>하노이공항</t>
        </is>
      </c>
      <c r="G783" s="46" t="inlineStr">
        <is>
          <t>HAN</t>
        </is>
      </c>
      <c r="H783" s="47" t="n">
        <v>45582</v>
      </c>
      <c r="I783" s="52" t="n">
        <v>45584</v>
      </c>
      <c r="J783" s="52" t="n">
        <v>45584</v>
      </c>
      <c r="K783" s="53" t="n">
        <v>135</v>
      </c>
    </row>
    <row r="784" ht="15" customHeight="1" s="32">
      <c r="A784" s="46" t="inlineStr">
        <is>
          <t>L-HB-0783</t>
        </is>
      </c>
      <c r="B784" s="46" t="inlineStr">
        <is>
          <t>R-HB-0783</t>
        </is>
      </c>
      <c r="C784" s="48" t="inlineStr">
        <is>
          <t>항공</t>
        </is>
      </c>
      <c r="D784" s="48" t="inlineStr">
        <is>
          <t>인천공항</t>
        </is>
      </c>
      <c r="E784" s="46" t="inlineStr">
        <is>
          <t>ICN</t>
        </is>
      </c>
      <c r="F784" s="48" t="inlineStr">
        <is>
          <t>토론토공항</t>
        </is>
      </c>
      <c r="G784" s="46" t="inlineStr">
        <is>
          <t>YYZ</t>
        </is>
      </c>
      <c r="H784" s="47" t="n">
        <v>45583</v>
      </c>
      <c r="I784" s="52" t="n">
        <v>45587</v>
      </c>
      <c r="J784" s="52" t="n">
        <v>45587</v>
      </c>
      <c r="K784" s="53" t="n">
        <v>135</v>
      </c>
    </row>
    <row r="785" ht="15" customHeight="1" s="32">
      <c r="A785" s="46" t="inlineStr">
        <is>
          <t>L-HB-0784</t>
        </is>
      </c>
      <c r="B785" s="46" t="inlineStr">
        <is>
          <t>R-HB-0784</t>
        </is>
      </c>
      <c r="C785" s="48" t="inlineStr">
        <is>
          <t>항공</t>
        </is>
      </c>
      <c r="D785" s="48" t="inlineStr">
        <is>
          <t>인천공항</t>
        </is>
      </c>
      <c r="E785" s="46" t="inlineStr">
        <is>
          <t>ICN</t>
        </is>
      </c>
      <c r="F785" s="48" t="inlineStr">
        <is>
          <t>충칭공항</t>
        </is>
      </c>
      <c r="G785" s="46" t="inlineStr">
        <is>
          <t>CKG</t>
        </is>
      </c>
      <c r="H785" s="47" t="n">
        <v>45583</v>
      </c>
      <c r="I785" s="52" t="n">
        <v>45584</v>
      </c>
      <c r="J785" s="52" t="n">
        <v>45584</v>
      </c>
      <c r="K785" s="53" t="n">
        <v>135</v>
      </c>
    </row>
    <row r="786" ht="15" customHeight="1" s="32">
      <c r="A786" s="46" t="inlineStr">
        <is>
          <t>L-HB-0785</t>
        </is>
      </c>
      <c r="B786" s="46" t="inlineStr">
        <is>
          <t>R-HB-0785</t>
        </is>
      </c>
      <c r="C786" s="48" t="inlineStr">
        <is>
          <t>항공</t>
        </is>
      </c>
      <c r="D786" s="48" t="inlineStr">
        <is>
          <t>인천공항</t>
        </is>
      </c>
      <c r="E786" s="46" t="inlineStr">
        <is>
          <t>ICN</t>
        </is>
      </c>
      <c r="F786" s="48" t="inlineStr">
        <is>
          <t>프랑크푸르트공항</t>
        </is>
      </c>
      <c r="G786" s="46" t="inlineStr">
        <is>
          <t>FRA</t>
        </is>
      </c>
      <c r="H786" s="47" t="n">
        <v>45585</v>
      </c>
      <c r="I786" s="52" t="n">
        <v>45590</v>
      </c>
      <c r="J786" s="52" t="n">
        <v>45590</v>
      </c>
      <c r="K786" s="53" t="n">
        <v>276.31</v>
      </c>
    </row>
    <row r="787" ht="15" customHeight="1" s="32">
      <c r="A787" s="46" t="inlineStr">
        <is>
          <t>L-HB-0786</t>
        </is>
      </c>
      <c r="B787" s="46" t="inlineStr">
        <is>
          <t>R-HB-0786</t>
        </is>
      </c>
      <c r="C787" s="48" t="inlineStr">
        <is>
          <t>해상</t>
        </is>
      </c>
      <c r="D787" s="48" t="inlineStr">
        <is>
          <t>부산항</t>
        </is>
      </c>
      <c r="E787" s="46" t="inlineStr">
        <is>
          <t>KRPUS</t>
        </is>
      </c>
      <c r="F787" s="48" t="inlineStr">
        <is>
          <t>하이퐁항</t>
        </is>
      </c>
      <c r="G787" s="46" t="inlineStr">
        <is>
          <t>VNHPH</t>
        </is>
      </c>
      <c r="H787" s="47" t="n">
        <v>45585</v>
      </c>
      <c r="I787" s="52" t="n">
        <v>45593</v>
      </c>
      <c r="J787" s="52" t="n">
        <v>45591</v>
      </c>
      <c r="K787" s="53" t="n">
        <v>530</v>
      </c>
    </row>
    <row r="788" ht="15" customHeight="1" s="32">
      <c r="A788" s="46" t="inlineStr">
        <is>
          <t>L-HB-0787</t>
        </is>
      </c>
      <c r="B788" s="46" t="inlineStr">
        <is>
          <t>R-HB-0787</t>
        </is>
      </c>
      <c r="C788" s="48" t="inlineStr">
        <is>
          <t>해상</t>
        </is>
      </c>
      <c r="D788" s="48" t="inlineStr">
        <is>
          <t>부산항</t>
        </is>
      </c>
      <c r="E788" s="46" t="inlineStr">
        <is>
          <t>KRPUS</t>
        </is>
      </c>
      <c r="F788" s="48" t="inlineStr">
        <is>
          <t>상하이항</t>
        </is>
      </c>
      <c r="G788" s="46" t="inlineStr">
        <is>
          <t>CNSHA</t>
        </is>
      </c>
      <c r="H788" s="47" t="n">
        <v>45585</v>
      </c>
      <c r="I788" s="52" t="n">
        <v>45591</v>
      </c>
      <c r="J788" s="52" t="n">
        <v>45591</v>
      </c>
      <c r="K788" s="53" t="n">
        <v>530</v>
      </c>
    </row>
    <row r="789" ht="15" customHeight="1" s="32">
      <c r="A789" s="46" t="inlineStr">
        <is>
          <t>L-HB-0788</t>
        </is>
      </c>
      <c r="B789" s="46" t="inlineStr">
        <is>
          <t>R-HB-0788</t>
        </is>
      </c>
      <c r="C789" s="48" t="inlineStr">
        <is>
          <t>항공</t>
        </is>
      </c>
      <c r="D789" s="48" t="inlineStr">
        <is>
          <t>인천공항</t>
        </is>
      </c>
      <c r="E789" s="46" t="inlineStr">
        <is>
          <t>ICN</t>
        </is>
      </c>
      <c r="F789" s="48" t="inlineStr">
        <is>
          <t>선전공항</t>
        </is>
      </c>
      <c r="G789" s="46" t="inlineStr">
        <is>
          <t>SZX</t>
        </is>
      </c>
      <c r="H789" s="47" t="n">
        <v>45586</v>
      </c>
      <c r="I789" s="52" t="n">
        <v>45587</v>
      </c>
      <c r="J789" s="52" t="n">
        <v>45588</v>
      </c>
      <c r="K789" s="53" t="n">
        <v>135</v>
      </c>
    </row>
    <row r="790" ht="15" customHeight="1" s="32">
      <c r="A790" s="46" t="inlineStr">
        <is>
          <t>L-HB-0789</t>
        </is>
      </c>
      <c r="B790" s="46" t="inlineStr">
        <is>
          <t>R-HB-0789</t>
        </is>
      </c>
      <c r="C790" s="48" t="inlineStr">
        <is>
          <t>항공</t>
        </is>
      </c>
      <c r="D790" s="48" t="inlineStr">
        <is>
          <t>인천공항</t>
        </is>
      </c>
      <c r="E790" s="46" t="inlineStr">
        <is>
          <t>ICN</t>
        </is>
      </c>
      <c r="F790" s="48" t="inlineStr">
        <is>
          <t>로스앤젤레스공항</t>
        </is>
      </c>
      <c r="G790" s="46" t="inlineStr">
        <is>
          <t>LAX</t>
        </is>
      </c>
      <c r="H790" s="47" t="n">
        <v>45588</v>
      </c>
      <c r="I790" s="52" t="n">
        <v>45592</v>
      </c>
      <c r="J790" s="52" t="n">
        <v>45591</v>
      </c>
      <c r="K790" s="53" t="n">
        <v>135</v>
      </c>
    </row>
    <row r="791" ht="15" customHeight="1" s="32">
      <c r="A791" s="46" t="inlineStr">
        <is>
          <t>L-HB-0790</t>
        </is>
      </c>
      <c r="B791" s="46" t="inlineStr">
        <is>
          <t>R-HB-0790</t>
        </is>
      </c>
      <c r="C791" s="48" t="inlineStr">
        <is>
          <t>항공</t>
        </is>
      </c>
      <c r="D791" s="48" t="inlineStr">
        <is>
          <t>인천공항</t>
        </is>
      </c>
      <c r="E791" s="46" t="inlineStr">
        <is>
          <t>ICN</t>
        </is>
      </c>
      <c r="F791" s="48" t="inlineStr">
        <is>
          <t>로스앤젤레스공항</t>
        </is>
      </c>
      <c r="G791" s="46" t="inlineStr">
        <is>
          <t>LAX</t>
        </is>
      </c>
      <c r="H791" s="47" t="n">
        <v>45590</v>
      </c>
      <c r="I791" s="52" t="n">
        <v>45594</v>
      </c>
      <c r="J791" s="52" t="n">
        <v>45594</v>
      </c>
      <c r="K791" s="53" t="n">
        <v>258.7</v>
      </c>
    </row>
    <row r="792" ht="15" customHeight="1" s="32">
      <c r="A792" s="46" t="inlineStr">
        <is>
          <t>L-HB-0791</t>
        </is>
      </c>
      <c r="B792" s="46" t="inlineStr">
        <is>
          <t>R-HB-0791</t>
        </is>
      </c>
      <c r="C792" s="48" t="inlineStr">
        <is>
          <t>항공</t>
        </is>
      </c>
      <c r="D792" s="48" t="inlineStr">
        <is>
          <t>인천공항</t>
        </is>
      </c>
      <c r="E792" s="46" t="inlineStr">
        <is>
          <t>ICN</t>
        </is>
      </c>
      <c r="F792" s="48" t="inlineStr">
        <is>
          <t>과달라하라공항</t>
        </is>
      </c>
      <c r="G792" s="46" t="inlineStr">
        <is>
          <t>GDL</t>
        </is>
      </c>
      <c r="H792" s="47" t="n">
        <v>45590</v>
      </c>
      <c r="I792" s="52" t="n">
        <v>45595</v>
      </c>
      <c r="J792" s="52" t="n">
        <v>45595</v>
      </c>
      <c r="K792" s="53" t="n">
        <v>135</v>
      </c>
    </row>
    <row r="793" ht="15" customHeight="1" s="32">
      <c r="A793" s="46" t="inlineStr">
        <is>
          <t>L-HB-0792</t>
        </is>
      </c>
      <c r="B793" s="46" t="inlineStr">
        <is>
          <t>R-HB-0792</t>
        </is>
      </c>
      <c r="C793" s="48" t="inlineStr">
        <is>
          <t>항공</t>
        </is>
      </c>
      <c r="D793" s="48" t="inlineStr">
        <is>
          <t>인천공항</t>
        </is>
      </c>
      <c r="E793" s="46" t="inlineStr">
        <is>
          <t>ICN</t>
        </is>
      </c>
      <c r="F793" s="48" t="inlineStr">
        <is>
          <t>과달라하라공항</t>
        </is>
      </c>
      <c r="G793" s="46" t="inlineStr">
        <is>
          <t>GDL</t>
        </is>
      </c>
      <c r="H793" s="47" t="n">
        <v>45591</v>
      </c>
      <c r="I793" s="52" t="n">
        <v>45596</v>
      </c>
      <c r="J793" s="52" t="n">
        <v>45596</v>
      </c>
      <c r="K793" s="53" t="n">
        <v>135</v>
      </c>
    </row>
    <row r="794" ht="15" customHeight="1" s="32">
      <c r="A794" s="46" t="inlineStr">
        <is>
          <t>L-HB-0793</t>
        </is>
      </c>
      <c r="B794" s="46" t="inlineStr">
        <is>
          <t>R-HB-0793</t>
        </is>
      </c>
      <c r="C794" s="48" t="inlineStr">
        <is>
          <t>항공</t>
        </is>
      </c>
      <c r="D794" s="48" t="inlineStr">
        <is>
          <t>인천공항</t>
        </is>
      </c>
      <c r="E794" s="46" t="inlineStr">
        <is>
          <t>ICN</t>
        </is>
      </c>
      <c r="F794" s="48" t="inlineStr">
        <is>
          <t>로스앤젤레스공항</t>
        </is>
      </c>
      <c r="G794" s="46" t="inlineStr">
        <is>
          <t>LAX</t>
        </is>
      </c>
      <c r="H794" s="47" t="n">
        <v>45599</v>
      </c>
      <c r="I794" s="52" t="n">
        <v>45602</v>
      </c>
      <c r="J794" s="52" t="n">
        <v>45603</v>
      </c>
      <c r="K794" s="53" t="n">
        <v>135</v>
      </c>
    </row>
    <row r="795" ht="15" customHeight="1" s="32">
      <c r="A795" s="46" t="inlineStr">
        <is>
          <t>L-HB-0794</t>
        </is>
      </c>
      <c r="B795" s="46" t="inlineStr">
        <is>
          <t>R-HB-0794</t>
        </is>
      </c>
      <c r="C795" s="48" t="inlineStr">
        <is>
          <t>항공</t>
        </is>
      </c>
      <c r="D795" s="48" t="inlineStr">
        <is>
          <t>인천공항</t>
        </is>
      </c>
      <c r="E795" s="46" t="inlineStr">
        <is>
          <t>ICN</t>
        </is>
      </c>
      <c r="F795" s="48" t="inlineStr">
        <is>
          <t>시애틀공항</t>
        </is>
      </c>
      <c r="G795" s="46" t="inlineStr">
        <is>
          <t>SEA</t>
        </is>
      </c>
      <c r="H795" s="47" t="n">
        <v>45599</v>
      </c>
      <c r="I795" s="52" t="n">
        <v>45603</v>
      </c>
      <c r="J795" s="52" t="n">
        <v>45603</v>
      </c>
      <c r="K795" s="53" t="n">
        <v>135</v>
      </c>
    </row>
    <row r="796" ht="15" customHeight="1" s="32">
      <c r="A796" s="46" t="inlineStr">
        <is>
          <t>L-HB-0795</t>
        </is>
      </c>
      <c r="B796" s="46" t="inlineStr">
        <is>
          <t>R-HB-0795</t>
        </is>
      </c>
      <c r="C796" s="48" t="inlineStr">
        <is>
          <t>항공</t>
        </is>
      </c>
      <c r="D796" s="48" t="inlineStr">
        <is>
          <t>인천공항</t>
        </is>
      </c>
      <c r="E796" s="46" t="inlineStr">
        <is>
          <t>ICN</t>
        </is>
      </c>
      <c r="F796" s="48" t="inlineStr">
        <is>
          <t>토론토공항</t>
        </is>
      </c>
      <c r="G796" s="46" t="inlineStr">
        <is>
          <t>YYZ</t>
        </is>
      </c>
      <c r="H796" s="47" t="n">
        <v>45599</v>
      </c>
      <c r="I796" s="52" t="n">
        <v>45603</v>
      </c>
      <c r="J796" s="52" t="n">
        <v>45602</v>
      </c>
      <c r="K796" s="53" t="n">
        <v>135</v>
      </c>
    </row>
    <row r="797" ht="15" customHeight="1" s="32">
      <c r="A797" s="46" t="inlineStr">
        <is>
          <t>L-HB-0796</t>
        </is>
      </c>
      <c r="B797" s="46" t="inlineStr">
        <is>
          <t>R-HB-0796</t>
        </is>
      </c>
      <c r="C797" s="48" t="inlineStr">
        <is>
          <t>항공</t>
        </is>
      </c>
      <c r="D797" s="48" t="inlineStr">
        <is>
          <t>인천공항</t>
        </is>
      </c>
      <c r="E797" s="46" t="inlineStr">
        <is>
          <t>ICN</t>
        </is>
      </c>
      <c r="F797" s="48" t="inlineStr">
        <is>
          <t>프랑크푸르트공항</t>
        </is>
      </c>
      <c r="G797" s="46" t="inlineStr">
        <is>
          <t>FRA</t>
        </is>
      </c>
      <c r="H797" s="47" t="n">
        <v>45599</v>
      </c>
      <c r="I797" s="52" t="n">
        <v>45604</v>
      </c>
      <c r="J797" s="52" t="n">
        <v>45607</v>
      </c>
      <c r="K797" s="53" t="n">
        <v>135</v>
      </c>
    </row>
    <row r="798" ht="15" customHeight="1" s="32">
      <c r="A798" s="46" t="inlineStr">
        <is>
          <t>L-HB-0797</t>
        </is>
      </c>
      <c r="B798" s="46" t="inlineStr">
        <is>
          <t>R-HB-0797</t>
        </is>
      </c>
      <c r="C798" s="48" t="inlineStr">
        <is>
          <t>항공</t>
        </is>
      </c>
      <c r="D798" s="48" t="inlineStr">
        <is>
          <t>인천공항</t>
        </is>
      </c>
      <c r="E798" s="46" t="inlineStr">
        <is>
          <t>ICN</t>
        </is>
      </c>
      <c r="F798" s="48" t="inlineStr">
        <is>
          <t>프랑크푸르트공항</t>
        </is>
      </c>
      <c r="G798" s="46" t="inlineStr">
        <is>
          <t>FRA</t>
        </is>
      </c>
      <c r="H798" s="47" t="n">
        <v>45599</v>
      </c>
      <c r="I798" s="52" t="n">
        <v>45603</v>
      </c>
      <c r="J798" s="52" t="n">
        <v>45603</v>
      </c>
      <c r="K798" s="53" t="n">
        <v>288.17</v>
      </c>
    </row>
    <row r="799" ht="15" customHeight="1" s="32">
      <c r="A799" s="46" t="inlineStr">
        <is>
          <t>L-HB-0798</t>
        </is>
      </c>
      <c r="B799" s="46" t="inlineStr">
        <is>
          <t>R-HB-0798</t>
        </is>
      </c>
      <c r="C799" s="48" t="inlineStr">
        <is>
          <t>항공</t>
        </is>
      </c>
      <c r="D799" s="48" t="inlineStr">
        <is>
          <t>인천공항</t>
        </is>
      </c>
      <c r="E799" s="46" t="inlineStr">
        <is>
          <t>ICN</t>
        </is>
      </c>
      <c r="F799" s="48" t="inlineStr">
        <is>
          <t>토론토공항</t>
        </is>
      </c>
      <c r="G799" s="46" t="inlineStr">
        <is>
          <t>YYZ</t>
        </is>
      </c>
      <c r="H799" s="47" t="n">
        <v>45600</v>
      </c>
      <c r="I799" s="52" t="n">
        <v>45604</v>
      </c>
      <c r="J799" s="52" t="n">
        <v>45604</v>
      </c>
      <c r="K799" s="53" t="n">
        <v>135</v>
      </c>
    </row>
    <row r="800" ht="15" customHeight="1" s="32">
      <c r="A800" s="46" t="inlineStr">
        <is>
          <t>L-HB-0799</t>
        </is>
      </c>
      <c r="B800" s="46" t="inlineStr">
        <is>
          <t>R-HB-0799</t>
        </is>
      </c>
      <c r="C800" s="48" t="inlineStr">
        <is>
          <t>항공</t>
        </is>
      </c>
      <c r="D800" s="48" t="inlineStr">
        <is>
          <t>인천공항</t>
        </is>
      </c>
      <c r="E800" s="46" t="inlineStr">
        <is>
          <t>ICN</t>
        </is>
      </c>
      <c r="F800" s="48" t="inlineStr">
        <is>
          <t>토론토공항</t>
        </is>
      </c>
      <c r="G800" s="46" t="inlineStr">
        <is>
          <t>YYZ</t>
        </is>
      </c>
      <c r="H800" s="47" t="n">
        <v>45601</v>
      </c>
      <c r="I800" s="52" t="n">
        <v>45604</v>
      </c>
      <c r="J800" s="52" t="n">
        <v>45603</v>
      </c>
      <c r="K800" s="53" t="n">
        <v>135</v>
      </c>
    </row>
    <row r="801" ht="15" customHeight="1" s="32">
      <c r="A801" s="46" t="inlineStr">
        <is>
          <t>L-HB-0800</t>
        </is>
      </c>
      <c r="B801" s="46" t="inlineStr">
        <is>
          <t>R-HB-0800</t>
        </is>
      </c>
      <c r="C801" s="48" t="inlineStr">
        <is>
          <t>해상</t>
        </is>
      </c>
      <c r="D801" s="48" t="inlineStr">
        <is>
          <t>부산항</t>
        </is>
      </c>
      <c r="E801" s="46" t="inlineStr">
        <is>
          <t>KRPUS</t>
        </is>
      </c>
      <c r="F801" s="48" t="inlineStr">
        <is>
          <t>하이퐁항</t>
        </is>
      </c>
      <c r="G801" s="46" t="inlineStr">
        <is>
          <t>VNHPH</t>
        </is>
      </c>
      <c r="H801" s="47" t="n">
        <v>45601</v>
      </c>
      <c r="I801" s="52" t="n">
        <v>45610</v>
      </c>
      <c r="J801" s="52" t="n">
        <v>45614</v>
      </c>
      <c r="K801" s="53" t="n">
        <v>530</v>
      </c>
    </row>
    <row r="802" ht="15" customHeight="1" s="32">
      <c r="A802" s="46" t="inlineStr">
        <is>
          <t>L-HB-0801</t>
        </is>
      </c>
      <c r="B802" s="46" t="inlineStr">
        <is>
          <t>R-HB-0801</t>
        </is>
      </c>
      <c r="C802" s="48" t="inlineStr">
        <is>
          <t>항공</t>
        </is>
      </c>
      <c r="D802" s="48" t="inlineStr">
        <is>
          <t>인천공항</t>
        </is>
      </c>
      <c r="E802" s="46" t="inlineStr">
        <is>
          <t>ICN</t>
        </is>
      </c>
      <c r="F802" s="48" t="inlineStr">
        <is>
          <t>로스앤젤레스공항</t>
        </is>
      </c>
      <c r="G802" s="46" t="inlineStr">
        <is>
          <t>LAX</t>
        </is>
      </c>
      <c r="H802" s="47" t="n">
        <v>45602</v>
      </c>
      <c r="I802" s="52" t="n">
        <v>45605</v>
      </c>
      <c r="J802" s="52" t="n">
        <v>45605</v>
      </c>
      <c r="K802" s="53" t="n">
        <v>489.07</v>
      </c>
    </row>
    <row r="803" ht="15" customHeight="1" s="32">
      <c r="A803" s="46" t="inlineStr">
        <is>
          <t>L-HB-0802</t>
        </is>
      </c>
      <c r="B803" s="46" t="inlineStr">
        <is>
          <t>R-HB-0802</t>
        </is>
      </c>
      <c r="C803" s="48" t="inlineStr">
        <is>
          <t>항공</t>
        </is>
      </c>
      <c r="D803" s="48" t="inlineStr">
        <is>
          <t>인천공항</t>
        </is>
      </c>
      <c r="E803" s="46" t="inlineStr">
        <is>
          <t>ICN</t>
        </is>
      </c>
      <c r="F803" s="48" t="inlineStr">
        <is>
          <t>과달라하라공항</t>
        </is>
      </c>
      <c r="G803" s="46" t="inlineStr">
        <is>
          <t>GDL</t>
        </is>
      </c>
      <c r="H803" s="47" t="n">
        <v>45603</v>
      </c>
      <c r="I803" s="52" t="n">
        <v>45606</v>
      </c>
      <c r="J803" s="52" t="n">
        <v>45606</v>
      </c>
      <c r="K803" s="53" t="n">
        <v>135</v>
      </c>
    </row>
    <row r="804" ht="15" customHeight="1" s="32">
      <c r="A804" s="46" t="inlineStr">
        <is>
          <t>L-HB-0803</t>
        </is>
      </c>
      <c r="B804" s="46" t="inlineStr">
        <is>
          <t>R-HB-0803</t>
        </is>
      </c>
      <c r="C804" s="48" t="inlineStr">
        <is>
          <t>항공</t>
        </is>
      </c>
      <c r="D804" s="48" t="inlineStr">
        <is>
          <t>인천공항</t>
        </is>
      </c>
      <c r="E804" s="46" t="inlineStr">
        <is>
          <t>ICN</t>
        </is>
      </c>
      <c r="F804" s="48" t="inlineStr">
        <is>
          <t>충칭공항</t>
        </is>
      </c>
      <c r="G804" s="46" t="inlineStr">
        <is>
          <t>CKG</t>
        </is>
      </c>
      <c r="H804" s="47" t="n">
        <v>45603</v>
      </c>
      <c r="I804" s="52" t="n">
        <v>45604</v>
      </c>
      <c r="J804" s="52" t="n">
        <v>45604</v>
      </c>
      <c r="K804" s="53" t="n">
        <v>284.48</v>
      </c>
    </row>
    <row r="805" ht="15" customHeight="1" s="32">
      <c r="A805" s="46" t="inlineStr">
        <is>
          <t>L-HB-0804</t>
        </is>
      </c>
      <c r="B805" s="46" t="inlineStr">
        <is>
          <t>R-HB-0804</t>
        </is>
      </c>
      <c r="C805" s="48" t="inlineStr">
        <is>
          <t>항공</t>
        </is>
      </c>
      <c r="D805" s="48" t="inlineStr">
        <is>
          <t>인천공항</t>
        </is>
      </c>
      <c r="E805" s="46" t="inlineStr">
        <is>
          <t>ICN</t>
        </is>
      </c>
      <c r="F805" s="48" t="inlineStr">
        <is>
          <t>로스앤젤레스공항</t>
        </is>
      </c>
      <c r="G805" s="46" t="inlineStr">
        <is>
          <t>LAX</t>
        </is>
      </c>
      <c r="H805" s="47" t="n">
        <v>45604</v>
      </c>
      <c r="I805" s="52" t="n">
        <v>45607</v>
      </c>
      <c r="J805" s="52" t="n">
        <v>45607</v>
      </c>
      <c r="K805" s="53" t="n">
        <v>149.23</v>
      </c>
    </row>
    <row r="806" ht="15" customHeight="1" s="32">
      <c r="A806" s="46" t="inlineStr">
        <is>
          <t>L-HB-0805</t>
        </is>
      </c>
      <c r="B806" s="46" t="inlineStr">
        <is>
          <t>R-HB-0805</t>
        </is>
      </c>
      <c r="C806" s="48" t="inlineStr">
        <is>
          <t>항공</t>
        </is>
      </c>
      <c r="D806" s="48" t="inlineStr">
        <is>
          <t>인천공항</t>
        </is>
      </c>
      <c r="E806" s="46" t="inlineStr">
        <is>
          <t>ICN</t>
        </is>
      </c>
      <c r="F806" s="48" t="inlineStr">
        <is>
          <t>하노이공항</t>
        </is>
      </c>
      <c r="G806" s="46" t="inlineStr">
        <is>
          <t>HAN</t>
        </is>
      </c>
      <c r="H806" s="47" t="n">
        <v>45605</v>
      </c>
      <c r="I806" s="52" t="n">
        <v>45607</v>
      </c>
      <c r="J806" s="52" t="n">
        <v>45606</v>
      </c>
      <c r="K806" s="53" t="n">
        <v>135</v>
      </c>
    </row>
    <row r="807" ht="15" customHeight="1" s="32">
      <c r="A807" s="46" t="inlineStr">
        <is>
          <t>L-HB-0806</t>
        </is>
      </c>
      <c r="B807" s="46" t="inlineStr">
        <is>
          <t>R-HB-0806</t>
        </is>
      </c>
      <c r="C807" s="48" t="inlineStr">
        <is>
          <t>해상</t>
        </is>
      </c>
      <c r="D807" s="48" t="inlineStr">
        <is>
          <t>부산항</t>
        </is>
      </c>
      <c r="E807" s="46" t="inlineStr">
        <is>
          <t>KRPUS</t>
        </is>
      </c>
      <c r="F807" s="48" t="inlineStr">
        <is>
          <t>서커우항</t>
        </is>
      </c>
      <c r="G807" s="46" t="inlineStr">
        <is>
          <t>CNSHK</t>
        </is>
      </c>
      <c r="H807" s="47" t="n">
        <v>45605</v>
      </c>
      <c r="I807" s="52" t="n">
        <v>45611</v>
      </c>
      <c r="J807" s="52" t="n">
        <v>45611</v>
      </c>
      <c r="K807" s="53" t="n">
        <v>530</v>
      </c>
    </row>
    <row r="808" ht="15" customHeight="1" s="32">
      <c r="A808" s="46" t="inlineStr">
        <is>
          <t>L-HB-0807</t>
        </is>
      </c>
      <c r="B808" s="46" t="inlineStr">
        <is>
          <t>R-HB-0807</t>
        </is>
      </c>
      <c r="C808" s="48" t="inlineStr">
        <is>
          <t>항공</t>
        </is>
      </c>
      <c r="D808" s="48" t="inlineStr">
        <is>
          <t>인천공항</t>
        </is>
      </c>
      <c r="E808" s="46" t="inlineStr">
        <is>
          <t>ICN</t>
        </is>
      </c>
      <c r="F808" s="48" t="inlineStr">
        <is>
          <t>프랑크푸르트공항</t>
        </is>
      </c>
      <c r="G808" s="46" t="inlineStr">
        <is>
          <t>FRA</t>
        </is>
      </c>
      <c r="H808" s="47" t="n">
        <v>45607</v>
      </c>
      <c r="I808" s="52" t="n">
        <v>45612</v>
      </c>
      <c r="J808" s="52" t="n">
        <v>45612</v>
      </c>
      <c r="K808" s="53" t="n">
        <v>165.1</v>
      </c>
    </row>
    <row r="809" ht="15" customHeight="1" s="32">
      <c r="A809" s="46" t="inlineStr">
        <is>
          <t>L-HB-0808</t>
        </is>
      </c>
      <c r="B809" s="46" t="inlineStr">
        <is>
          <t>R-HB-0808</t>
        </is>
      </c>
      <c r="C809" s="48" t="inlineStr">
        <is>
          <t>항공</t>
        </is>
      </c>
      <c r="D809" s="48" t="inlineStr">
        <is>
          <t>인천공항</t>
        </is>
      </c>
      <c r="E809" s="46" t="inlineStr">
        <is>
          <t>ICN</t>
        </is>
      </c>
      <c r="F809" s="48" t="inlineStr">
        <is>
          <t>하노이공항</t>
        </is>
      </c>
      <c r="G809" s="46" t="inlineStr">
        <is>
          <t>HAN</t>
        </is>
      </c>
      <c r="H809" s="47" t="n">
        <v>45607</v>
      </c>
      <c r="I809" s="52" t="n">
        <v>45609</v>
      </c>
      <c r="J809" s="52" t="n">
        <v>45609</v>
      </c>
      <c r="K809" s="53" t="n">
        <v>135</v>
      </c>
    </row>
    <row r="810" ht="15" customHeight="1" s="32">
      <c r="A810" s="46" t="inlineStr">
        <is>
          <t>L-HB-0809</t>
        </is>
      </c>
      <c r="B810" s="46" t="inlineStr">
        <is>
          <t>R-HB-0809</t>
        </is>
      </c>
      <c r="C810" s="48" t="inlineStr">
        <is>
          <t>항공</t>
        </is>
      </c>
      <c r="D810" s="48" t="inlineStr">
        <is>
          <t>인천공항</t>
        </is>
      </c>
      <c r="E810" s="46" t="inlineStr">
        <is>
          <t>ICN</t>
        </is>
      </c>
      <c r="F810" s="48" t="inlineStr">
        <is>
          <t>델리공항</t>
        </is>
      </c>
      <c r="G810" s="46" t="inlineStr">
        <is>
          <t>DEL</t>
        </is>
      </c>
      <c r="H810" s="47" t="n">
        <v>45607</v>
      </c>
      <c r="I810" s="52" t="n">
        <v>45610</v>
      </c>
      <c r="J810" s="52" t="n">
        <v>45609</v>
      </c>
      <c r="K810" s="53" t="n">
        <v>192.69</v>
      </c>
    </row>
    <row r="811" ht="15" customHeight="1" s="32">
      <c r="A811" s="46" t="inlineStr">
        <is>
          <t>L-HB-0810</t>
        </is>
      </c>
      <c r="B811" s="46" t="inlineStr">
        <is>
          <t>R-HB-0810</t>
        </is>
      </c>
      <c r="C811" s="48" t="inlineStr">
        <is>
          <t>항공</t>
        </is>
      </c>
      <c r="D811" s="48" t="inlineStr">
        <is>
          <t>인천공항</t>
        </is>
      </c>
      <c r="E811" s="46" t="inlineStr">
        <is>
          <t>ICN</t>
        </is>
      </c>
      <c r="F811" s="48" t="inlineStr">
        <is>
          <t>선전공항</t>
        </is>
      </c>
      <c r="G811" s="46" t="inlineStr">
        <is>
          <t>SZX</t>
        </is>
      </c>
      <c r="H811" s="47" t="n">
        <v>45607</v>
      </c>
      <c r="I811" s="52" t="n">
        <v>45609</v>
      </c>
      <c r="J811" s="52" t="n">
        <v>45609</v>
      </c>
      <c r="K811" s="53" t="n">
        <v>139.38</v>
      </c>
    </row>
    <row r="812" ht="15" customHeight="1" s="32">
      <c r="A812" s="46" t="inlineStr">
        <is>
          <t>L-HB-0811</t>
        </is>
      </c>
      <c r="B812" s="46" t="inlineStr">
        <is>
          <t>R-HB-0811</t>
        </is>
      </c>
      <c r="C812" s="48" t="inlineStr">
        <is>
          <t>항공</t>
        </is>
      </c>
      <c r="D812" s="48" t="inlineStr">
        <is>
          <t>인천공항</t>
        </is>
      </c>
      <c r="E812" s="46" t="inlineStr">
        <is>
          <t>ICN</t>
        </is>
      </c>
      <c r="F812" s="48" t="inlineStr">
        <is>
          <t>충칭공항</t>
        </is>
      </c>
      <c r="G812" s="46" t="inlineStr">
        <is>
          <t>CKG</t>
        </is>
      </c>
      <c r="H812" s="47" t="n">
        <v>45608</v>
      </c>
      <c r="I812" s="52" t="n">
        <v>45611</v>
      </c>
      <c r="J812" s="52" t="n">
        <v>45611</v>
      </c>
      <c r="K812" s="53" t="n">
        <v>135</v>
      </c>
    </row>
    <row r="813" ht="15" customHeight="1" s="32">
      <c r="A813" s="46" t="inlineStr">
        <is>
          <t>L-HB-0812</t>
        </is>
      </c>
      <c r="B813" s="46" t="inlineStr">
        <is>
          <t>R-HB-0812</t>
        </is>
      </c>
      <c r="C813" s="48" t="inlineStr">
        <is>
          <t>항공</t>
        </is>
      </c>
      <c r="D813" s="48" t="inlineStr">
        <is>
          <t>인천공항</t>
        </is>
      </c>
      <c r="E813" s="46" t="inlineStr">
        <is>
          <t>ICN</t>
        </is>
      </c>
      <c r="F813" s="48" t="inlineStr">
        <is>
          <t>시애틀공항</t>
        </is>
      </c>
      <c r="G813" s="46" t="inlineStr">
        <is>
          <t>SEA</t>
        </is>
      </c>
      <c r="H813" s="47" t="n">
        <v>45609</v>
      </c>
      <c r="I813" s="52" t="n">
        <v>45611</v>
      </c>
      <c r="J813" s="52" t="n">
        <v>45611</v>
      </c>
      <c r="K813" s="53" t="n">
        <v>183.71</v>
      </c>
    </row>
    <row r="814" ht="15" customHeight="1" s="32">
      <c r="A814" s="46" t="inlineStr">
        <is>
          <t>L-HB-0813</t>
        </is>
      </c>
      <c r="B814" s="46" t="inlineStr">
        <is>
          <t>R-HB-0813</t>
        </is>
      </c>
      <c r="C814" s="48" t="inlineStr">
        <is>
          <t>항공</t>
        </is>
      </c>
      <c r="D814" s="48" t="inlineStr">
        <is>
          <t>인천공항</t>
        </is>
      </c>
      <c r="E814" s="46" t="inlineStr">
        <is>
          <t>ICN</t>
        </is>
      </c>
      <c r="F814" s="48" t="inlineStr">
        <is>
          <t>과달라하라공항</t>
        </is>
      </c>
      <c r="G814" s="46" t="inlineStr">
        <is>
          <t>GDL</t>
        </is>
      </c>
      <c r="H814" s="47" t="n">
        <v>45610</v>
      </c>
      <c r="I814" s="52" t="n">
        <v>45613</v>
      </c>
      <c r="J814" s="52" t="n">
        <v>45613</v>
      </c>
      <c r="K814" s="53" t="n">
        <v>139.71</v>
      </c>
    </row>
    <row r="815" ht="15" customHeight="1" s="32">
      <c r="A815" s="46" t="inlineStr">
        <is>
          <t>L-HB-0814</t>
        </is>
      </c>
      <c r="B815" s="46" t="inlineStr">
        <is>
          <t>R-HB-0814</t>
        </is>
      </c>
      <c r="C815" s="48" t="inlineStr">
        <is>
          <t>항공</t>
        </is>
      </c>
      <c r="D815" s="48" t="inlineStr">
        <is>
          <t>인천공항</t>
        </is>
      </c>
      <c r="E815" s="46" t="inlineStr">
        <is>
          <t>ICN</t>
        </is>
      </c>
      <c r="F815" s="48" t="inlineStr">
        <is>
          <t>델리공항</t>
        </is>
      </c>
      <c r="G815" s="46" t="inlineStr">
        <is>
          <t>DEL</t>
        </is>
      </c>
      <c r="H815" s="47" t="n">
        <v>45610</v>
      </c>
      <c r="I815" s="52" t="n">
        <v>45613</v>
      </c>
      <c r="J815" s="52" t="n">
        <v>45613</v>
      </c>
      <c r="K815" s="53" t="n">
        <v>135</v>
      </c>
    </row>
    <row r="816" ht="15" customHeight="1" s="32">
      <c r="A816" s="46" t="inlineStr">
        <is>
          <t>L-HB-0815</t>
        </is>
      </c>
      <c r="B816" s="46" t="inlineStr">
        <is>
          <t>R-HB-0815</t>
        </is>
      </c>
      <c r="C816" s="48" t="inlineStr">
        <is>
          <t>항공</t>
        </is>
      </c>
      <c r="D816" s="48" t="inlineStr">
        <is>
          <t>인천공항</t>
        </is>
      </c>
      <c r="E816" s="46" t="inlineStr">
        <is>
          <t>ICN</t>
        </is>
      </c>
      <c r="F816" s="48" t="inlineStr">
        <is>
          <t>하노이공항</t>
        </is>
      </c>
      <c r="G816" s="46" t="inlineStr">
        <is>
          <t>HAN</t>
        </is>
      </c>
      <c r="H816" s="47" t="n">
        <v>45611</v>
      </c>
      <c r="I816" s="52" t="n">
        <v>45613</v>
      </c>
      <c r="J816" s="52" t="n">
        <v>45613</v>
      </c>
      <c r="K816" s="53" t="n">
        <v>230.35</v>
      </c>
    </row>
    <row r="817" ht="15" customHeight="1" s="32">
      <c r="A817" s="46" t="inlineStr">
        <is>
          <t>L-HB-0816</t>
        </is>
      </c>
      <c r="B817" s="46" t="inlineStr">
        <is>
          <t>R-HB-0816</t>
        </is>
      </c>
      <c r="C817" s="48" t="inlineStr">
        <is>
          <t>항공</t>
        </is>
      </c>
      <c r="D817" s="48" t="inlineStr">
        <is>
          <t>인천공항</t>
        </is>
      </c>
      <c r="E817" s="46" t="inlineStr">
        <is>
          <t>ICN</t>
        </is>
      </c>
      <c r="F817" s="48" t="inlineStr">
        <is>
          <t>충칭공항</t>
        </is>
      </c>
      <c r="G817" s="46" t="inlineStr">
        <is>
          <t>CKG</t>
        </is>
      </c>
      <c r="H817" s="47" t="n">
        <v>45611</v>
      </c>
      <c r="I817" s="52" t="n">
        <v>45613</v>
      </c>
      <c r="J817" s="52" t="n">
        <v>45613</v>
      </c>
      <c r="K817" s="53" t="n">
        <v>135</v>
      </c>
    </row>
    <row r="818" ht="15" customHeight="1" s="32">
      <c r="A818" s="46" t="inlineStr">
        <is>
          <t>L-HB-0817</t>
        </is>
      </c>
      <c r="B818" s="46" t="inlineStr">
        <is>
          <t>R-HB-0817</t>
        </is>
      </c>
      <c r="C818" s="48" t="inlineStr">
        <is>
          <t>항공</t>
        </is>
      </c>
      <c r="D818" s="48" t="inlineStr">
        <is>
          <t>인천공항</t>
        </is>
      </c>
      <c r="E818" s="46" t="inlineStr">
        <is>
          <t>ICN</t>
        </is>
      </c>
      <c r="F818" s="48" t="inlineStr">
        <is>
          <t>로스앤젤레스공항</t>
        </is>
      </c>
      <c r="G818" s="46" t="inlineStr">
        <is>
          <t>LAX</t>
        </is>
      </c>
      <c r="H818" s="47" t="n">
        <v>45612</v>
      </c>
      <c r="I818" s="52" t="n">
        <v>45615</v>
      </c>
      <c r="J818" s="52" t="n">
        <v>45615</v>
      </c>
      <c r="K818" s="53" t="n">
        <v>327.36</v>
      </c>
    </row>
    <row r="819" ht="15" customHeight="1" s="32">
      <c r="A819" s="46" t="inlineStr">
        <is>
          <t>L-HB-0818</t>
        </is>
      </c>
      <c r="B819" s="46" t="inlineStr">
        <is>
          <t>R-HB-0818</t>
        </is>
      </c>
      <c r="C819" s="48" t="inlineStr">
        <is>
          <t>항공</t>
        </is>
      </c>
      <c r="D819" s="48" t="inlineStr">
        <is>
          <t>인천공항</t>
        </is>
      </c>
      <c r="E819" s="46" t="inlineStr">
        <is>
          <t>ICN</t>
        </is>
      </c>
      <c r="F819" s="48" t="inlineStr">
        <is>
          <t>시애틀공항</t>
        </is>
      </c>
      <c r="G819" s="46" t="inlineStr">
        <is>
          <t>SEA</t>
        </is>
      </c>
      <c r="H819" s="47" t="n">
        <v>45612</v>
      </c>
      <c r="I819" s="52" t="n">
        <v>45614</v>
      </c>
      <c r="J819" s="52" t="n">
        <v>45613</v>
      </c>
      <c r="K819" s="53" t="n">
        <v>279.71</v>
      </c>
    </row>
    <row r="820" ht="15" customHeight="1" s="32">
      <c r="A820" s="46" t="inlineStr">
        <is>
          <t>L-HB-0819</t>
        </is>
      </c>
      <c r="B820" s="46" t="inlineStr">
        <is>
          <t>R-HB-0819</t>
        </is>
      </c>
      <c r="C820" s="48" t="inlineStr">
        <is>
          <t>항공</t>
        </is>
      </c>
      <c r="D820" s="48" t="inlineStr">
        <is>
          <t>인천공항</t>
        </is>
      </c>
      <c r="E820" s="46" t="inlineStr">
        <is>
          <t>ICN</t>
        </is>
      </c>
      <c r="F820" s="48" t="inlineStr">
        <is>
          <t>시애틀공항</t>
        </is>
      </c>
      <c r="G820" s="46" t="inlineStr">
        <is>
          <t>SEA</t>
        </is>
      </c>
      <c r="H820" s="47" t="n">
        <v>45612</v>
      </c>
      <c r="I820" s="52" t="n">
        <v>45615</v>
      </c>
      <c r="J820" s="52" t="n">
        <v>45615</v>
      </c>
      <c r="K820" s="53" t="n">
        <v>135</v>
      </c>
    </row>
    <row r="821" ht="15" customHeight="1" s="32">
      <c r="A821" s="46" t="inlineStr">
        <is>
          <t>L-HB-0820</t>
        </is>
      </c>
      <c r="B821" s="46" t="inlineStr">
        <is>
          <t>R-HB-0820</t>
        </is>
      </c>
      <c r="C821" s="48" t="inlineStr">
        <is>
          <t>항공</t>
        </is>
      </c>
      <c r="D821" s="48" t="inlineStr">
        <is>
          <t>인천공항</t>
        </is>
      </c>
      <c r="E821" s="46" t="inlineStr">
        <is>
          <t>ICN</t>
        </is>
      </c>
      <c r="F821" s="48" t="inlineStr">
        <is>
          <t>델리공항</t>
        </is>
      </c>
      <c r="G821" s="46" t="inlineStr">
        <is>
          <t>DEL</t>
        </is>
      </c>
      <c r="H821" s="47" t="n">
        <v>45612</v>
      </c>
      <c r="I821" s="52" t="n">
        <v>45616</v>
      </c>
      <c r="J821" s="52" t="n">
        <v>45616</v>
      </c>
      <c r="K821" s="53" t="n">
        <v>135</v>
      </c>
    </row>
    <row r="822" ht="15" customHeight="1" s="32">
      <c r="A822" s="46" t="inlineStr">
        <is>
          <t>L-HB-0821</t>
        </is>
      </c>
      <c r="B822" s="46" t="inlineStr">
        <is>
          <t>R-HB-0821</t>
        </is>
      </c>
      <c r="C822" s="48" t="inlineStr">
        <is>
          <t>항공</t>
        </is>
      </c>
      <c r="D822" s="48" t="inlineStr">
        <is>
          <t>인천공항</t>
        </is>
      </c>
      <c r="E822" s="46" t="inlineStr">
        <is>
          <t>ICN</t>
        </is>
      </c>
      <c r="F822" s="48" t="inlineStr">
        <is>
          <t>토론토공항</t>
        </is>
      </c>
      <c r="G822" s="46" t="inlineStr">
        <is>
          <t>YYZ</t>
        </is>
      </c>
      <c r="H822" s="47" t="n">
        <v>45613</v>
      </c>
      <c r="I822" s="52" t="n">
        <v>45616</v>
      </c>
      <c r="J822" s="52" t="n">
        <v>45616</v>
      </c>
      <c r="K822" s="53" t="n">
        <v>135</v>
      </c>
    </row>
    <row r="823" ht="15" customHeight="1" s="32">
      <c r="A823" s="46" t="inlineStr">
        <is>
          <t>L-HB-0822</t>
        </is>
      </c>
      <c r="B823" s="46" t="inlineStr">
        <is>
          <t>R-HB-0822</t>
        </is>
      </c>
      <c r="C823" s="48" t="inlineStr">
        <is>
          <t>항공</t>
        </is>
      </c>
      <c r="D823" s="48" t="inlineStr">
        <is>
          <t>인천공항</t>
        </is>
      </c>
      <c r="E823" s="46" t="inlineStr">
        <is>
          <t>ICN</t>
        </is>
      </c>
      <c r="F823" s="48" t="inlineStr">
        <is>
          <t>델리공항</t>
        </is>
      </c>
      <c r="G823" s="46" t="inlineStr">
        <is>
          <t>DEL</t>
        </is>
      </c>
      <c r="H823" s="47" t="n">
        <v>45613</v>
      </c>
      <c r="I823" s="52" t="n">
        <v>45616</v>
      </c>
      <c r="J823" s="52" t="n">
        <v>45616</v>
      </c>
      <c r="K823" s="53" t="n">
        <v>135</v>
      </c>
    </row>
    <row r="824" ht="15" customHeight="1" s="32">
      <c r="A824" s="46" t="inlineStr">
        <is>
          <t>L-HB-0823</t>
        </is>
      </c>
      <c r="B824" s="46" t="inlineStr">
        <is>
          <t>R-HB-0823</t>
        </is>
      </c>
      <c r="C824" s="48" t="inlineStr">
        <is>
          <t>항공</t>
        </is>
      </c>
      <c r="D824" s="48" t="inlineStr">
        <is>
          <t>인천공항</t>
        </is>
      </c>
      <c r="E824" s="46" t="inlineStr">
        <is>
          <t>ICN</t>
        </is>
      </c>
      <c r="F824" s="48" t="inlineStr">
        <is>
          <t>선전공항</t>
        </is>
      </c>
      <c r="G824" s="46" t="inlineStr">
        <is>
          <t>SZX</t>
        </is>
      </c>
      <c r="H824" s="47" t="n">
        <v>45617</v>
      </c>
      <c r="I824" s="52" t="n">
        <v>45619</v>
      </c>
      <c r="J824" s="52" t="n">
        <v>45621</v>
      </c>
      <c r="K824" s="53" t="n">
        <v>390.3</v>
      </c>
    </row>
    <row r="825" ht="15" customHeight="1" s="32">
      <c r="A825" s="46" t="inlineStr">
        <is>
          <t>L-HB-0824</t>
        </is>
      </c>
      <c r="B825" s="46" t="inlineStr">
        <is>
          <t>R-HB-0824</t>
        </is>
      </c>
      <c r="C825" s="48" t="inlineStr">
        <is>
          <t>항공</t>
        </is>
      </c>
      <c r="D825" s="48" t="inlineStr">
        <is>
          <t>인천공항</t>
        </is>
      </c>
      <c r="E825" s="46" t="inlineStr">
        <is>
          <t>ICN</t>
        </is>
      </c>
      <c r="F825" s="48" t="inlineStr">
        <is>
          <t>과달라하라공항</t>
        </is>
      </c>
      <c r="G825" s="46" t="inlineStr">
        <is>
          <t>GDL</t>
        </is>
      </c>
      <c r="H825" s="47" t="n">
        <v>45618</v>
      </c>
      <c r="I825" s="52" t="n">
        <v>45622</v>
      </c>
      <c r="J825" s="52" t="n">
        <v>45622</v>
      </c>
      <c r="K825" s="53" t="n">
        <v>135</v>
      </c>
    </row>
    <row r="826" ht="15" customHeight="1" s="32">
      <c r="A826" s="46" t="inlineStr">
        <is>
          <t>L-HB-0825</t>
        </is>
      </c>
      <c r="B826" s="46" t="inlineStr">
        <is>
          <t>R-HB-0825</t>
        </is>
      </c>
      <c r="C826" s="48" t="inlineStr">
        <is>
          <t>항공</t>
        </is>
      </c>
      <c r="D826" s="48" t="inlineStr">
        <is>
          <t>인천공항</t>
        </is>
      </c>
      <c r="E826" s="46" t="inlineStr">
        <is>
          <t>ICN</t>
        </is>
      </c>
      <c r="F826" s="48" t="inlineStr">
        <is>
          <t>과달라하라공항</t>
        </is>
      </c>
      <c r="G826" s="46" t="inlineStr">
        <is>
          <t>GDL</t>
        </is>
      </c>
      <c r="H826" s="47" t="n">
        <v>45618</v>
      </c>
      <c r="I826" s="52" t="n">
        <v>45621</v>
      </c>
      <c r="J826" s="52" t="n">
        <v>45621</v>
      </c>
      <c r="K826" s="53" t="n">
        <v>135</v>
      </c>
    </row>
    <row r="827" ht="15" customHeight="1" s="32">
      <c r="A827" s="46" t="inlineStr">
        <is>
          <t>L-HB-0826</t>
        </is>
      </c>
      <c r="B827" s="46" t="inlineStr">
        <is>
          <t>R-HB-0826</t>
        </is>
      </c>
      <c r="C827" s="48" t="inlineStr">
        <is>
          <t>항공</t>
        </is>
      </c>
      <c r="D827" s="48" t="inlineStr">
        <is>
          <t>인천공항</t>
        </is>
      </c>
      <c r="E827" s="46" t="inlineStr">
        <is>
          <t>ICN</t>
        </is>
      </c>
      <c r="F827" s="48" t="inlineStr">
        <is>
          <t>선전공항</t>
        </is>
      </c>
      <c r="G827" s="46" t="inlineStr">
        <is>
          <t>SZX</t>
        </is>
      </c>
      <c r="H827" s="47" t="n">
        <v>45618</v>
      </c>
      <c r="I827" s="52" t="n">
        <v>45620</v>
      </c>
      <c r="J827" s="52" t="n">
        <v>45621</v>
      </c>
      <c r="K827" s="53" t="n">
        <v>135</v>
      </c>
    </row>
    <row r="828" ht="15" customHeight="1" s="32">
      <c r="A828" s="46" t="inlineStr">
        <is>
          <t>L-HB-0827</t>
        </is>
      </c>
      <c r="B828" s="46" t="inlineStr">
        <is>
          <t>R-HB-0827</t>
        </is>
      </c>
      <c r="C828" s="48" t="inlineStr">
        <is>
          <t>항공</t>
        </is>
      </c>
      <c r="D828" s="48" t="inlineStr">
        <is>
          <t>인천공항</t>
        </is>
      </c>
      <c r="E828" s="46" t="inlineStr">
        <is>
          <t>ICN</t>
        </is>
      </c>
      <c r="F828" s="48" t="inlineStr">
        <is>
          <t>프랑크푸르트공항</t>
        </is>
      </c>
      <c r="G828" s="46" t="inlineStr">
        <is>
          <t>FRA</t>
        </is>
      </c>
      <c r="H828" s="47" t="n">
        <v>45620</v>
      </c>
      <c r="I828" s="52" t="n">
        <v>45624</v>
      </c>
      <c r="J828" s="52" t="n">
        <v>45624</v>
      </c>
      <c r="K828" s="53" t="n">
        <v>457.85</v>
      </c>
    </row>
    <row r="829" ht="15" customHeight="1" s="32">
      <c r="A829" s="46" t="inlineStr">
        <is>
          <t>L-HB-0828</t>
        </is>
      </c>
      <c r="B829" s="46" t="inlineStr">
        <is>
          <t>R-HB-0828</t>
        </is>
      </c>
      <c r="C829" s="48" t="inlineStr">
        <is>
          <t>해상</t>
        </is>
      </c>
      <c r="D829" s="48" t="inlineStr">
        <is>
          <t>부산항</t>
        </is>
      </c>
      <c r="E829" s="46" t="inlineStr">
        <is>
          <t>KRPUS</t>
        </is>
      </c>
      <c r="F829" s="48" t="inlineStr">
        <is>
          <t>상하이항</t>
        </is>
      </c>
      <c r="G829" s="46" t="inlineStr">
        <is>
          <t>CNSHA</t>
        </is>
      </c>
      <c r="H829" s="47" t="n">
        <v>45620</v>
      </c>
      <c r="I829" s="52" t="n">
        <v>45627</v>
      </c>
      <c r="J829" s="52" t="n">
        <v>45625</v>
      </c>
      <c r="K829" s="53" t="n">
        <v>530</v>
      </c>
    </row>
    <row r="830" ht="15" customHeight="1" s="32">
      <c r="A830" s="46" t="inlineStr">
        <is>
          <t>L-HB-0829</t>
        </is>
      </c>
      <c r="B830" s="46" t="inlineStr">
        <is>
          <t>R-HB-0829</t>
        </is>
      </c>
      <c r="C830" s="48" t="inlineStr">
        <is>
          <t>항공</t>
        </is>
      </c>
      <c r="D830" s="48" t="inlineStr">
        <is>
          <t>인천공항</t>
        </is>
      </c>
      <c r="E830" s="46" t="inlineStr">
        <is>
          <t>ICN</t>
        </is>
      </c>
      <c r="F830" s="48" t="inlineStr">
        <is>
          <t>토론토공항</t>
        </is>
      </c>
      <c r="G830" s="46" t="inlineStr">
        <is>
          <t>YYZ</t>
        </is>
      </c>
      <c r="H830" s="47" t="n">
        <v>45629</v>
      </c>
      <c r="I830" s="52" t="n">
        <v>45632</v>
      </c>
      <c r="J830" s="52" t="n">
        <v>45631</v>
      </c>
      <c r="K830" s="53" t="n">
        <v>135</v>
      </c>
    </row>
    <row r="831" ht="15" customHeight="1" s="32">
      <c r="A831" s="46" t="inlineStr">
        <is>
          <t>L-HB-0830</t>
        </is>
      </c>
      <c r="B831" s="46" t="inlineStr">
        <is>
          <t>R-HB-0830</t>
        </is>
      </c>
      <c r="C831" s="48" t="inlineStr">
        <is>
          <t>항공</t>
        </is>
      </c>
      <c r="D831" s="48" t="inlineStr">
        <is>
          <t>인천공항</t>
        </is>
      </c>
      <c r="E831" s="46" t="inlineStr">
        <is>
          <t>ICN</t>
        </is>
      </c>
      <c r="F831" s="48" t="inlineStr">
        <is>
          <t>과달라하라공항</t>
        </is>
      </c>
      <c r="G831" s="46" t="inlineStr">
        <is>
          <t>GDL</t>
        </is>
      </c>
      <c r="H831" s="47" t="n">
        <v>45630</v>
      </c>
      <c r="I831" s="52" t="n">
        <v>45634</v>
      </c>
      <c r="J831" s="52" t="n">
        <v>45633</v>
      </c>
      <c r="K831" s="53" t="n">
        <v>135</v>
      </c>
    </row>
    <row r="832" ht="15" customHeight="1" s="32">
      <c r="A832" s="46" t="inlineStr">
        <is>
          <t>L-HB-0831</t>
        </is>
      </c>
      <c r="B832" s="46" t="inlineStr">
        <is>
          <t>R-HB-0831</t>
        </is>
      </c>
      <c r="C832" s="48" t="inlineStr">
        <is>
          <t>항공</t>
        </is>
      </c>
      <c r="D832" s="48" t="inlineStr">
        <is>
          <t>인천공항</t>
        </is>
      </c>
      <c r="E832" s="46" t="inlineStr">
        <is>
          <t>ICN</t>
        </is>
      </c>
      <c r="F832" s="48" t="inlineStr">
        <is>
          <t>충칭공항</t>
        </is>
      </c>
      <c r="G832" s="46" t="inlineStr">
        <is>
          <t>CKG</t>
        </is>
      </c>
      <c r="H832" s="47" t="n">
        <v>45630</v>
      </c>
      <c r="I832" s="52" t="n">
        <v>45633</v>
      </c>
      <c r="J832" s="52" t="n">
        <v>45633</v>
      </c>
      <c r="K832" s="53" t="n">
        <v>135</v>
      </c>
    </row>
    <row r="833" ht="15" customHeight="1" s="32">
      <c r="A833" s="46" t="inlineStr">
        <is>
          <t>L-HB-0832</t>
        </is>
      </c>
      <c r="B833" s="46" t="inlineStr">
        <is>
          <t>R-HB-0832</t>
        </is>
      </c>
      <c r="C833" s="48" t="inlineStr">
        <is>
          <t>항공</t>
        </is>
      </c>
      <c r="D833" s="48" t="inlineStr">
        <is>
          <t>인천공항</t>
        </is>
      </c>
      <c r="E833" s="46" t="inlineStr">
        <is>
          <t>ICN</t>
        </is>
      </c>
      <c r="F833" s="48" t="inlineStr">
        <is>
          <t>과달라하라공항</t>
        </is>
      </c>
      <c r="G833" s="46" t="inlineStr">
        <is>
          <t>GDL</t>
        </is>
      </c>
      <c r="H833" s="47" t="n">
        <v>45631</v>
      </c>
      <c r="I833" s="52" t="n">
        <v>45634</v>
      </c>
      <c r="J833" s="52" t="n">
        <v>45634</v>
      </c>
      <c r="K833" s="53" t="n">
        <v>135</v>
      </c>
    </row>
    <row r="834" ht="15" customHeight="1" s="32">
      <c r="A834" s="46" t="inlineStr">
        <is>
          <t>L-HB-0833</t>
        </is>
      </c>
      <c r="B834" s="46" t="inlineStr">
        <is>
          <t>R-HB-0833</t>
        </is>
      </c>
      <c r="C834" s="48" t="inlineStr">
        <is>
          <t>항공</t>
        </is>
      </c>
      <c r="D834" s="48" t="inlineStr">
        <is>
          <t>인천공항</t>
        </is>
      </c>
      <c r="E834" s="46" t="inlineStr">
        <is>
          <t>ICN</t>
        </is>
      </c>
      <c r="F834" s="48" t="inlineStr">
        <is>
          <t>토론토공항</t>
        </is>
      </c>
      <c r="G834" s="46" t="inlineStr">
        <is>
          <t>YYZ</t>
        </is>
      </c>
      <c r="H834" s="47" t="n">
        <v>45632</v>
      </c>
      <c r="I834" s="52" t="n">
        <v>45637</v>
      </c>
      <c r="J834" s="52" t="n">
        <v>45637</v>
      </c>
      <c r="K834" s="53" t="n">
        <v>135</v>
      </c>
    </row>
    <row r="835" ht="15" customHeight="1" s="32">
      <c r="A835" s="46" t="inlineStr">
        <is>
          <t>L-HB-0834</t>
        </is>
      </c>
      <c r="B835" s="46" t="inlineStr">
        <is>
          <t>R-HB-0834</t>
        </is>
      </c>
      <c r="C835" s="48" t="inlineStr">
        <is>
          <t>항공</t>
        </is>
      </c>
      <c r="D835" s="48" t="inlineStr">
        <is>
          <t>인천공항</t>
        </is>
      </c>
      <c r="E835" s="46" t="inlineStr">
        <is>
          <t>ICN</t>
        </is>
      </c>
      <c r="F835" s="48" t="inlineStr">
        <is>
          <t>선전공항</t>
        </is>
      </c>
      <c r="G835" s="46" t="inlineStr">
        <is>
          <t>SZX</t>
        </is>
      </c>
      <c r="H835" s="47" t="n">
        <v>45632</v>
      </c>
      <c r="I835" s="52" t="n">
        <v>45634</v>
      </c>
      <c r="J835" s="52" t="n">
        <v>45634</v>
      </c>
      <c r="K835" s="53" t="n">
        <v>363.38</v>
      </c>
    </row>
    <row r="836" ht="15" customHeight="1" s="32">
      <c r="A836" s="46" t="inlineStr">
        <is>
          <t>L-HB-0835</t>
        </is>
      </c>
      <c r="B836" s="46" t="inlineStr">
        <is>
          <t>R-HB-0835</t>
        </is>
      </c>
      <c r="C836" s="48" t="inlineStr">
        <is>
          <t>항공</t>
        </is>
      </c>
      <c r="D836" s="48" t="inlineStr">
        <is>
          <t>인천공항</t>
        </is>
      </c>
      <c r="E836" s="46" t="inlineStr">
        <is>
          <t>ICN</t>
        </is>
      </c>
      <c r="F836" s="48" t="inlineStr">
        <is>
          <t>로스앤젤레스공항</t>
        </is>
      </c>
      <c r="G836" s="46" t="inlineStr">
        <is>
          <t>LAX</t>
        </is>
      </c>
      <c r="H836" s="47" t="n">
        <v>45633</v>
      </c>
      <c r="I836" s="52" t="n">
        <v>45635</v>
      </c>
      <c r="J836" s="52" t="n">
        <v>45635</v>
      </c>
      <c r="K836" s="53" t="n">
        <v>135</v>
      </c>
    </row>
    <row r="837" ht="15" customHeight="1" s="32">
      <c r="A837" s="46" t="inlineStr">
        <is>
          <t>L-HB-0836</t>
        </is>
      </c>
      <c r="B837" s="46" t="inlineStr">
        <is>
          <t>R-HB-0836</t>
        </is>
      </c>
      <c r="C837" s="48" t="inlineStr">
        <is>
          <t>해상</t>
        </is>
      </c>
      <c r="D837" s="48" t="inlineStr">
        <is>
          <t>부산항</t>
        </is>
      </c>
      <c r="E837" s="46" t="inlineStr">
        <is>
          <t>KRPUS</t>
        </is>
      </c>
      <c r="F837" s="48" t="inlineStr">
        <is>
          <t>서커우항</t>
        </is>
      </c>
      <c r="G837" s="46" t="inlineStr">
        <is>
          <t>CNSHK</t>
        </is>
      </c>
      <c r="H837" s="47" t="n">
        <v>45633</v>
      </c>
      <c r="I837" s="52" t="n">
        <v>45641</v>
      </c>
      <c r="J837" s="52" t="n">
        <v>45639</v>
      </c>
      <c r="K837" s="53" t="n">
        <v>530</v>
      </c>
    </row>
    <row r="838" ht="15" customHeight="1" s="32">
      <c r="A838" s="46" t="inlineStr">
        <is>
          <t>L-HB-0837</t>
        </is>
      </c>
      <c r="B838" s="46" t="inlineStr">
        <is>
          <t>R-HB-0837</t>
        </is>
      </c>
      <c r="C838" s="48" t="inlineStr">
        <is>
          <t>항공</t>
        </is>
      </c>
      <c r="D838" s="48" t="inlineStr">
        <is>
          <t>인천공항</t>
        </is>
      </c>
      <c r="E838" s="46" t="inlineStr">
        <is>
          <t>ICN</t>
        </is>
      </c>
      <c r="F838" s="48" t="inlineStr">
        <is>
          <t>토론토공항</t>
        </is>
      </c>
      <c r="G838" s="46" t="inlineStr">
        <is>
          <t>YYZ</t>
        </is>
      </c>
      <c r="H838" s="47" t="n">
        <v>45634</v>
      </c>
      <c r="I838" s="52" t="n">
        <v>45637</v>
      </c>
      <c r="J838" s="52" t="n">
        <v>45637</v>
      </c>
      <c r="K838" s="53" t="n">
        <v>135</v>
      </c>
    </row>
    <row r="839" ht="15" customHeight="1" s="32">
      <c r="A839" s="46" t="inlineStr">
        <is>
          <t>L-HB-0838</t>
        </is>
      </c>
      <c r="B839" s="46" t="inlineStr">
        <is>
          <t>R-HB-0838</t>
        </is>
      </c>
      <c r="C839" s="48" t="inlineStr">
        <is>
          <t>항공</t>
        </is>
      </c>
      <c r="D839" s="48" t="inlineStr">
        <is>
          <t>인천공항</t>
        </is>
      </c>
      <c r="E839" s="46" t="inlineStr">
        <is>
          <t>ICN</t>
        </is>
      </c>
      <c r="F839" s="48" t="inlineStr">
        <is>
          <t>델리공항</t>
        </is>
      </c>
      <c r="G839" s="46" t="inlineStr">
        <is>
          <t>DEL</t>
        </is>
      </c>
      <c r="H839" s="47" t="n">
        <v>45634</v>
      </c>
      <c r="I839" s="52" t="n">
        <v>45636</v>
      </c>
      <c r="J839" s="52" t="n">
        <v>45636</v>
      </c>
      <c r="K839" s="53" t="n">
        <v>192.41</v>
      </c>
    </row>
    <row r="840" ht="15" customHeight="1" s="32">
      <c r="A840" s="46" t="inlineStr">
        <is>
          <t>L-HB-0839</t>
        </is>
      </c>
      <c r="B840" s="46" t="inlineStr">
        <is>
          <t>R-HB-0839</t>
        </is>
      </c>
      <c r="C840" s="48" t="inlineStr">
        <is>
          <t>항공</t>
        </is>
      </c>
      <c r="D840" s="48" t="inlineStr">
        <is>
          <t>인천공항</t>
        </is>
      </c>
      <c r="E840" s="46" t="inlineStr">
        <is>
          <t>ICN</t>
        </is>
      </c>
      <c r="F840" s="48" t="inlineStr">
        <is>
          <t>로스앤젤레스공항</t>
        </is>
      </c>
      <c r="G840" s="46" t="inlineStr">
        <is>
          <t>LAX</t>
        </is>
      </c>
      <c r="H840" s="47" t="n">
        <v>45635</v>
      </c>
      <c r="I840" s="52" t="n">
        <v>45638</v>
      </c>
      <c r="J840" s="52" t="n">
        <v>45640</v>
      </c>
      <c r="K840" s="53" t="n">
        <v>477.38</v>
      </c>
    </row>
    <row r="841" ht="15" customHeight="1" s="32">
      <c r="A841" s="46" t="inlineStr">
        <is>
          <t>L-HB-0840</t>
        </is>
      </c>
      <c r="B841" s="46" t="inlineStr">
        <is>
          <t>R-HB-0840</t>
        </is>
      </c>
      <c r="C841" s="48" t="inlineStr">
        <is>
          <t>항공</t>
        </is>
      </c>
      <c r="D841" s="48" t="inlineStr">
        <is>
          <t>인천공항</t>
        </is>
      </c>
      <c r="E841" s="46" t="inlineStr">
        <is>
          <t>ICN</t>
        </is>
      </c>
      <c r="F841" s="48" t="inlineStr">
        <is>
          <t>시애틀공항</t>
        </is>
      </c>
      <c r="G841" s="46" t="inlineStr">
        <is>
          <t>SEA</t>
        </is>
      </c>
      <c r="H841" s="47" t="n">
        <v>45636</v>
      </c>
      <c r="I841" s="52" t="n">
        <v>45638</v>
      </c>
      <c r="J841" s="52" t="n">
        <v>45638</v>
      </c>
      <c r="K841" s="53" t="n">
        <v>268.94</v>
      </c>
    </row>
    <row r="842" ht="15" customHeight="1" s="32">
      <c r="A842" s="46" t="inlineStr">
        <is>
          <t>L-HB-0841</t>
        </is>
      </c>
      <c r="B842" s="46" t="inlineStr">
        <is>
          <t>R-HB-0841</t>
        </is>
      </c>
      <c r="C842" s="48" t="inlineStr">
        <is>
          <t>항공</t>
        </is>
      </c>
      <c r="D842" s="48" t="inlineStr">
        <is>
          <t>인천공항</t>
        </is>
      </c>
      <c r="E842" s="46" t="inlineStr">
        <is>
          <t>ICN</t>
        </is>
      </c>
      <c r="F842" s="48" t="inlineStr">
        <is>
          <t>하노이공항</t>
        </is>
      </c>
      <c r="G842" s="46" t="inlineStr">
        <is>
          <t>HAN</t>
        </is>
      </c>
      <c r="H842" s="47" t="n">
        <v>45636</v>
      </c>
      <c r="I842" s="52" t="n">
        <v>45639</v>
      </c>
      <c r="J842" s="52" t="n">
        <v>45639</v>
      </c>
      <c r="K842" s="53" t="n">
        <v>135</v>
      </c>
    </row>
    <row r="843" ht="15" customHeight="1" s="32">
      <c r="A843" s="46" t="inlineStr">
        <is>
          <t>L-HB-0842</t>
        </is>
      </c>
      <c r="B843" s="46" t="inlineStr">
        <is>
          <t>R-HB-0842</t>
        </is>
      </c>
      <c r="C843" s="48" t="inlineStr">
        <is>
          <t>항공</t>
        </is>
      </c>
      <c r="D843" s="48" t="inlineStr">
        <is>
          <t>인천공항</t>
        </is>
      </c>
      <c r="E843" s="46" t="inlineStr">
        <is>
          <t>ICN</t>
        </is>
      </c>
      <c r="F843" s="48" t="inlineStr">
        <is>
          <t>충칭공항</t>
        </is>
      </c>
      <c r="G843" s="46" t="inlineStr">
        <is>
          <t>CKG</t>
        </is>
      </c>
      <c r="H843" s="47" t="n">
        <v>45636</v>
      </c>
      <c r="I843" s="52" t="n">
        <v>45637</v>
      </c>
      <c r="J843" s="52" t="n">
        <v>45636</v>
      </c>
      <c r="K843" s="53" t="n">
        <v>135</v>
      </c>
    </row>
    <row r="844" ht="15" customHeight="1" s="32">
      <c r="A844" s="46" t="inlineStr">
        <is>
          <t>L-HB-0843</t>
        </is>
      </c>
      <c r="B844" s="46" t="inlineStr">
        <is>
          <t>R-HB-0843</t>
        </is>
      </c>
      <c r="C844" s="48" t="inlineStr">
        <is>
          <t>항공</t>
        </is>
      </c>
      <c r="D844" s="48" t="inlineStr">
        <is>
          <t>인천공항</t>
        </is>
      </c>
      <c r="E844" s="46" t="inlineStr">
        <is>
          <t>ICN</t>
        </is>
      </c>
      <c r="F844" s="48" t="inlineStr">
        <is>
          <t>하노이공항</t>
        </is>
      </c>
      <c r="G844" s="46" t="inlineStr">
        <is>
          <t>HAN</t>
        </is>
      </c>
      <c r="H844" s="47" t="n">
        <v>45637</v>
      </c>
      <c r="I844" s="52" t="n">
        <v>45638</v>
      </c>
      <c r="J844" s="52" t="n">
        <v>45638</v>
      </c>
      <c r="K844" s="53" t="n">
        <v>234.03</v>
      </c>
    </row>
    <row r="845" ht="15" customHeight="1" s="32">
      <c r="A845" s="46" t="inlineStr">
        <is>
          <t>L-HB-0844</t>
        </is>
      </c>
      <c r="B845" s="46" t="inlineStr">
        <is>
          <t>R-HB-0844</t>
        </is>
      </c>
      <c r="C845" s="48" t="inlineStr">
        <is>
          <t>항공</t>
        </is>
      </c>
      <c r="D845" s="48" t="inlineStr">
        <is>
          <t>인천공항</t>
        </is>
      </c>
      <c r="E845" s="46" t="inlineStr">
        <is>
          <t>ICN</t>
        </is>
      </c>
      <c r="F845" s="48" t="inlineStr">
        <is>
          <t>델리공항</t>
        </is>
      </c>
      <c r="G845" s="46" t="inlineStr">
        <is>
          <t>DEL</t>
        </is>
      </c>
      <c r="H845" s="47" t="n">
        <v>45637</v>
      </c>
      <c r="I845" s="52" t="n">
        <v>45639</v>
      </c>
      <c r="J845" s="52" t="n">
        <v>45643</v>
      </c>
      <c r="K845" s="53" t="n">
        <v>135</v>
      </c>
    </row>
    <row r="846" ht="15" customHeight="1" s="32">
      <c r="A846" s="46" t="inlineStr">
        <is>
          <t>L-HB-0845</t>
        </is>
      </c>
      <c r="B846" s="46" t="inlineStr">
        <is>
          <t>R-HB-0845</t>
        </is>
      </c>
      <c r="C846" s="48" t="inlineStr">
        <is>
          <t>항공</t>
        </is>
      </c>
      <c r="D846" s="48" t="inlineStr">
        <is>
          <t>인천공항</t>
        </is>
      </c>
      <c r="E846" s="46" t="inlineStr">
        <is>
          <t>ICN</t>
        </is>
      </c>
      <c r="F846" s="48" t="inlineStr">
        <is>
          <t>하노이공항</t>
        </is>
      </c>
      <c r="G846" s="46" t="inlineStr">
        <is>
          <t>HAN</t>
        </is>
      </c>
      <c r="H846" s="47" t="n">
        <v>45638</v>
      </c>
      <c r="I846" s="52" t="n">
        <v>45640</v>
      </c>
      <c r="J846" s="52" t="n">
        <v>45639</v>
      </c>
      <c r="K846" s="53" t="n">
        <v>135</v>
      </c>
    </row>
    <row r="847" ht="15" customHeight="1" s="32">
      <c r="A847" s="46" t="inlineStr">
        <is>
          <t>L-HB-0846</t>
        </is>
      </c>
      <c r="B847" s="46" t="inlineStr">
        <is>
          <t>R-HB-0846</t>
        </is>
      </c>
      <c r="C847" s="48" t="inlineStr">
        <is>
          <t>항공</t>
        </is>
      </c>
      <c r="D847" s="48" t="inlineStr">
        <is>
          <t>인천공항</t>
        </is>
      </c>
      <c r="E847" s="46" t="inlineStr">
        <is>
          <t>ICN</t>
        </is>
      </c>
      <c r="F847" s="48" t="inlineStr">
        <is>
          <t>프랑크푸르트공항</t>
        </is>
      </c>
      <c r="G847" s="46" t="inlineStr">
        <is>
          <t>FRA</t>
        </is>
      </c>
      <c r="H847" s="47" t="n">
        <v>45640</v>
      </c>
      <c r="I847" s="52" t="n">
        <v>45644</v>
      </c>
      <c r="J847" s="52" t="n">
        <v>45645</v>
      </c>
      <c r="K847" s="53" t="n">
        <v>135</v>
      </c>
    </row>
    <row r="848" ht="15" customHeight="1" s="32">
      <c r="A848" s="46" t="inlineStr">
        <is>
          <t>L-HB-0847</t>
        </is>
      </c>
      <c r="B848" s="46" t="inlineStr">
        <is>
          <t>R-HB-0847</t>
        </is>
      </c>
      <c r="C848" s="48" t="inlineStr">
        <is>
          <t>항공</t>
        </is>
      </c>
      <c r="D848" s="48" t="inlineStr">
        <is>
          <t>인천공항</t>
        </is>
      </c>
      <c r="E848" s="46" t="inlineStr">
        <is>
          <t>ICN</t>
        </is>
      </c>
      <c r="F848" s="48" t="inlineStr">
        <is>
          <t>델리공항</t>
        </is>
      </c>
      <c r="G848" s="46" t="inlineStr">
        <is>
          <t>DEL</t>
        </is>
      </c>
      <c r="H848" s="47" t="n">
        <v>45640</v>
      </c>
      <c r="I848" s="52" t="n">
        <v>45643</v>
      </c>
      <c r="J848" s="52" t="n">
        <v>45643</v>
      </c>
      <c r="K848" s="53" t="n">
        <v>135</v>
      </c>
    </row>
    <row r="849" ht="15" customHeight="1" s="32">
      <c r="A849" s="46" t="inlineStr">
        <is>
          <t>L-HB-0848</t>
        </is>
      </c>
      <c r="B849" s="46" t="inlineStr">
        <is>
          <t>R-HB-0848</t>
        </is>
      </c>
      <c r="C849" s="48" t="inlineStr">
        <is>
          <t>항공</t>
        </is>
      </c>
      <c r="D849" s="48" t="inlineStr">
        <is>
          <t>인천공항</t>
        </is>
      </c>
      <c r="E849" s="46" t="inlineStr">
        <is>
          <t>ICN</t>
        </is>
      </c>
      <c r="F849" s="48" t="inlineStr">
        <is>
          <t>충칭공항</t>
        </is>
      </c>
      <c r="G849" s="46" t="inlineStr">
        <is>
          <t>CKG</t>
        </is>
      </c>
      <c r="H849" s="47" t="n">
        <v>45640</v>
      </c>
      <c r="I849" s="52" t="n">
        <v>45641</v>
      </c>
      <c r="J849" s="52" t="n">
        <v>45641</v>
      </c>
      <c r="K849" s="53" t="n">
        <v>240.58</v>
      </c>
    </row>
    <row r="850" ht="15" customHeight="1" s="32">
      <c r="A850" s="46" t="inlineStr">
        <is>
          <t>L-HB-0849</t>
        </is>
      </c>
      <c r="B850" s="46" t="inlineStr">
        <is>
          <t>R-HB-0849</t>
        </is>
      </c>
      <c r="C850" s="48" t="inlineStr">
        <is>
          <t>항공</t>
        </is>
      </c>
      <c r="D850" s="48" t="inlineStr">
        <is>
          <t>인천공항</t>
        </is>
      </c>
      <c r="E850" s="46" t="inlineStr">
        <is>
          <t>ICN</t>
        </is>
      </c>
      <c r="F850" s="48" t="inlineStr">
        <is>
          <t>로스앤젤레스공항</t>
        </is>
      </c>
      <c r="G850" s="46" t="inlineStr">
        <is>
          <t>LAX</t>
        </is>
      </c>
      <c r="H850" s="47" t="n">
        <v>45642</v>
      </c>
      <c r="I850" s="52" t="n">
        <v>45645</v>
      </c>
      <c r="J850" s="52" t="n">
        <v>45647</v>
      </c>
      <c r="K850" s="53" t="n">
        <v>175.42</v>
      </c>
    </row>
    <row r="851" ht="15" customHeight="1" s="32">
      <c r="A851" s="46" t="inlineStr">
        <is>
          <t>L-HB-0850</t>
        </is>
      </c>
      <c r="B851" s="46" t="inlineStr">
        <is>
          <t>R-HB-0850</t>
        </is>
      </c>
      <c r="C851" s="48" t="inlineStr">
        <is>
          <t>항공</t>
        </is>
      </c>
      <c r="D851" s="48" t="inlineStr">
        <is>
          <t>인천공항</t>
        </is>
      </c>
      <c r="E851" s="46" t="inlineStr">
        <is>
          <t>ICN</t>
        </is>
      </c>
      <c r="F851" s="48" t="inlineStr">
        <is>
          <t>시애틀공항</t>
        </is>
      </c>
      <c r="G851" s="46" t="inlineStr">
        <is>
          <t>SEA</t>
        </is>
      </c>
      <c r="H851" s="47" t="n">
        <v>45644</v>
      </c>
      <c r="I851" s="52" t="n">
        <v>45647</v>
      </c>
      <c r="J851" s="52" t="n">
        <v>45647</v>
      </c>
      <c r="K851" s="53" t="n">
        <v>135</v>
      </c>
    </row>
    <row r="852" ht="15" customHeight="1" s="32">
      <c r="A852" s="46" t="inlineStr">
        <is>
          <t>L-HB-0851</t>
        </is>
      </c>
      <c r="B852" s="46" t="inlineStr">
        <is>
          <t>R-HB-0851</t>
        </is>
      </c>
      <c r="C852" s="48" t="inlineStr">
        <is>
          <t>항공</t>
        </is>
      </c>
      <c r="D852" s="48" t="inlineStr">
        <is>
          <t>인천공항</t>
        </is>
      </c>
      <c r="E852" s="46" t="inlineStr">
        <is>
          <t>ICN</t>
        </is>
      </c>
      <c r="F852" s="48" t="inlineStr">
        <is>
          <t>토론토공항</t>
        </is>
      </c>
      <c r="G852" s="46" t="inlineStr">
        <is>
          <t>YYZ</t>
        </is>
      </c>
      <c r="H852" s="47" t="n">
        <v>45644</v>
      </c>
      <c r="I852" s="52" t="n">
        <v>45648</v>
      </c>
      <c r="J852" s="52" t="n">
        <v>45648</v>
      </c>
      <c r="K852" s="53" t="n">
        <v>135</v>
      </c>
    </row>
    <row r="853" ht="15" customHeight="1" s="32">
      <c r="A853" s="46" t="inlineStr">
        <is>
          <t>L-HB-0852</t>
        </is>
      </c>
      <c r="B853" s="46" t="inlineStr">
        <is>
          <t>R-HB-0852</t>
        </is>
      </c>
      <c r="C853" s="48" t="inlineStr">
        <is>
          <t>해상</t>
        </is>
      </c>
      <c r="D853" s="48" t="inlineStr">
        <is>
          <t>부산항</t>
        </is>
      </c>
      <c r="E853" s="46" t="inlineStr">
        <is>
          <t>KRPUS</t>
        </is>
      </c>
      <c r="F853" s="48" t="inlineStr">
        <is>
          <t>하이퐁항</t>
        </is>
      </c>
      <c r="G853" s="46" t="inlineStr">
        <is>
          <t>VNHPH</t>
        </is>
      </c>
      <c r="H853" s="47" t="n">
        <v>45644</v>
      </c>
      <c r="I853" s="52" t="n">
        <v>45653</v>
      </c>
      <c r="J853" s="52" t="n">
        <v>45653</v>
      </c>
      <c r="K853" s="53" t="n">
        <v>530</v>
      </c>
    </row>
    <row r="854" ht="15" customHeight="1" s="32">
      <c r="A854" s="46" t="inlineStr">
        <is>
          <t>L-HB-0853</t>
        </is>
      </c>
      <c r="B854" s="46" t="inlineStr">
        <is>
          <t>R-HB-0853</t>
        </is>
      </c>
      <c r="C854" s="48" t="inlineStr">
        <is>
          <t>항공</t>
        </is>
      </c>
      <c r="D854" s="48" t="inlineStr">
        <is>
          <t>인천공항</t>
        </is>
      </c>
      <c r="E854" s="46" t="inlineStr">
        <is>
          <t>ICN</t>
        </is>
      </c>
      <c r="F854" s="48" t="inlineStr">
        <is>
          <t>시애틀공항</t>
        </is>
      </c>
      <c r="G854" s="46" t="inlineStr">
        <is>
          <t>SEA</t>
        </is>
      </c>
      <c r="H854" s="47" t="n">
        <v>45645</v>
      </c>
      <c r="I854" s="52" t="n">
        <v>45649</v>
      </c>
      <c r="J854" s="52" t="n">
        <v>45652</v>
      </c>
      <c r="K854" s="53" t="n">
        <v>135</v>
      </c>
    </row>
    <row r="855" ht="15" customHeight="1" s="32">
      <c r="A855" s="46" t="inlineStr">
        <is>
          <t>L-HB-0854</t>
        </is>
      </c>
      <c r="B855" s="46" t="inlineStr">
        <is>
          <t>R-HB-0854</t>
        </is>
      </c>
      <c r="C855" s="48" t="inlineStr">
        <is>
          <t>항공</t>
        </is>
      </c>
      <c r="D855" s="48" t="inlineStr">
        <is>
          <t>인천공항</t>
        </is>
      </c>
      <c r="E855" s="46" t="inlineStr">
        <is>
          <t>ICN</t>
        </is>
      </c>
      <c r="F855" s="48" t="inlineStr">
        <is>
          <t>과달라하라공항</t>
        </is>
      </c>
      <c r="G855" s="46" t="inlineStr">
        <is>
          <t>GDL</t>
        </is>
      </c>
      <c r="H855" s="47" t="n">
        <v>45645</v>
      </c>
      <c r="I855" s="52" t="n">
        <v>45648</v>
      </c>
      <c r="J855" s="52" t="n">
        <v>45648</v>
      </c>
      <c r="K855" s="53" t="n">
        <v>135</v>
      </c>
    </row>
    <row r="856" ht="15" customHeight="1" s="32">
      <c r="A856" s="46" t="inlineStr">
        <is>
          <t>L-HB-0855</t>
        </is>
      </c>
      <c r="B856" s="46" t="inlineStr">
        <is>
          <t>R-HB-0855</t>
        </is>
      </c>
      <c r="C856" s="48" t="inlineStr">
        <is>
          <t>항공</t>
        </is>
      </c>
      <c r="D856" s="48" t="inlineStr">
        <is>
          <t>인천공항</t>
        </is>
      </c>
      <c r="E856" s="46" t="inlineStr">
        <is>
          <t>ICN</t>
        </is>
      </c>
      <c r="F856" s="48" t="inlineStr">
        <is>
          <t>프랑크푸르트공항</t>
        </is>
      </c>
      <c r="G856" s="46" t="inlineStr">
        <is>
          <t>FRA</t>
        </is>
      </c>
      <c r="H856" s="47" t="n">
        <v>45646</v>
      </c>
      <c r="I856" s="52" t="n">
        <v>45649</v>
      </c>
      <c r="J856" s="52" t="n">
        <v>45649</v>
      </c>
      <c r="K856" s="53" t="n">
        <v>295.98</v>
      </c>
    </row>
    <row r="857" ht="15" customHeight="1" s="32">
      <c r="A857" s="46" t="inlineStr">
        <is>
          <t>L-HB-0856</t>
        </is>
      </c>
      <c r="B857" s="46" t="inlineStr">
        <is>
          <t>R-HB-0856</t>
        </is>
      </c>
      <c r="C857" s="48" t="inlineStr">
        <is>
          <t>항공</t>
        </is>
      </c>
      <c r="D857" s="48" t="inlineStr">
        <is>
          <t>인천공항</t>
        </is>
      </c>
      <c r="E857" s="46" t="inlineStr">
        <is>
          <t>ICN</t>
        </is>
      </c>
      <c r="F857" s="48" t="inlineStr">
        <is>
          <t>델리공항</t>
        </is>
      </c>
      <c r="G857" s="46" t="inlineStr">
        <is>
          <t>DEL</t>
        </is>
      </c>
      <c r="H857" s="47" t="n">
        <v>45646</v>
      </c>
      <c r="I857" s="52" t="n">
        <v>45648</v>
      </c>
      <c r="J857" s="52" t="n">
        <v>45648</v>
      </c>
      <c r="K857" s="53" t="n">
        <v>135</v>
      </c>
    </row>
    <row r="858" ht="15" customHeight="1" s="32">
      <c r="A858" s="46" t="inlineStr">
        <is>
          <t>L-HB-0857</t>
        </is>
      </c>
      <c r="B858" s="46" t="inlineStr">
        <is>
          <t>R-HB-0857</t>
        </is>
      </c>
      <c r="C858" s="48" t="inlineStr">
        <is>
          <t>항공</t>
        </is>
      </c>
      <c r="D858" s="48" t="inlineStr">
        <is>
          <t>인천공항</t>
        </is>
      </c>
      <c r="E858" s="46" t="inlineStr">
        <is>
          <t>ICN</t>
        </is>
      </c>
      <c r="F858" s="48" t="inlineStr">
        <is>
          <t>선전공항</t>
        </is>
      </c>
      <c r="G858" s="46" t="inlineStr">
        <is>
          <t>SZX</t>
        </is>
      </c>
      <c r="H858" s="47" t="n">
        <v>45646</v>
      </c>
      <c r="I858" s="52" t="n">
        <v>45647</v>
      </c>
      <c r="J858" s="52" t="n">
        <v>45647</v>
      </c>
      <c r="K858" s="53" t="n">
        <v>136.23</v>
      </c>
    </row>
    <row r="859" ht="15" customHeight="1" s="32">
      <c r="A859" s="46" t="inlineStr">
        <is>
          <t>L-HB-0858</t>
        </is>
      </c>
      <c r="B859" s="46" t="inlineStr">
        <is>
          <t>R-HB-0858</t>
        </is>
      </c>
      <c r="C859" s="48" t="inlineStr">
        <is>
          <t>항공</t>
        </is>
      </c>
      <c r="D859" s="48" t="inlineStr">
        <is>
          <t>인천공항</t>
        </is>
      </c>
      <c r="E859" s="46" t="inlineStr">
        <is>
          <t>ICN</t>
        </is>
      </c>
      <c r="F859" s="48" t="inlineStr">
        <is>
          <t>과달라하라공항</t>
        </is>
      </c>
      <c r="G859" s="46" t="inlineStr">
        <is>
          <t>GDL</t>
        </is>
      </c>
      <c r="H859" s="47" t="n">
        <v>45649</v>
      </c>
      <c r="I859" s="52" t="n">
        <v>45653</v>
      </c>
      <c r="J859" s="52" t="n">
        <v>45653</v>
      </c>
      <c r="K859" s="53" t="n">
        <v>135</v>
      </c>
    </row>
    <row r="860" ht="15" customHeight="1" s="32">
      <c r="A860" s="46" t="inlineStr">
        <is>
          <t>L-HB-0859</t>
        </is>
      </c>
      <c r="B860" s="46" t="inlineStr">
        <is>
          <t>R-HB-0859</t>
        </is>
      </c>
      <c r="C860" s="48" t="inlineStr">
        <is>
          <t>항공</t>
        </is>
      </c>
      <c r="D860" s="48" t="inlineStr">
        <is>
          <t>인천공항</t>
        </is>
      </c>
      <c r="E860" s="46" t="inlineStr">
        <is>
          <t>ICN</t>
        </is>
      </c>
      <c r="F860" s="48" t="inlineStr">
        <is>
          <t>선전공항</t>
        </is>
      </c>
      <c r="G860" s="46" t="inlineStr">
        <is>
          <t>SZX</t>
        </is>
      </c>
      <c r="H860" s="47" t="n">
        <v>45649</v>
      </c>
      <c r="I860" s="52" t="n">
        <v>45650</v>
      </c>
      <c r="J860" s="52" t="n">
        <v>45650</v>
      </c>
      <c r="K860" s="53" t="n">
        <v>135</v>
      </c>
    </row>
    <row r="861" ht="15" customHeight="1" s="32">
      <c r="A861" s="46" t="inlineStr">
        <is>
          <t>L-HB-0860</t>
        </is>
      </c>
      <c r="B861" s="46" t="inlineStr">
        <is>
          <t>R-HB-0860</t>
        </is>
      </c>
      <c r="C861" s="48" t="inlineStr">
        <is>
          <t>항공</t>
        </is>
      </c>
      <c r="D861" s="48" t="inlineStr">
        <is>
          <t>인천공항</t>
        </is>
      </c>
      <c r="E861" s="46" t="inlineStr">
        <is>
          <t>ICN</t>
        </is>
      </c>
      <c r="F861" s="48" t="inlineStr">
        <is>
          <t>프랑크푸르트공항</t>
        </is>
      </c>
      <c r="G861" s="46" t="inlineStr">
        <is>
          <t>FRA</t>
        </is>
      </c>
      <c r="H861" s="47" t="n">
        <v>45650</v>
      </c>
      <c r="I861" s="52" t="n">
        <v>45653</v>
      </c>
      <c r="J861" s="52" t="n">
        <v>45653</v>
      </c>
      <c r="K861" s="53" t="n">
        <v>151.16</v>
      </c>
    </row>
    <row r="862" ht="15" customHeight="1" s="32">
      <c r="A862" s="46" t="inlineStr">
        <is>
          <t>L-HB-0861</t>
        </is>
      </c>
      <c r="B862" s="46" t="inlineStr">
        <is>
          <t>R-HB-0861</t>
        </is>
      </c>
      <c r="C862" s="48" t="inlineStr">
        <is>
          <t>항공</t>
        </is>
      </c>
      <c r="D862" s="48" t="inlineStr">
        <is>
          <t>인천공항</t>
        </is>
      </c>
      <c r="E862" s="46" t="inlineStr">
        <is>
          <t>ICN</t>
        </is>
      </c>
      <c r="F862" s="48" t="inlineStr">
        <is>
          <t>프랑크푸르트공항</t>
        </is>
      </c>
      <c r="G862" s="46" t="inlineStr">
        <is>
          <t>FRA</t>
        </is>
      </c>
      <c r="H862" s="47" t="n">
        <v>45651</v>
      </c>
      <c r="I862" s="52" t="n">
        <v>45654</v>
      </c>
      <c r="J862" s="52" t="n">
        <v>45653</v>
      </c>
      <c r="K862" s="53" t="n">
        <v>475.34</v>
      </c>
    </row>
    <row r="863" ht="15" customHeight="1" s="32">
      <c r="A863" s="46" t="inlineStr">
        <is>
          <t>L-HB-0862</t>
        </is>
      </c>
      <c r="B863" s="46" t="inlineStr">
        <is>
          <t>R-HB-0862</t>
        </is>
      </c>
      <c r="C863" s="48" t="inlineStr">
        <is>
          <t>해상</t>
        </is>
      </c>
      <c r="D863" s="48" t="inlineStr">
        <is>
          <t>부산항</t>
        </is>
      </c>
      <c r="E863" s="46" t="inlineStr">
        <is>
          <t>KRPUS</t>
        </is>
      </c>
      <c r="F863" s="48" t="inlineStr">
        <is>
          <t>상하이항</t>
        </is>
      </c>
      <c r="G863" s="46" t="inlineStr">
        <is>
          <t>CNSHA</t>
        </is>
      </c>
      <c r="H863" s="47" t="n">
        <v>45651</v>
      </c>
      <c r="I863" s="52" t="n">
        <v>45656</v>
      </c>
      <c r="J863" s="52" t="n">
        <v>45661</v>
      </c>
      <c r="K863" s="53" t="n">
        <v>530</v>
      </c>
    </row>
    <row r="864" ht="15" customHeight="1" s="32">
      <c r="A864" s="46" t="inlineStr">
        <is>
          <t>L-HB-0863</t>
        </is>
      </c>
      <c r="B864" s="46" t="inlineStr">
        <is>
          <t>R-HB-0863</t>
        </is>
      </c>
      <c r="C864" s="48" t="inlineStr">
        <is>
          <t>항공</t>
        </is>
      </c>
      <c r="D864" s="48" t="inlineStr">
        <is>
          <t>인천공항</t>
        </is>
      </c>
      <c r="E864" s="46" t="inlineStr">
        <is>
          <t>ICN</t>
        </is>
      </c>
      <c r="F864" s="48" t="inlineStr">
        <is>
          <t>로스앤젤레스공항</t>
        </is>
      </c>
      <c r="G864" s="46" t="inlineStr">
        <is>
          <t>LAX</t>
        </is>
      </c>
      <c r="H864" s="47" t="n">
        <v>45652</v>
      </c>
      <c r="I864" s="52" t="n">
        <v>45655</v>
      </c>
      <c r="J864" s="52" t="n">
        <v>45659</v>
      </c>
      <c r="K864" s="53" t="n">
        <v>286.47</v>
      </c>
    </row>
    <row r="865" ht="15" customHeight="1" s="32">
      <c r="A865" s="46" t="inlineStr">
        <is>
          <t>L-HB-0864</t>
        </is>
      </c>
      <c r="B865" s="46" t="inlineStr">
        <is>
          <t>R-HB-0864</t>
        </is>
      </c>
      <c r="C865" s="48" t="inlineStr">
        <is>
          <t>항공</t>
        </is>
      </c>
      <c r="D865" s="48" t="inlineStr">
        <is>
          <t>인천공항</t>
        </is>
      </c>
      <c r="E865" s="46" t="inlineStr">
        <is>
          <t>ICN</t>
        </is>
      </c>
      <c r="F865" s="48" t="inlineStr">
        <is>
          <t>시애틀공항</t>
        </is>
      </c>
      <c r="G865" s="46" t="inlineStr">
        <is>
          <t>SEA</t>
        </is>
      </c>
      <c r="H865" s="47" t="n">
        <v>45652</v>
      </c>
      <c r="I865" s="52" t="n">
        <v>45655</v>
      </c>
      <c r="J865" s="52" t="n">
        <v>45654</v>
      </c>
      <c r="K865" s="53" t="n">
        <v>176.86</v>
      </c>
    </row>
    <row r="866" ht="15" customHeight="1" s="32">
      <c r="A866" s="46" t="inlineStr">
        <is>
          <t>L-HB-0865</t>
        </is>
      </c>
      <c r="B866" s="46" t="inlineStr">
        <is>
          <t>R-HB-0865</t>
        </is>
      </c>
      <c r="C866" s="48" t="inlineStr">
        <is>
          <t>항공</t>
        </is>
      </c>
      <c r="D866" s="48" t="inlineStr">
        <is>
          <t>인천공항</t>
        </is>
      </c>
      <c r="E866" s="46" t="inlineStr">
        <is>
          <t>ICN</t>
        </is>
      </c>
      <c r="F866" s="48" t="inlineStr">
        <is>
          <t>과달라하라공항</t>
        </is>
      </c>
      <c r="G866" s="46" t="inlineStr">
        <is>
          <t>GDL</t>
        </is>
      </c>
      <c r="H866" s="47" t="n">
        <v>45660</v>
      </c>
      <c r="I866" s="52" t="n">
        <v>45663</v>
      </c>
      <c r="J866" s="52" t="n">
        <v>45666</v>
      </c>
      <c r="K866" s="53" t="n">
        <v>142.27</v>
      </c>
    </row>
    <row r="867" ht="15" customHeight="1" s="32">
      <c r="A867" s="46" t="inlineStr">
        <is>
          <t>L-HB-0866</t>
        </is>
      </c>
      <c r="B867" s="46" t="inlineStr">
        <is>
          <t>R-HB-0866</t>
        </is>
      </c>
      <c r="C867" s="48" t="inlineStr">
        <is>
          <t>항공</t>
        </is>
      </c>
      <c r="D867" s="48" t="inlineStr">
        <is>
          <t>인천공항</t>
        </is>
      </c>
      <c r="E867" s="46" t="inlineStr">
        <is>
          <t>ICN</t>
        </is>
      </c>
      <c r="F867" s="48" t="inlineStr">
        <is>
          <t>토론토공항</t>
        </is>
      </c>
      <c r="G867" s="46" t="inlineStr">
        <is>
          <t>YYZ</t>
        </is>
      </c>
      <c r="H867" s="47" t="n">
        <v>45660</v>
      </c>
      <c r="I867" s="52" t="n">
        <v>45663</v>
      </c>
      <c r="J867" s="52" t="n">
        <v>45663</v>
      </c>
      <c r="K867" s="53" t="n">
        <v>135</v>
      </c>
    </row>
    <row r="868" ht="15" customHeight="1" s="32">
      <c r="A868" s="46" t="inlineStr">
        <is>
          <t>L-HB-0867</t>
        </is>
      </c>
      <c r="B868" s="46" t="inlineStr">
        <is>
          <t>R-HB-0867</t>
        </is>
      </c>
      <c r="C868" s="48" t="inlineStr">
        <is>
          <t>항공</t>
        </is>
      </c>
      <c r="D868" s="48" t="inlineStr">
        <is>
          <t>인천공항</t>
        </is>
      </c>
      <c r="E868" s="46" t="inlineStr">
        <is>
          <t>ICN</t>
        </is>
      </c>
      <c r="F868" s="48" t="inlineStr">
        <is>
          <t>프랑크푸르트공항</t>
        </is>
      </c>
      <c r="G868" s="46" t="inlineStr">
        <is>
          <t>FRA</t>
        </is>
      </c>
      <c r="H868" s="47" t="n">
        <v>45660</v>
      </c>
      <c r="I868" s="52" t="n">
        <v>45663</v>
      </c>
      <c r="J868" s="52" t="n">
        <v>45663</v>
      </c>
      <c r="K868" s="53" t="n">
        <v>406.27</v>
      </c>
    </row>
    <row r="869" ht="15" customHeight="1" s="32">
      <c r="A869" s="46" t="inlineStr">
        <is>
          <t>L-HB-0868</t>
        </is>
      </c>
      <c r="B869" s="46" t="inlineStr">
        <is>
          <t>R-HB-0868</t>
        </is>
      </c>
      <c r="C869" s="48" t="inlineStr">
        <is>
          <t>항공</t>
        </is>
      </c>
      <c r="D869" s="48" t="inlineStr">
        <is>
          <t>인천공항</t>
        </is>
      </c>
      <c r="E869" s="46" t="inlineStr">
        <is>
          <t>ICN</t>
        </is>
      </c>
      <c r="F869" s="48" t="inlineStr">
        <is>
          <t>하노이공항</t>
        </is>
      </c>
      <c r="G869" s="46" t="inlineStr">
        <is>
          <t>HAN</t>
        </is>
      </c>
      <c r="H869" s="47" t="n">
        <v>45660</v>
      </c>
      <c r="I869" s="52" t="n">
        <v>45662</v>
      </c>
      <c r="J869" s="52" t="n">
        <v>45662</v>
      </c>
      <c r="K869" s="53" t="n">
        <v>298.02</v>
      </c>
    </row>
    <row r="870" ht="15" customHeight="1" s="32">
      <c r="A870" s="46" t="inlineStr">
        <is>
          <t>L-HB-0869</t>
        </is>
      </c>
      <c r="B870" s="46" t="inlineStr">
        <is>
          <t>R-HB-0869</t>
        </is>
      </c>
      <c r="C870" s="48" t="inlineStr">
        <is>
          <t>항공</t>
        </is>
      </c>
      <c r="D870" s="48" t="inlineStr">
        <is>
          <t>인천공항</t>
        </is>
      </c>
      <c r="E870" s="46" t="inlineStr">
        <is>
          <t>ICN</t>
        </is>
      </c>
      <c r="F870" s="48" t="inlineStr">
        <is>
          <t>델리공항</t>
        </is>
      </c>
      <c r="G870" s="46" t="inlineStr">
        <is>
          <t>DEL</t>
        </is>
      </c>
      <c r="H870" s="47" t="n">
        <v>45660</v>
      </c>
      <c r="I870" s="52" t="n">
        <v>45663</v>
      </c>
      <c r="J870" s="52" t="n">
        <v>45663</v>
      </c>
      <c r="K870" s="53" t="n">
        <v>135</v>
      </c>
    </row>
    <row r="871" ht="15" customHeight="1" s="32">
      <c r="A871" s="46" t="inlineStr">
        <is>
          <t>L-HB-0870</t>
        </is>
      </c>
      <c r="B871" s="46" t="inlineStr">
        <is>
          <t>R-HB-0870</t>
        </is>
      </c>
      <c r="C871" s="48" t="inlineStr">
        <is>
          <t>항공</t>
        </is>
      </c>
      <c r="D871" s="48" t="inlineStr">
        <is>
          <t>인천공항</t>
        </is>
      </c>
      <c r="E871" s="46" t="inlineStr">
        <is>
          <t>ICN</t>
        </is>
      </c>
      <c r="F871" s="48" t="inlineStr">
        <is>
          <t>충칭공항</t>
        </is>
      </c>
      <c r="G871" s="46" t="inlineStr">
        <is>
          <t>CKG</t>
        </is>
      </c>
      <c r="H871" s="47" t="n">
        <v>45662</v>
      </c>
      <c r="I871" s="52" t="n">
        <v>45663</v>
      </c>
      <c r="J871" s="52" t="n">
        <v>45663</v>
      </c>
      <c r="K871" s="53" t="n">
        <v>135</v>
      </c>
    </row>
    <row r="872" ht="15" customHeight="1" s="32">
      <c r="A872" s="46" t="inlineStr">
        <is>
          <t>L-HB-0871</t>
        </is>
      </c>
      <c r="B872" s="46" t="inlineStr">
        <is>
          <t>R-HB-0871</t>
        </is>
      </c>
      <c r="C872" s="48" t="inlineStr">
        <is>
          <t>해상</t>
        </is>
      </c>
      <c r="D872" s="48" t="inlineStr">
        <is>
          <t>부산항</t>
        </is>
      </c>
      <c r="E872" s="46" t="inlineStr">
        <is>
          <t>KRPUS</t>
        </is>
      </c>
      <c r="F872" s="48" t="inlineStr">
        <is>
          <t>서커우항</t>
        </is>
      </c>
      <c r="G872" s="46" t="inlineStr">
        <is>
          <t>CNSHK</t>
        </is>
      </c>
      <c r="H872" s="47" t="n">
        <v>45663</v>
      </c>
      <c r="I872" s="52" t="n">
        <v>45668</v>
      </c>
      <c r="J872" s="52" t="n">
        <v>45667</v>
      </c>
      <c r="K872" s="53" t="n">
        <v>530</v>
      </c>
    </row>
    <row r="873" ht="15" customHeight="1" s="32">
      <c r="A873" s="46" t="inlineStr">
        <is>
          <t>L-HB-0872</t>
        </is>
      </c>
      <c r="B873" s="46" t="inlineStr">
        <is>
          <t>R-HB-0872</t>
        </is>
      </c>
      <c r="C873" s="48" t="inlineStr">
        <is>
          <t>항공</t>
        </is>
      </c>
      <c r="D873" s="48" t="inlineStr">
        <is>
          <t>인천공항</t>
        </is>
      </c>
      <c r="E873" s="46" t="inlineStr">
        <is>
          <t>ICN</t>
        </is>
      </c>
      <c r="F873" s="48" t="inlineStr">
        <is>
          <t>선전공항</t>
        </is>
      </c>
      <c r="G873" s="46" t="inlineStr">
        <is>
          <t>SZX</t>
        </is>
      </c>
      <c r="H873" s="47" t="n">
        <v>45664</v>
      </c>
      <c r="I873" s="52" t="n">
        <v>45665</v>
      </c>
      <c r="J873" s="52" t="n">
        <v>45665</v>
      </c>
      <c r="K873" s="53" t="n">
        <v>436.98</v>
      </c>
    </row>
    <row r="874" ht="15" customHeight="1" s="32">
      <c r="A874" s="46" t="inlineStr">
        <is>
          <t>L-HB-0873</t>
        </is>
      </c>
      <c r="B874" s="46" t="inlineStr">
        <is>
          <t>R-HB-0873</t>
        </is>
      </c>
      <c r="C874" s="48" t="inlineStr">
        <is>
          <t>항공</t>
        </is>
      </c>
      <c r="D874" s="48" t="inlineStr">
        <is>
          <t>인천공항</t>
        </is>
      </c>
      <c r="E874" s="46" t="inlineStr">
        <is>
          <t>ICN</t>
        </is>
      </c>
      <c r="F874" s="48" t="inlineStr">
        <is>
          <t>선전공항</t>
        </is>
      </c>
      <c r="G874" s="46" t="inlineStr">
        <is>
          <t>SZX</t>
        </is>
      </c>
      <c r="H874" s="47" t="n">
        <v>45665</v>
      </c>
      <c r="I874" s="52" t="n">
        <v>45668</v>
      </c>
      <c r="J874" s="52" t="n">
        <v>45668</v>
      </c>
      <c r="K874" s="53" t="n">
        <v>135</v>
      </c>
    </row>
    <row r="875" ht="15" customHeight="1" s="32">
      <c r="A875" s="46" t="inlineStr">
        <is>
          <t>L-HB-0874</t>
        </is>
      </c>
      <c r="B875" s="46" t="inlineStr">
        <is>
          <t>R-HB-0874</t>
        </is>
      </c>
      <c r="C875" s="48" t="inlineStr">
        <is>
          <t>항공</t>
        </is>
      </c>
      <c r="D875" s="48" t="inlineStr">
        <is>
          <t>인천공항</t>
        </is>
      </c>
      <c r="E875" s="46" t="inlineStr">
        <is>
          <t>ICN</t>
        </is>
      </c>
      <c r="F875" s="48" t="inlineStr">
        <is>
          <t>과달라하라공항</t>
        </is>
      </c>
      <c r="G875" s="46" t="inlineStr">
        <is>
          <t>GDL</t>
        </is>
      </c>
      <c r="H875" s="47" t="n">
        <v>45666</v>
      </c>
      <c r="I875" s="52" t="n">
        <v>45670</v>
      </c>
      <c r="J875" s="52" t="n">
        <v>45670</v>
      </c>
      <c r="K875" s="53" t="n">
        <v>135</v>
      </c>
    </row>
    <row r="876" ht="15" customHeight="1" s="32">
      <c r="A876" s="46" t="inlineStr">
        <is>
          <t>L-HB-0875</t>
        </is>
      </c>
      <c r="B876" s="46" t="inlineStr">
        <is>
          <t>R-HB-0875</t>
        </is>
      </c>
      <c r="C876" s="48" t="inlineStr">
        <is>
          <t>항공</t>
        </is>
      </c>
      <c r="D876" s="48" t="inlineStr">
        <is>
          <t>인천공항</t>
        </is>
      </c>
      <c r="E876" s="46" t="inlineStr">
        <is>
          <t>ICN</t>
        </is>
      </c>
      <c r="F876" s="48" t="inlineStr">
        <is>
          <t>로스앤젤레스공항</t>
        </is>
      </c>
      <c r="G876" s="46" t="inlineStr">
        <is>
          <t>LAX</t>
        </is>
      </c>
      <c r="H876" s="47" t="n">
        <v>45667</v>
      </c>
      <c r="I876" s="52" t="n">
        <v>45669</v>
      </c>
      <c r="J876" s="52" t="n">
        <v>45669</v>
      </c>
      <c r="K876" s="53" t="n">
        <v>138.97</v>
      </c>
    </row>
    <row r="877" ht="15" customHeight="1" s="32">
      <c r="A877" s="46" t="inlineStr">
        <is>
          <t>L-HB-0876</t>
        </is>
      </c>
      <c r="B877" s="46" t="inlineStr">
        <is>
          <t>R-HB-0876</t>
        </is>
      </c>
      <c r="C877" s="48" t="inlineStr">
        <is>
          <t>항공</t>
        </is>
      </c>
      <c r="D877" s="48" t="inlineStr">
        <is>
          <t>인천공항</t>
        </is>
      </c>
      <c r="E877" s="46" t="inlineStr">
        <is>
          <t>ICN</t>
        </is>
      </c>
      <c r="F877" s="48" t="inlineStr">
        <is>
          <t>델리공항</t>
        </is>
      </c>
      <c r="G877" s="46" t="inlineStr">
        <is>
          <t>DEL</t>
        </is>
      </c>
      <c r="H877" s="47" t="n">
        <v>45667</v>
      </c>
      <c r="I877" s="52" t="n">
        <v>45671</v>
      </c>
      <c r="J877" s="52" t="n">
        <v>45671</v>
      </c>
      <c r="K877" s="53" t="n">
        <v>135</v>
      </c>
    </row>
    <row r="878" ht="15" customHeight="1" s="32">
      <c r="A878" s="46" t="inlineStr">
        <is>
          <t>L-HB-0877</t>
        </is>
      </c>
      <c r="B878" s="46" t="inlineStr">
        <is>
          <t>R-HB-0877</t>
        </is>
      </c>
      <c r="C878" s="48" t="inlineStr">
        <is>
          <t>항공</t>
        </is>
      </c>
      <c r="D878" s="48" t="inlineStr">
        <is>
          <t>인천공항</t>
        </is>
      </c>
      <c r="E878" s="46" t="inlineStr">
        <is>
          <t>ICN</t>
        </is>
      </c>
      <c r="F878" s="48" t="inlineStr">
        <is>
          <t>충칭공항</t>
        </is>
      </c>
      <c r="G878" s="46" t="inlineStr">
        <is>
          <t>CKG</t>
        </is>
      </c>
      <c r="H878" s="47" t="n">
        <v>45667</v>
      </c>
      <c r="I878" s="52" t="n">
        <v>45670</v>
      </c>
      <c r="J878" s="52" t="n">
        <v>45670</v>
      </c>
      <c r="K878" s="53" t="n">
        <v>270.3</v>
      </c>
    </row>
    <row r="879" ht="15" customHeight="1" s="32">
      <c r="A879" s="46" t="inlineStr">
        <is>
          <t>L-HB-0878</t>
        </is>
      </c>
      <c r="B879" s="46" t="inlineStr">
        <is>
          <t>R-HB-0878</t>
        </is>
      </c>
      <c r="C879" s="48" t="inlineStr">
        <is>
          <t>항공</t>
        </is>
      </c>
      <c r="D879" s="48" t="inlineStr">
        <is>
          <t>인천공항</t>
        </is>
      </c>
      <c r="E879" s="46" t="inlineStr">
        <is>
          <t>ICN</t>
        </is>
      </c>
      <c r="F879" s="48" t="inlineStr">
        <is>
          <t>충칭공항</t>
        </is>
      </c>
      <c r="G879" s="46" t="inlineStr">
        <is>
          <t>CKG</t>
        </is>
      </c>
      <c r="H879" s="47" t="n">
        <v>45668</v>
      </c>
      <c r="I879" s="52" t="n">
        <v>45671</v>
      </c>
      <c r="J879" s="52" t="n">
        <v>45671</v>
      </c>
      <c r="K879" s="53" t="n">
        <v>135</v>
      </c>
    </row>
    <row r="880" ht="15" customHeight="1" s="32">
      <c r="A880" s="46" t="inlineStr">
        <is>
          <t>L-HB-0879</t>
        </is>
      </c>
      <c r="B880" s="46" t="inlineStr">
        <is>
          <t>R-HB-0879</t>
        </is>
      </c>
      <c r="C880" s="48" t="inlineStr">
        <is>
          <t>항공</t>
        </is>
      </c>
      <c r="D880" s="48" t="inlineStr">
        <is>
          <t>인천공항</t>
        </is>
      </c>
      <c r="E880" s="46" t="inlineStr">
        <is>
          <t>ICN</t>
        </is>
      </c>
      <c r="F880" s="48" t="inlineStr">
        <is>
          <t>과달라하라공항</t>
        </is>
      </c>
      <c r="G880" s="46" t="inlineStr">
        <is>
          <t>GDL</t>
        </is>
      </c>
      <c r="H880" s="47" t="n">
        <v>45669</v>
      </c>
      <c r="I880" s="52" t="n">
        <v>45673</v>
      </c>
      <c r="J880" s="52" t="n">
        <v>45673</v>
      </c>
      <c r="K880" s="53" t="n">
        <v>135</v>
      </c>
    </row>
    <row r="881" ht="15" customHeight="1" s="32">
      <c r="A881" s="46" t="inlineStr">
        <is>
          <t>L-HB-0880</t>
        </is>
      </c>
      <c r="B881" s="46" t="inlineStr">
        <is>
          <t>R-HB-0880</t>
        </is>
      </c>
      <c r="C881" s="48" t="inlineStr">
        <is>
          <t>항공</t>
        </is>
      </c>
      <c r="D881" s="48" t="inlineStr">
        <is>
          <t>인천공항</t>
        </is>
      </c>
      <c r="E881" s="46" t="inlineStr">
        <is>
          <t>ICN</t>
        </is>
      </c>
      <c r="F881" s="48" t="inlineStr">
        <is>
          <t>프랑크푸르트공항</t>
        </is>
      </c>
      <c r="G881" s="46" t="inlineStr">
        <is>
          <t>FRA</t>
        </is>
      </c>
      <c r="H881" s="47" t="n">
        <v>45670</v>
      </c>
      <c r="I881" s="52" t="n">
        <v>45674</v>
      </c>
      <c r="J881" s="52" t="n">
        <v>45674</v>
      </c>
      <c r="K881" s="53" t="n">
        <v>135</v>
      </c>
    </row>
    <row r="882" ht="15" customHeight="1" s="32">
      <c r="A882" s="46" t="inlineStr">
        <is>
          <t>L-HB-0881</t>
        </is>
      </c>
      <c r="B882" s="46" t="inlineStr">
        <is>
          <t>R-HB-0881</t>
        </is>
      </c>
      <c r="C882" s="48" t="inlineStr">
        <is>
          <t>항공</t>
        </is>
      </c>
      <c r="D882" s="48" t="inlineStr">
        <is>
          <t>인천공항</t>
        </is>
      </c>
      <c r="E882" s="46" t="inlineStr">
        <is>
          <t>ICN</t>
        </is>
      </c>
      <c r="F882" s="48" t="inlineStr">
        <is>
          <t>로스앤젤레스공항</t>
        </is>
      </c>
      <c r="G882" s="46" t="inlineStr">
        <is>
          <t>LAX</t>
        </is>
      </c>
      <c r="H882" s="47" t="n">
        <v>45671</v>
      </c>
      <c r="I882" s="52" t="n">
        <v>45673</v>
      </c>
      <c r="J882" s="52" t="n">
        <v>45672</v>
      </c>
      <c r="K882" s="53" t="n">
        <v>544.58</v>
      </c>
    </row>
    <row r="883" ht="15" customHeight="1" s="32">
      <c r="A883" s="46" t="inlineStr">
        <is>
          <t>L-HB-0882</t>
        </is>
      </c>
      <c r="B883" s="46" t="inlineStr">
        <is>
          <t>R-HB-0882</t>
        </is>
      </c>
      <c r="C883" s="48" t="inlineStr">
        <is>
          <t>항공</t>
        </is>
      </c>
      <c r="D883" s="48" t="inlineStr">
        <is>
          <t>인천공항</t>
        </is>
      </c>
      <c r="E883" s="46" t="inlineStr">
        <is>
          <t>ICN</t>
        </is>
      </c>
      <c r="F883" s="48" t="inlineStr">
        <is>
          <t>토론토공항</t>
        </is>
      </c>
      <c r="G883" s="46" t="inlineStr">
        <is>
          <t>YYZ</t>
        </is>
      </c>
      <c r="H883" s="47" t="n">
        <v>45673</v>
      </c>
      <c r="I883" s="52" t="n">
        <v>45677</v>
      </c>
      <c r="J883" s="52" t="n">
        <v>45677</v>
      </c>
      <c r="K883" s="53" t="n">
        <v>135</v>
      </c>
    </row>
    <row r="884" ht="15" customHeight="1" s="32">
      <c r="A884" s="46" t="inlineStr">
        <is>
          <t>L-HB-0883</t>
        </is>
      </c>
      <c r="B884" s="46" t="inlineStr">
        <is>
          <t>R-HB-0883</t>
        </is>
      </c>
      <c r="C884" s="48" t="inlineStr">
        <is>
          <t>항공</t>
        </is>
      </c>
      <c r="D884" s="48" t="inlineStr">
        <is>
          <t>인천공항</t>
        </is>
      </c>
      <c r="E884" s="46" t="inlineStr">
        <is>
          <t>ICN</t>
        </is>
      </c>
      <c r="F884" s="48" t="inlineStr">
        <is>
          <t>프랑크푸르트공항</t>
        </is>
      </c>
      <c r="G884" s="46" t="inlineStr">
        <is>
          <t>FRA</t>
        </is>
      </c>
      <c r="H884" s="47" t="n">
        <v>45676</v>
      </c>
      <c r="I884" s="52" t="n">
        <v>45680</v>
      </c>
      <c r="J884" s="52" t="n">
        <v>45680</v>
      </c>
      <c r="K884" s="53" t="n">
        <v>214.25</v>
      </c>
    </row>
    <row r="885" ht="15" customHeight="1" s="32">
      <c r="A885" s="46" t="inlineStr">
        <is>
          <t>L-HB-0884</t>
        </is>
      </c>
      <c r="B885" s="46" t="inlineStr">
        <is>
          <t>R-HB-0884</t>
        </is>
      </c>
      <c r="C885" s="48" t="inlineStr">
        <is>
          <t>항공</t>
        </is>
      </c>
      <c r="D885" s="48" t="inlineStr">
        <is>
          <t>인천공항</t>
        </is>
      </c>
      <c r="E885" s="46" t="inlineStr">
        <is>
          <t>ICN</t>
        </is>
      </c>
      <c r="F885" s="48" t="inlineStr">
        <is>
          <t>시애틀공항</t>
        </is>
      </c>
      <c r="G885" s="46" t="inlineStr">
        <is>
          <t>SEA</t>
        </is>
      </c>
      <c r="H885" s="47" t="n">
        <v>45678</v>
      </c>
      <c r="I885" s="52" t="n">
        <v>45681</v>
      </c>
      <c r="J885" s="52" t="n">
        <v>45683</v>
      </c>
      <c r="K885" s="53" t="n">
        <v>135</v>
      </c>
    </row>
    <row r="886" ht="15" customHeight="1" s="32">
      <c r="A886" s="46" t="inlineStr">
        <is>
          <t>L-HB-0885</t>
        </is>
      </c>
      <c r="B886" s="46" t="inlineStr">
        <is>
          <t>R-HB-0885</t>
        </is>
      </c>
      <c r="C886" s="48" t="inlineStr">
        <is>
          <t>항공</t>
        </is>
      </c>
      <c r="D886" s="48" t="inlineStr">
        <is>
          <t>인천공항</t>
        </is>
      </c>
      <c r="E886" s="46" t="inlineStr">
        <is>
          <t>ICN</t>
        </is>
      </c>
      <c r="F886" s="48" t="inlineStr">
        <is>
          <t>프랑크푸르트공항</t>
        </is>
      </c>
      <c r="G886" s="46" t="inlineStr">
        <is>
          <t>FRA</t>
        </is>
      </c>
      <c r="H886" s="47" t="n">
        <v>45678</v>
      </c>
      <c r="I886" s="52" t="n">
        <v>45682</v>
      </c>
      <c r="J886" s="52" t="n">
        <v>45684</v>
      </c>
      <c r="K886" s="53" t="n">
        <v>135</v>
      </c>
    </row>
    <row r="887" ht="15" customHeight="1" s="32">
      <c r="A887" s="46" t="inlineStr">
        <is>
          <t>L-HB-0886</t>
        </is>
      </c>
      <c r="B887" s="46" t="inlineStr">
        <is>
          <t>R-HB-0886</t>
        </is>
      </c>
      <c r="C887" s="48" t="inlineStr">
        <is>
          <t>해상</t>
        </is>
      </c>
      <c r="D887" s="48" t="inlineStr">
        <is>
          <t>부산항</t>
        </is>
      </c>
      <c r="E887" s="46" t="inlineStr">
        <is>
          <t>KRPUS</t>
        </is>
      </c>
      <c r="F887" s="48" t="inlineStr">
        <is>
          <t>하이퐁항</t>
        </is>
      </c>
      <c r="G887" s="46" t="inlineStr">
        <is>
          <t>VNHPH</t>
        </is>
      </c>
      <c r="H887" s="47" t="n">
        <v>45678</v>
      </c>
      <c r="I887" s="52" t="n">
        <v>45686</v>
      </c>
      <c r="J887" s="52" t="n">
        <v>45693</v>
      </c>
      <c r="K887" s="53" t="n">
        <v>530</v>
      </c>
    </row>
    <row r="888" ht="15" customHeight="1" s="32">
      <c r="A888" s="46" t="inlineStr">
        <is>
          <t>L-HB-0887</t>
        </is>
      </c>
      <c r="B888" s="46" t="inlineStr">
        <is>
          <t>R-HB-0887</t>
        </is>
      </c>
      <c r="C888" s="48" t="inlineStr">
        <is>
          <t>항공</t>
        </is>
      </c>
      <c r="D888" s="48" t="inlineStr">
        <is>
          <t>인천공항</t>
        </is>
      </c>
      <c r="E888" s="46" t="inlineStr">
        <is>
          <t>ICN</t>
        </is>
      </c>
      <c r="F888" s="48" t="inlineStr">
        <is>
          <t>선전공항</t>
        </is>
      </c>
      <c r="G888" s="46" t="inlineStr">
        <is>
          <t>SZX</t>
        </is>
      </c>
      <c r="H888" s="47" t="n">
        <v>45678</v>
      </c>
      <c r="I888" s="52" t="n">
        <v>45680</v>
      </c>
      <c r="J888" s="52" t="n">
        <v>45680</v>
      </c>
      <c r="K888" s="53" t="n">
        <v>135</v>
      </c>
    </row>
    <row r="889" ht="15" customHeight="1" s="32">
      <c r="A889" s="46" t="inlineStr">
        <is>
          <t>L-HB-0888</t>
        </is>
      </c>
      <c r="B889" s="46" t="inlineStr">
        <is>
          <t>R-HB-0888</t>
        </is>
      </c>
      <c r="C889" s="48" t="inlineStr">
        <is>
          <t>항공</t>
        </is>
      </c>
      <c r="D889" s="48" t="inlineStr">
        <is>
          <t>인천공항</t>
        </is>
      </c>
      <c r="E889" s="46" t="inlineStr">
        <is>
          <t>ICN</t>
        </is>
      </c>
      <c r="F889" s="48" t="inlineStr">
        <is>
          <t>로스앤젤레스공항</t>
        </is>
      </c>
      <c r="G889" s="46" t="inlineStr">
        <is>
          <t>LAX</t>
        </is>
      </c>
      <c r="H889" s="47" t="n">
        <v>45679</v>
      </c>
      <c r="I889" s="52" t="n">
        <v>45681</v>
      </c>
      <c r="J889" s="52" t="n">
        <v>45681</v>
      </c>
      <c r="K889" s="53" t="n">
        <v>135</v>
      </c>
    </row>
    <row r="890" ht="15" customHeight="1" s="32">
      <c r="A890" s="46" t="inlineStr">
        <is>
          <t>L-HB-0889</t>
        </is>
      </c>
      <c r="B890" s="46" t="inlineStr">
        <is>
          <t>R-HB-0889</t>
        </is>
      </c>
      <c r="C890" s="48" t="inlineStr">
        <is>
          <t>항공</t>
        </is>
      </c>
      <c r="D890" s="48" t="inlineStr">
        <is>
          <t>인천공항</t>
        </is>
      </c>
      <c r="E890" s="46" t="inlineStr">
        <is>
          <t>ICN</t>
        </is>
      </c>
      <c r="F890" s="48" t="inlineStr">
        <is>
          <t>로스앤젤레스공항</t>
        </is>
      </c>
      <c r="G890" s="46" t="inlineStr">
        <is>
          <t>LAX</t>
        </is>
      </c>
      <c r="H890" s="47" t="n">
        <v>45679</v>
      </c>
      <c r="I890" s="52" t="n">
        <v>45682</v>
      </c>
      <c r="J890" s="52" t="n">
        <v>45682</v>
      </c>
      <c r="K890" s="53" t="n">
        <v>224.89</v>
      </c>
    </row>
    <row r="891" ht="15" customHeight="1" s="32">
      <c r="A891" s="46" t="inlineStr">
        <is>
          <t>L-HB-0890</t>
        </is>
      </c>
      <c r="B891" s="46" t="inlineStr">
        <is>
          <t>R-HB-0890</t>
        </is>
      </c>
      <c r="C891" s="48" t="inlineStr">
        <is>
          <t>항공</t>
        </is>
      </c>
      <c r="D891" s="48" t="inlineStr">
        <is>
          <t>인천공항</t>
        </is>
      </c>
      <c r="E891" s="46" t="inlineStr">
        <is>
          <t>ICN</t>
        </is>
      </c>
      <c r="F891" s="48" t="inlineStr">
        <is>
          <t>시애틀공항</t>
        </is>
      </c>
      <c r="G891" s="46" t="inlineStr">
        <is>
          <t>SEA</t>
        </is>
      </c>
      <c r="H891" s="47" t="n">
        <v>45679</v>
      </c>
      <c r="I891" s="52" t="n">
        <v>45682</v>
      </c>
      <c r="J891" s="52" t="n">
        <v>45682</v>
      </c>
      <c r="K891" s="53" t="n">
        <v>135</v>
      </c>
    </row>
    <row r="892" ht="15" customHeight="1" s="32">
      <c r="A892" s="46" t="inlineStr">
        <is>
          <t>L-HB-0891</t>
        </is>
      </c>
      <c r="B892" s="46" t="inlineStr">
        <is>
          <t>R-HB-0891</t>
        </is>
      </c>
      <c r="C892" s="48" t="inlineStr">
        <is>
          <t>항공</t>
        </is>
      </c>
      <c r="D892" s="48" t="inlineStr">
        <is>
          <t>인천공항</t>
        </is>
      </c>
      <c r="E892" s="46" t="inlineStr">
        <is>
          <t>ICN</t>
        </is>
      </c>
      <c r="F892" s="48" t="inlineStr">
        <is>
          <t>과달라하라공항</t>
        </is>
      </c>
      <c r="G892" s="46" t="inlineStr">
        <is>
          <t>GDL</t>
        </is>
      </c>
      <c r="H892" s="47" t="n">
        <v>45679</v>
      </c>
      <c r="I892" s="52" t="n">
        <v>45684</v>
      </c>
      <c r="J892" s="52" t="n">
        <v>45683</v>
      </c>
      <c r="K892" s="53" t="n">
        <v>135</v>
      </c>
    </row>
    <row r="893" ht="15" customHeight="1" s="32">
      <c r="A893" s="46" t="inlineStr">
        <is>
          <t>L-HB-0892</t>
        </is>
      </c>
      <c r="B893" s="46" t="inlineStr">
        <is>
          <t>R-HB-0892</t>
        </is>
      </c>
      <c r="C893" s="48" t="inlineStr">
        <is>
          <t>항공</t>
        </is>
      </c>
      <c r="D893" s="48" t="inlineStr">
        <is>
          <t>인천공항</t>
        </is>
      </c>
      <c r="E893" s="46" t="inlineStr">
        <is>
          <t>ICN</t>
        </is>
      </c>
      <c r="F893" s="48" t="inlineStr">
        <is>
          <t>하노이공항</t>
        </is>
      </c>
      <c r="G893" s="46" t="inlineStr">
        <is>
          <t>HAN</t>
        </is>
      </c>
      <c r="H893" s="47" t="n">
        <v>45679</v>
      </c>
      <c r="I893" s="52" t="n">
        <v>45681</v>
      </c>
      <c r="J893" s="52" t="n">
        <v>45681</v>
      </c>
      <c r="K893" s="53" t="n">
        <v>135</v>
      </c>
    </row>
    <row r="894" ht="15" customHeight="1" s="32">
      <c r="A894" s="46" t="inlineStr">
        <is>
          <t>L-HB-0893</t>
        </is>
      </c>
      <c r="B894" s="46" t="inlineStr">
        <is>
          <t>R-HB-0893</t>
        </is>
      </c>
      <c r="C894" s="48" t="inlineStr">
        <is>
          <t>해상</t>
        </is>
      </c>
      <c r="D894" s="48" t="inlineStr">
        <is>
          <t>부산항</t>
        </is>
      </c>
      <c r="E894" s="46" t="inlineStr">
        <is>
          <t>KRPUS</t>
        </is>
      </c>
      <c r="F894" s="48" t="inlineStr">
        <is>
          <t>상하이항</t>
        </is>
      </c>
      <c r="G894" s="46" t="inlineStr">
        <is>
          <t>CNSHA</t>
        </is>
      </c>
      <c r="H894" s="47" t="n">
        <v>45679</v>
      </c>
      <c r="I894" s="52" t="n">
        <v>45684</v>
      </c>
      <c r="J894" s="52" t="n">
        <v>45684</v>
      </c>
      <c r="K894" s="53" t="n">
        <v>530</v>
      </c>
    </row>
    <row r="895" ht="15" customHeight="1" s="32">
      <c r="A895" s="46" t="inlineStr">
        <is>
          <t>L-HB-0894</t>
        </is>
      </c>
      <c r="B895" s="46" t="inlineStr">
        <is>
          <t>R-HB-0894</t>
        </is>
      </c>
      <c r="C895" s="48" t="inlineStr">
        <is>
          <t>항공</t>
        </is>
      </c>
      <c r="D895" s="48" t="inlineStr">
        <is>
          <t>인천공항</t>
        </is>
      </c>
      <c r="E895" s="46" t="inlineStr">
        <is>
          <t>ICN</t>
        </is>
      </c>
      <c r="F895" s="48" t="inlineStr">
        <is>
          <t>델리공항</t>
        </is>
      </c>
      <c r="G895" s="46" t="inlineStr">
        <is>
          <t>DEL</t>
        </is>
      </c>
      <c r="H895" s="47" t="n">
        <v>45680</v>
      </c>
      <c r="I895" s="52" t="n">
        <v>45682</v>
      </c>
      <c r="J895" s="52" t="n">
        <v>45682</v>
      </c>
      <c r="K895" s="53" t="n">
        <v>224.43</v>
      </c>
    </row>
    <row r="896" ht="15" customHeight="1" s="32">
      <c r="A896" s="46" t="inlineStr">
        <is>
          <t>L-HB-0895</t>
        </is>
      </c>
      <c r="B896" s="46" t="inlineStr">
        <is>
          <t>R-HB-0895</t>
        </is>
      </c>
      <c r="C896" s="48" t="inlineStr">
        <is>
          <t>항공</t>
        </is>
      </c>
      <c r="D896" s="48" t="inlineStr">
        <is>
          <t>인천공항</t>
        </is>
      </c>
      <c r="E896" s="46" t="inlineStr">
        <is>
          <t>ICN</t>
        </is>
      </c>
      <c r="F896" s="48" t="inlineStr">
        <is>
          <t>시애틀공항</t>
        </is>
      </c>
      <c r="G896" s="46" t="inlineStr">
        <is>
          <t>SEA</t>
        </is>
      </c>
      <c r="H896" s="47" t="n">
        <v>45681</v>
      </c>
      <c r="I896" s="52" t="n">
        <v>45684</v>
      </c>
      <c r="J896" s="52" t="n">
        <v>45684</v>
      </c>
      <c r="K896" s="53" t="n">
        <v>255.48</v>
      </c>
    </row>
    <row r="897" ht="15" customHeight="1" s="32">
      <c r="A897" s="46" t="inlineStr">
        <is>
          <t>L-HB-0896</t>
        </is>
      </c>
      <c r="B897" s="46" t="inlineStr">
        <is>
          <t>R-HB-0896</t>
        </is>
      </c>
      <c r="C897" s="48" t="inlineStr">
        <is>
          <t>항공</t>
        </is>
      </c>
      <c r="D897" s="48" t="inlineStr">
        <is>
          <t>인천공항</t>
        </is>
      </c>
      <c r="E897" s="46" t="inlineStr">
        <is>
          <t>ICN</t>
        </is>
      </c>
      <c r="F897" s="48" t="inlineStr">
        <is>
          <t>토론토공항</t>
        </is>
      </c>
      <c r="G897" s="46" t="inlineStr">
        <is>
          <t>YYZ</t>
        </is>
      </c>
      <c r="H897" s="47" t="n">
        <v>45682</v>
      </c>
      <c r="I897" s="52" t="n">
        <v>45686</v>
      </c>
      <c r="J897" s="52" t="n">
        <v>45686</v>
      </c>
      <c r="K897" s="53" t="n">
        <v>135</v>
      </c>
    </row>
    <row r="898" ht="15" customHeight="1" s="32">
      <c r="A898" s="46" t="inlineStr">
        <is>
          <t>L-HB-0897</t>
        </is>
      </c>
      <c r="B898" s="46" t="inlineStr">
        <is>
          <t>R-HB-0897</t>
        </is>
      </c>
      <c r="C898" s="48" t="inlineStr">
        <is>
          <t>항공</t>
        </is>
      </c>
      <c r="D898" s="48" t="inlineStr">
        <is>
          <t>인천공항</t>
        </is>
      </c>
      <c r="E898" s="46" t="inlineStr">
        <is>
          <t>ICN</t>
        </is>
      </c>
      <c r="F898" s="48" t="inlineStr">
        <is>
          <t>시애틀공항</t>
        </is>
      </c>
      <c r="G898" s="46" t="inlineStr">
        <is>
          <t>SEA</t>
        </is>
      </c>
      <c r="H898" s="47" t="n">
        <v>45683</v>
      </c>
      <c r="I898" s="52" t="n">
        <v>45687</v>
      </c>
      <c r="J898" s="52" t="n">
        <v>45688</v>
      </c>
      <c r="K898" s="53" t="n">
        <v>135</v>
      </c>
    </row>
    <row r="899" ht="15" customHeight="1" s="32">
      <c r="A899" s="46" t="inlineStr">
        <is>
          <t>L-HB-0898</t>
        </is>
      </c>
      <c r="B899" s="46" t="inlineStr">
        <is>
          <t>R-HB-0898</t>
        </is>
      </c>
      <c r="C899" s="48" t="inlineStr">
        <is>
          <t>항공</t>
        </is>
      </c>
      <c r="D899" s="48" t="inlineStr">
        <is>
          <t>인천공항</t>
        </is>
      </c>
      <c r="E899" s="46" t="inlineStr">
        <is>
          <t>ICN</t>
        </is>
      </c>
      <c r="F899" s="48" t="inlineStr">
        <is>
          <t>토론토공항</t>
        </is>
      </c>
      <c r="G899" s="46" t="inlineStr">
        <is>
          <t>YYZ</t>
        </is>
      </c>
      <c r="H899" s="47" t="n">
        <v>45683</v>
      </c>
      <c r="I899" s="52" t="n">
        <v>45686</v>
      </c>
      <c r="J899" s="52" t="n">
        <v>45686</v>
      </c>
      <c r="K899" s="53" t="n">
        <v>135</v>
      </c>
    </row>
    <row r="900" ht="15" customHeight="1" s="32">
      <c r="A900" s="46" t="inlineStr">
        <is>
          <t>L-HB-0899</t>
        </is>
      </c>
      <c r="B900" s="46" t="inlineStr">
        <is>
          <t>R-HB-0899</t>
        </is>
      </c>
      <c r="C900" s="48" t="inlineStr">
        <is>
          <t>항공</t>
        </is>
      </c>
      <c r="D900" s="48" t="inlineStr">
        <is>
          <t>인천공항</t>
        </is>
      </c>
      <c r="E900" s="46" t="inlineStr">
        <is>
          <t>ICN</t>
        </is>
      </c>
      <c r="F900" s="48" t="inlineStr">
        <is>
          <t>하노이공항</t>
        </is>
      </c>
      <c r="G900" s="46" t="inlineStr">
        <is>
          <t>HAN</t>
        </is>
      </c>
      <c r="H900" s="47" t="n">
        <v>45683</v>
      </c>
      <c r="I900" s="52" t="n">
        <v>45684</v>
      </c>
      <c r="J900" s="52" t="n">
        <v>45683</v>
      </c>
      <c r="K900" s="53" t="n">
        <v>135</v>
      </c>
    </row>
    <row r="901" ht="15" customHeight="1" s="32">
      <c r="A901" s="46" t="inlineStr">
        <is>
          <t>L-HB-0900</t>
        </is>
      </c>
      <c r="B901" s="46" t="inlineStr">
        <is>
          <t>R-HB-0900</t>
        </is>
      </c>
      <c r="C901" s="48" t="inlineStr">
        <is>
          <t>항공</t>
        </is>
      </c>
      <c r="D901" s="48" t="inlineStr">
        <is>
          <t>인천공항</t>
        </is>
      </c>
      <c r="E901" s="46" t="inlineStr">
        <is>
          <t>ICN</t>
        </is>
      </c>
      <c r="F901" s="48" t="inlineStr">
        <is>
          <t>델리공항</t>
        </is>
      </c>
      <c r="G901" s="46" t="inlineStr">
        <is>
          <t>DEL</t>
        </is>
      </c>
      <c r="H901" s="47" t="n">
        <v>45683</v>
      </c>
      <c r="I901" s="52" t="n">
        <v>45686</v>
      </c>
      <c r="J901" s="52" t="n">
        <v>45686</v>
      </c>
      <c r="K901" s="53" t="n">
        <v>135</v>
      </c>
    </row>
    <row r="902" ht="15" customHeight="1" s="32">
      <c r="A902" s="46" t="inlineStr">
        <is>
          <t>L-HB-0901</t>
        </is>
      </c>
      <c r="B902" s="46" t="inlineStr">
        <is>
          <t>R-HB-0901</t>
        </is>
      </c>
      <c r="C902" s="48" t="inlineStr">
        <is>
          <t>항공</t>
        </is>
      </c>
      <c r="D902" s="48" t="inlineStr">
        <is>
          <t>인천공항</t>
        </is>
      </c>
      <c r="E902" s="46" t="inlineStr">
        <is>
          <t>ICN</t>
        </is>
      </c>
      <c r="F902" s="48" t="inlineStr">
        <is>
          <t>토론토공항</t>
        </is>
      </c>
      <c r="G902" s="46" t="inlineStr">
        <is>
          <t>YYZ</t>
        </is>
      </c>
      <c r="H902" s="47" t="n">
        <v>45691</v>
      </c>
      <c r="I902" s="52" t="n">
        <v>45695</v>
      </c>
      <c r="J902" s="52" t="n">
        <v>45694</v>
      </c>
      <c r="K902" s="53" t="n">
        <v>135</v>
      </c>
    </row>
    <row r="903" ht="15" customHeight="1" s="32">
      <c r="A903" s="46" t="inlineStr">
        <is>
          <t>L-HB-0902</t>
        </is>
      </c>
      <c r="B903" s="46" t="inlineStr">
        <is>
          <t>R-HB-0902</t>
        </is>
      </c>
      <c r="C903" s="48" t="inlineStr">
        <is>
          <t>항공</t>
        </is>
      </c>
      <c r="D903" s="48" t="inlineStr">
        <is>
          <t>인천공항</t>
        </is>
      </c>
      <c r="E903" s="46" t="inlineStr">
        <is>
          <t>ICN</t>
        </is>
      </c>
      <c r="F903" s="48" t="inlineStr">
        <is>
          <t>로스앤젤레스공항</t>
        </is>
      </c>
      <c r="G903" s="46" t="inlineStr">
        <is>
          <t>LAX</t>
        </is>
      </c>
      <c r="H903" s="47" t="n">
        <v>45692</v>
      </c>
      <c r="I903" s="52" t="n">
        <v>45694</v>
      </c>
      <c r="J903" s="52" t="n">
        <v>45694</v>
      </c>
      <c r="K903" s="53" t="n">
        <v>145.26</v>
      </c>
    </row>
    <row r="904" ht="15" customHeight="1" s="32">
      <c r="A904" s="46" t="inlineStr">
        <is>
          <t>L-HB-0903</t>
        </is>
      </c>
      <c r="B904" s="46" t="inlineStr">
        <is>
          <t>R-HB-0903</t>
        </is>
      </c>
      <c r="C904" s="48" t="inlineStr">
        <is>
          <t>항공</t>
        </is>
      </c>
      <c r="D904" s="48" t="inlineStr">
        <is>
          <t>인천공항</t>
        </is>
      </c>
      <c r="E904" s="46" t="inlineStr">
        <is>
          <t>ICN</t>
        </is>
      </c>
      <c r="F904" s="48" t="inlineStr">
        <is>
          <t>토론토공항</t>
        </is>
      </c>
      <c r="G904" s="46" t="inlineStr">
        <is>
          <t>YYZ</t>
        </is>
      </c>
      <c r="H904" s="47" t="n">
        <v>45692</v>
      </c>
      <c r="I904" s="52" t="n">
        <v>45696</v>
      </c>
      <c r="J904" s="52" t="n">
        <v>45696</v>
      </c>
      <c r="K904" s="53" t="n">
        <v>135</v>
      </c>
    </row>
    <row r="905" ht="15" customHeight="1" s="32">
      <c r="A905" s="46" t="inlineStr">
        <is>
          <t>L-HB-0904</t>
        </is>
      </c>
      <c r="B905" s="46" t="inlineStr">
        <is>
          <t>R-HB-0904</t>
        </is>
      </c>
      <c r="C905" s="48" t="inlineStr">
        <is>
          <t>항공</t>
        </is>
      </c>
      <c r="D905" s="48" t="inlineStr">
        <is>
          <t>인천공항</t>
        </is>
      </c>
      <c r="E905" s="46" t="inlineStr">
        <is>
          <t>ICN</t>
        </is>
      </c>
      <c r="F905" s="48" t="inlineStr">
        <is>
          <t>델리공항</t>
        </is>
      </c>
      <c r="G905" s="46" t="inlineStr">
        <is>
          <t>DEL</t>
        </is>
      </c>
      <c r="H905" s="47" t="n">
        <v>45692</v>
      </c>
      <c r="I905" s="52" t="n">
        <v>45694</v>
      </c>
      <c r="J905" s="52" t="n">
        <v>45694</v>
      </c>
      <c r="K905" s="53" t="n">
        <v>229.58</v>
      </c>
    </row>
    <row r="906" ht="15" customHeight="1" s="32">
      <c r="A906" s="46" t="inlineStr">
        <is>
          <t>L-HB-0905</t>
        </is>
      </c>
      <c r="B906" s="46" t="inlineStr">
        <is>
          <t>R-HB-0905</t>
        </is>
      </c>
      <c r="C906" s="48" t="inlineStr">
        <is>
          <t>항공</t>
        </is>
      </c>
      <c r="D906" s="48" t="inlineStr">
        <is>
          <t>인천공항</t>
        </is>
      </c>
      <c r="E906" s="46" t="inlineStr">
        <is>
          <t>ICN</t>
        </is>
      </c>
      <c r="F906" s="48" t="inlineStr">
        <is>
          <t>토론토공항</t>
        </is>
      </c>
      <c r="G906" s="46" t="inlineStr">
        <is>
          <t>YYZ</t>
        </is>
      </c>
      <c r="H906" s="47" t="n">
        <v>45694</v>
      </c>
      <c r="I906" s="52" t="n">
        <v>45697</v>
      </c>
      <c r="J906" s="52" t="n">
        <v>45697</v>
      </c>
      <c r="K906" s="53" t="n">
        <v>135</v>
      </c>
    </row>
    <row r="907" ht="15" customHeight="1" s="32">
      <c r="A907" s="46" t="inlineStr">
        <is>
          <t>L-HB-0906</t>
        </is>
      </c>
      <c r="B907" s="46" t="inlineStr">
        <is>
          <t>R-HB-0906</t>
        </is>
      </c>
      <c r="C907" s="48" t="inlineStr">
        <is>
          <t>항공</t>
        </is>
      </c>
      <c r="D907" s="48" t="inlineStr">
        <is>
          <t>인천공항</t>
        </is>
      </c>
      <c r="E907" s="46" t="inlineStr">
        <is>
          <t>ICN</t>
        </is>
      </c>
      <c r="F907" s="48" t="inlineStr">
        <is>
          <t>충칭공항</t>
        </is>
      </c>
      <c r="G907" s="46" t="inlineStr">
        <is>
          <t>CKG</t>
        </is>
      </c>
      <c r="H907" s="47" t="n">
        <v>45694</v>
      </c>
      <c r="I907" s="52" t="n">
        <v>45696</v>
      </c>
      <c r="J907" s="52" t="n">
        <v>45696</v>
      </c>
      <c r="K907" s="53" t="n">
        <v>135</v>
      </c>
    </row>
    <row r="908" ht="15" customHeight="1" s="32">
      <c r="A908" s="46" t="inlineStr">
        <is>
          <t>L-HB-0907</t>
        </is>
      </c>
      <c r="B908" s="46" t="inlineStr">
        <is>
          <t>R-HB-0907</t>
        </is>
      </c>
      <c r="C908" s="48" t="inlineStr">
        <is>
          <t>항공</t>
        </is>
      </c>
      <c r="D908" s="48" t="inlineStr">
        <is>
          <t>인천공항</t>
        </is>
      </c>
      <c r="E908" s="46" t="inlineStr">
        <is>
          <t>ICN</t>
        </is>
      </c>
      <c r="F908" s="48" t="inlineStr">
        <is>
          <t>프랑크푸르트공항</t>
        </is>
      </c>
      <c r="G908" s="46" t="inlineStr">
        <is>
          <t>FRA</t>
        </is>
      </c>
      <c r="H908" s="47" t="n">
        <v>45695</v>
      </c>
      <c r="I908" s="52" t="n">
        <v>45699</v>
      </c>
      <c r="J908" s="52" t="n">
        <v>45699</v>
      </c>
      <c r="K908" s="53" t="n">
        <v>135</v>
      </c>
    </row>
    <row r="909" ht="15" customHeight="1" s="32">
      <c r="A909" s="46" t="inlineStr">
        <is>
          <t>L-HB-0908</t>
        </is>
      </c>
      <c r="B909" s="46" t="inlineStr">
        <is>
          <t>R-HB-0908</t>
        </is>
      </c>
      <c r="C909" s="48" t="inlineStr">
        <is>
          <t>해상</t>
        </is>
      </c>
      <c r="D909" s="48" t="inlineStr">
        <is>
          <t>부산항</t>
        </is>
      </c>
      <c r="E909" s="46" t="inlineStr">
        <is>
          <t>KRPUS</t>
        </is>
      </c>
      <c r="F909" s="48" t="inlineStr">
        <is>
          <t>하이퐁항</t>
        </is>
      </c>
      <c r="G909" s="46" t="inlineStr">
        <is>
          <t>VNHPH</t>
        </is>
      </c>
      <c r="H909" s="47" t="n">
        <v>45695</v>
      </c>
      <c r="I909" s="52" t="n">
        <v>45705</v>
      </c>
      <c r="J909" s="52" t="n">
        <v>45705</v>
      </c>
      <c r="K909" s="53" t="n">
        <v>530</v>
      </c>
    </row>
    <row r="910" ht="15" customHeight="1" s="32">
      <c r="A910" s="46" t="inlineStr">
        <is>
          <t>L-HB-0909</t>
        </is>
      </c>
      <c r="B910" s="46" t="inlineStr">
        <is>
          <t>R-HB-0909</t>
        </is>
      </c>
      <c r="C910" s="48" t="inlineStr">
        <is>
          <t>항공</t>
        </is>
      </c>
      <c r="D910" s="48" t="inlineStr">
        <is>
          <t>인천공항</t>
        </is>
      </c>
      <c r="E910" s="46" t="inlineStr">
        <is>
          <t>ICN</t>
        </is>
      </c>
      <c r="F910" s="48" t="inlineStr">
        <is>
          <t>시애틀공항</t>
        </is>
      </c>
      <c r="G910" s="46" t="inlineStr">
        <is>
          <t>SEA</t>
        </is>
      </c>
      <c r="H910" s="47" t="n">
        <v>45696</v>
      </c>
      <c r="I910" s="52" t="n">
        <v>45698</v>
      </c>
      <c r="J910" s="52" t="n">
        <v>45698</v>
      </c>
      <c r="K910" s="53" t="n">
        <v>297.03</v>
      </c>
    </row>
    <row r="911" ht="15" customHeight="1" s="32">
      <c r="A911" s="46" t="inlineStr">
        <is>
          <t>L-HB-0910</t>
        </is>
      </c>
      <c r="B911" s="46" t="inlineStr">
        <is>
          <t>R-HB-0910</t>
        </is>
      </c>
      <c r="C911" s="48" t="inlineStr">
        <is>
          <t>항공</t>
        </is>
      </c>
      <c r="D911" s="48" t="inlineStr">
        <is>
          <t>인천공항</t>
        </is>
      </c>
      <c r="E911" s="46" t="inlineStr">
        <is>
          <t>ICN</t>
        </is>
      </c>
      <c r="F911" s="48" t="inlineStr">
        <is>
          <t>프랑크푸르트공항</t>
        </is>
      </c>
      <c r="G911" s="46" t="inlineStr">
        <is>
          <t>FRA</t>
        </is>
      </c>
      <c r="H911" s="47" t="n">
        <v>45697</v>
      </c>
      <c r="I911" s="52" t="n">
        <v>45702</v>
      </c>
      <c r="J911" s="52" t="n">
        <v>45702</v>
      </c>
      <c r="K911" s="53" t="n">
        <v>485.8</v>
      </c>
    </row>
    <row r="912" ht="15" customHeight="1" s="32">
      <c r="A912" s="46" t="inlineStr">
        <is>
          <t>L-HB-0911</t>
        </is>
      </c>
      <c r="B912" s="46" t="inlineStr">
        <is>
          <t>R-HB-0911</t>
        </is>
      </c>
      <c r="C912" s="48" t="inlineStr">
        <is>
          <t>항공</t>
        </is>
      </c>
      <c r="D912" s="48" t="inlineStr">
        <is>
          <t>인천공항</t>
        </is>
      </c>
      <c r="E912" s="46" t="inlineStr">
        <is>
          <t>ICN</t>
        </is>
      </c>
      <c r="F912" s="48" t="inlineStr">
        <is>
          <t>하노이공항</t>
        </is>
      </c>
      <c r="G912" s="46" t="inlineStr">
        <is>
          <t>HAN</t>
        </is>
      </c>
      <c r="H912" s="47" t="n">
        <v>45697</v>
      </c>
      <c r="I912" s="52" t="n">
        <v>45698</v>
      </c>
      <c r="J912" s="52" t="n">
        <v>45698</v>
      </c>
      <c r="K912" s="53" t="n">
        <v>260.15</v>
      </c>
    </row>
    <row r="913" ht="15" customHeight="1" s="32">
      <c r="A913" s="46" t="inlineStr">
        <is>
          <t>L-HB-0912</t>
        </is>
      </c>
      <c r="B913" s="46" t="inlineStr">
        <is>
          <t>R-HB-0912</t>
        </is>
      </c>
      <c r="C913" s="48" t="inlineStr">
        <is>
          <t>항공</t>
        </is>
      </c>
      <c r="D913" s="48" t="inlineStr">
        <is>
          <t>인천공항</t>
        </is>
      </c>
      <c r="E913" s="46" t="inlineStr">
        <is>
          <t>ICN</t>
        </is>
      </c>
      <c r="F913" s="48" t="inlineStr">
        <is>
          <t>선전공항</t>
        </is>
      </c>
      <c r="G913" s="46" t="inlineStr">
        <is>
          <t>SZX</t>
        </is>
      </c>
      <c r="H913" s="47" t="n">
        <v>45698</v>
      </c>
      <c r="I913" s="52" t="n">
        <v>45699</v>
      </c>
      <c r="J913" s="52" t="n">
        <v>45698</v>
      </c>
      <c r="K913" s="53" t="n">
        <v>390.61</v>
      </c>
    </row>
    <row r="914" ht="15" customHeight="1" s="32">
      <c r="A914" s="46" t="inlineStr">
        <is>
          <t>L-HB-0913</t>
        </is>
      </c>
      <c r="B914" s="46" t="inlineStr">
        <is>
          <t>R-HB-0913</t>
        </is>
      </c>
      <c r="C914" s="48" t="inlineStr">
        <is>
          <t>항공</t>
        </is>
      </c>
      <c r="D914" s="48" t="inlineStr">
        <is>
          <t>인천공항</t>
        </is>
      </c>
      <c r="E914" s="46" t="inlineStr">
        <is>
          <t>ICN</t>
        </is>
      </c>
      <c r="F914" s="48" t="inlineStr">
        <is>
          <t>프랑크푸르트공항</t>
        </is>
      </c>
      <c r="G914" s="46" t="inlineStr">
        <is>
          <t>FRA</t>
        </is>
      </c>
      <c r="H914" s="47" t="n">
        <v>45699</v>
      </c>
      <c r="I914" s="52" t="n">
        <v>45703</v>
      </c>
      <c r="J914" s="52" t="n">
        <v>45707</v>
      </c>
      <c r="K914" s="53" t="n">
        <v>135</v>
      </c>
    </row>
    <row r="915" ht="15" customHeight="1" s="32">
      <c r="A915" s="46" t="inlineStr">
        <is>
          <t>L-HB-0914</t>
        </is>
      </c>
      <c r="B915" s="46" t="inlineStr">
        <is>
          <t>R-HB-0914</t>
        </is>
      </c>
      <c r="C915" s="48" t="inlineStr">
        <is>
          <t>항공</t>
        </is>
      </c>
      <c r="D915" s="48" t="inlineStr">
        <is>
          <t>인천공항</t>
        </is>
      </c>
      <c r="E915" s="46" t="inlineStr">
        <is>
          <t>ICN</t>
        </is>
      </c>
      <c r="F915" s="48" t="inlineStr">
        <is>
          <t>선전공항</t>
        </is>
      </c>
      <c r="G915" s="46" t="inlineStr">
        <is>
          <t>SZX</t>
        </is>
      </c>
      <c r="H915" s="47" t="n">
        <v>45699</v>
      </c>
      <c r="I915" s="52" t="n">
        <v>45701</v>
      </c>
      <c r="J915" s="52" t="n">
        <v>45701</v>
      </c>
      <c r="K915" s="53" t="n">
        <v>135</v>
      </c>
    </row>
    <row r="916" ht="15" customHeight="1" s="32">
      <c r="A916" s="46" t="inlineStr">
        <is>
          <t>L-HB-0915</t>
        </is>
      </c>
      <c r="B916" s="46" t="inlineStr">
        <is>
          <t>R-HB-0915</t>
        </is>
      </c>
      <c r="C916" s="48" t="inlineStr">
        <is>
          <t>항공</t>
        </is>
      </c>
      <c r="D916" s="48" t="inlineStr">
        <is>
          <t>인천공항</t>
        </is>
      </c>
      <c r="E916" s="46" t="inlineStr">
        <is>
          <t>ICN</t>
        </is>
      </c>
      <c r="F916" s="48" t="inlineStr">
        <is>
          <t>과달라하라공항</t>
        </is>
      </c>
      <c r="G916" s="46" t="inlineStr">
        <is>
          <t>GDL</t>
        </is>
      </c>
      <c r="H916" s="47" t="n">
        <v>45700</v>
      </c>
      <c r="I916" s="52" t="n">
        <v>45705</v>
      </c>
      <c r="J916" s="52" t="n">
        <v>45705</v>
      </c>
      <c r="K916" s="53" t="n">
        <v>135</v>
      </c>
    </row>
    <row r="917" ht="15" customHeight="1" s="32">
      <c r="A917" s="46" t="inlineStr">
        <is>
          <t>L-HB-0916</t>
        </is>
      </c>
      <c r="B917" s="46" t="inlineStr">
        <is>
          <t>R-HB-0916</t>
        </is>
      </c>
      <c r="C917" s="48" t="inlineStr">
        <is>
          <t>항공</t>
        </is>
      </c>
      <c r="D917" s="48" t="inlineStr">
        <is>
          <t>인천공항</t>
        </is>
      </c>
      <c r="E917" s="46" t="inlineStr">
        <is>
          <t>ICN</t>
        </is>
      </c>
      <c r="F917" s="48" t="inlineStr">
        <is>
          <t>충칭공항</t>
        </is>
      </c>
      <c r="G917" s="46" t="inlineStr">
        <is>
          <t>CKG</t>
        </is>
      </c>
      <c r="H917" s="47" t="n">
        <v>45700</v>
      </c>
      <c r="I917" s="52" t="n">
        <v>45703</v>
      </c>
      <c r="J917" s="52" t="n">
        <v>45703</v>
      </c>
      <c r="K917" s="53" t="n">
        <v>135</v>
      </c>
    </row>
    <row r="918" ht="15" customHeight="1" s="32">
      <c r="A918" s="46" t="inlineStr">
        <is>
          <t>L-HB-0917</t>
        </is>
      </c>
      <c r="B918" s="46" t="inlineStr">
        <is>
          <t>R-HB-0917</t>
        </is>
      </c>
      <c r="C918" s="48" t="inlineStr">
        <is>
          <t>항공</t>
        </is>
      </c>
      <c r="D918" s="48" t="inlineStr">
        <is>
          <t>인천공항</t>
        </is>
      </c>
      <c r="E918" s="46" t="inlineStr">
        <is>
          <t>ICN</t>
        </is>
      </c>
      <c r="F918" s="48" t="inlineStr">
        <is>
          <t>로스앤젤레스공항</t>
        </is>
      </c>
      <c r="G918" s="46" t="inlineStr">
        <is>
          <t>LAX</t>
        </is>
      </c>
      <c r="H918" s="47" t="n">
        <v>45701</v>
      </c>
      <c r="I918" s="52" t="n">
        <v>45704</v>
      </c>
      <c r="J918" s="52" t="n">
        <v>45704</v>
      </c>
      <c r="K918" s="53" t="n">
        <v>496.19</v>
      </c>
    </row>
    <row r="919" ht="15" customHeight="1" s="32">
      <c r="A919" s="46" t="inlineStr">
        <is>
          <t>L-HB-0918</t>
        </is>
      </c>
      <c r="B919" s="46" t="inlineStr">
        <is>
          <t>R-HB-0918</t>
        </is>
      </c>
      <c r="C919" s="48" t="inlineStr">
        <is>
          <t>항공</t>
        </is>
      </c>
      <c r="D919" s="48" t="inlineStr">
        <is>
          <t>인천공항</t>
        </is>
      </c>
      <c r="E919" s="46" t="inlineStr">
        <is>
          <t>ICN</t>
        </is>
      </c>
      <c r="F919" s="48" t="inlineStr">
        <is>
          <t>과달라하라공항</t>
        </is>
      </c>
      <c r="G919" s="46" t="inlineStr">
        <is>
          <t>GDL</t>
        </is>
      </c>
      <c r="H919" s="47" t="n">
        <v>45703</v>
      </c>
      <c r="I919" s="52" t="n">
        <v>45707</v>
      </c>
      <c r="J919" s="52" t="n">
        <v>45707</v>
      </c>
      <c r="K919" s="53" t="n">
        <v>135</v>
      </c>
    </row>
    <row r="920" ht="15" customHeight="1" s="32">
      <c r="A920" s="46" t="inlineStr">
        <is>
          <t>L-HB-0919</t>
        </is>
      </c>
      <c r="B920" s="46" t="inlineStr">
        <is>
          <t>R-HB-0919</t>
        </is>
      </c>
      <c r="C920" s="48" t="inlineStr">
        <is>
          <t>항공</t>
        </is>
      </c>
      <c r="D920" s="48" t="inlineStr">
        <is>
          <t>인천공항</t>
        </is>
      </c>
      <c r="E920" s="46" t="inlineStr">
        <is>
          <t>ICN</t>
        </is>
      </c>
      <c r="F920" s="48" t="inlineStr">
        <is>
          <t>델리공항</t>
        </is>
      </c>
      <c r="G920" s="46" t="inlineStr">
        <is>
          <t>DEL</t>
        </is>
      </c>
      <c r="H920" s="47" t="n">
        <v>45704</v>
      </c>
      <c r="I920" s="52" t="n">
        <v>45706</v>
      </c>
      <c r="J920" s="52" t="n">
        <v>45706</v>
      </c>
      <c r="K920" s="53" t="n">
        <v>135</v>
      </c>
    </row>
    <row r="921" ht="15" customHeight="1" s="32">
      <c r="A921" s="46" t="inlineStr">
        <is>
          <t>L-HB-0920</t>
        </is>
      </c>
      <c r="B921" s="46" t="inlineStr">
        <is>
          <t>R-HB-0920</t>
        </is>
      </c>
      <c r="C921" s="48" t="inlineStr">
        <is>
          <t>항공</t>
        </is>
      </c>
      <c r="D921" s="48" t="inlineStr">
        <is>
          <t>인천공항</t>
        </is>
      </c>
      <c r="E921" s="46" t="inlineStr">
        <is>
          <t>ICN</t>
        </is>
      </c>
      <c r="F921" s="48" t="inlineStr">
        <is>
          <t>델리공항</t>
        </is>
      </c>
      <c r="G921" s="46" t="inlineStr">
        <is>
          <t>DEL</t>
        </is>
      </c>
      <c r="H921" s="47" t="n">
        <v>45704</v>
      </c>
      <c r="I921" s="52" t="n">
        <v>45708</v>
      </c>
      <c r="J921" s="52" t="n">
        <v>45712</v>
      </c>
      <c r="K921" s="53" t="n">
        <v>135</v>
      </c>
    </row>
    <row r="922" ht="15" customHeight="1" s="32">
      <c r="A922" s="46" t="inlineStr">
        <is>
          <t>L-HB-0921</t>
        </is>
      </c>
      <c r="B922" s="46" t="inlineStr">
        <is>
          <t>R-HB-0921</t>
        </is>
      </c>
      <c r="C922" s="48" t="inlineStr">
        <is>
          <t>해상</t>
        </is>
      </c>
      <c r="D922" s="48" t="inlineStr">
        <is>
          <t>부산항</t>
        </is>
      </c>
      <c r="E922" s="46" t="inlineStr">
        <is>
          <t>KRPUS</t>
        </is>
      </c>
      <c r="F922" s="48" t="inlineStr">
        <is>
          <t>상하이항</t>
        </is>
      </c>
      <c r="G922" s="46" t="inlineStr">
        <is>
          <t>CNSHA</t>
        </is>
      </c>
      <c r="H922" s="47" t="n">
        <v>45705</v>
      </c>
      <c r="I922" s="52" t="n">
        <v>45710</v>
      </c>
      <c r="J922" s="52" t="n">
        <v>45709</v>
      </c>
      <c r="K922" s="53" t="n">
        <v>530</v>
      </c>
    </row>
    <row r="923" ht="15" customHeight="1" s="32">
      <c r="A923" s="46" t="inlineStr">
        <is>
          <t>L-HB-0922</t>
        </is>
      </c>
      <c r="B923" s="46" t="inlineStr">
        <is>
          <t>R-HB-0922</t>
        </is>
      </c>
      <c r="C923" s="48" t="inlineStr">
        <is>
          <t>항공</t>
        </is>
      </c>
      <c r="D923" s="48" t="inlineStr">
        <is>
          <t>인천공항</t>
        </is>
      </c>
      <c r="E923" s="46" t="inlineStr">
        <is>
          <t>ICN</t>
        </is>
      </c>
      <c r="F923" s="48" t="inlineStr">
        <is>
          <t>하노이공항</t>
        </is>
      </c>
      <c r="G923" s="46" t="inlineStr">
        <is>
          <t>HAN</t>
        </is>
      </c>
      <c r="H923" s="47" t="n">
        <v>45706</v>
      </c>
      <c r="I923" s="52" t="n">
        <v>45708</v>
      </c>
      <c r="J923" s="52" t="n">
        <v>45708</v>
      </c>
      <c r="K923" s="53" t="n">
        <v>135</v>
      </c>
    </row>
    <row r="924" ht="15" customHeight="1" s="32">
      <c r="A924" s="46" t="inlineStr">
        <is>
          <t>L-HB-0923</t>
        </is>
      </c>
      <c r="B924" s="46" t="inlineStr">
        <is>
          <t>R-HB-0923</t>
        </is>
      </c>
      <c r="C924" s="48" t="inlineStr">
        <is>
          <t>항공</t>
        </is>
      </c>
      <c r="D924" s="48" t="inlineStr">
        <is>
          <t>인천공항</t>
        </is>
      </c>
      <c r="E924" s="46" t="inlineStr">
        <is>
          <t>ICN</t>
        </is>
      </c>
      <c r="F924" s="48" t="inlineStr">
        <is>
          <t>충칭공항</t>
        </is>
      </c>
      <c r="G924" s="46" t="inlineStr">
        <is>
          <t>CKG</t>
        </is>
      </c>
      <c r="H924" s="47" t="n">
        <v>45706</v>
      </c>
      <c r="I924" s="52" t="n">
        <v>45707</v>
      </c>
      <c r="J924" s="52" t="n">
        <v>45711</v>
      </c>
      <c r="K924" s="53" t="n">
        <v>290.45</v>
      </c>
    </row>
    <row r="925" ht="15" customHeight="1" s="32">
      <c r="A925" s="46" t="inlineStr">
        <is>
          <t>L-HB-0924</t>
        </is>
      </c>
      <c r="B925" s="46" t="inlineStr">
        <is>
          <t>R-HB-0924</t>
        </is>
      </c>
      <c r="C925" s="48" t="inlineStr">
        <is>
          <t>항공</t>
        </is>
      </c>
      <c r="D925" s="48" t="inlineStr">
        <is>
          <t>인천공항</t>
        </is>
      </c>
      <c r="E925" s="46" t="inlineStr">
        <is>
          <t>ICN</t>
        </is>
      </c>
      <c r="F925" s="48" t="inlineStr">
        <is>
          <t>델리공항</t>
        </is>
      </c>
      <c r="G925" s="46" t="inlineStr">
        <is>
          <t>DEL</t>
        </is>
      </c>
      <c r="H925" s="47" t="n">
        <v>45707</v>
      </c>
      <c r="I925" s="52" t="n">
        <v>45709</v>
      </c>
      <c r="J925" s="52" t="n">
        <v>45708</v>
      </c>
      <c r="K925" s="53" t="n">
        <v>135</v>
      </c>
    </row>
    <row r="926" ht="15" customHeight="1" s="32">
      <c r="A926" s="46" t="inlineStr">
        <is>
          <t>L-HB-0925</t>
        </is>
      </c>
      <c r="B926" s="46" t="inlineStr">
        <is>
          <t>R-HB-0925</t>
        </is>
      </c>
      <c r="C926" s="48" t="inlineStr">
        <is>
          <t>항공</t>
        </is>
      </c>
      <c r="D926" s="48" t="inlineStr">
        <is>
          <t>인천공항</t>
        </is>
      </c>
      <c r="E926" s="46" t="inlineStr">
        <is>
          <t>ICN</t>
        </is>
      </c>
      <c r="F926" s="48" t="inlineStr">
        <is>
          <t>과달라하라공항</t>
        </is>
      </c>
      <c r="G926" s="46" t="inlineStr">
        <is>
          <t>GDL</t>
        </is>
      </c>
      <c r="H926" s="47" t="n">
        <v>45708</v>
      </c>
      <c r="I926" s="52" t="n">
        <v>45712</v>
      </c>
      <c r="J926" s="52" t="n">
        <v>45712</v>
      </c>
      <c r="K926" s="53" t="n">
        <v>135</v>
      </c>
    </row>
    <row r="927" ht="15" customHeight="1" s="32">
      <c r="A927" s="46" t="inlineStr">
        <is>
          <t>L-HB-0926</t>
        </is>
      </c>
      <c r="B927" s="46" t="inlineStr">
        <is>
          <t>R-HB-0926</t>
        </is>
      </c>
      <c r="C927" s="48" t="inlineStr">
        <is>
          <t>항공</t>
        </is>
      </c>
      <c r="D927" s="48" t="inlineStr">
        <is>
          <t>인천공항</t>
        </is>
      </c>
      <c r="E927" s="46" t="inlineStr">
        <is>
          <t>ICN</t>
        </is>
      </c>
      <c r="F927" s="48" t="inlineStr">
        <is>
          <t>토론토공항</t>
        </is>
      </c>
      <c r="G927" s="46" t="inlineStr">
        <is>
          <t>YYZ</t>
        </is>
      </c>
      <c r="H927" s="47" t="n">
        <v>45708</v>
      </c>
      <c r="I927" s="52" t="n">
        <v>45713</v>
      </c>
      <c r="J927" s="52" t="n">
        <v>45713</v>
      </c>
      <c r="K927" s="53" t="n">
        <v>135</v>
      </c>
    </row>
    <row r="928" ht="15" customHeight="1" s="32">
      <c r="A928" s="46" t="inlineStr">
        <is>
          <t>L-HB-0927</t>
        </is>
      </c>
      <c r="B928" s="46" t="inlineStr">
        <is>
          <t>R-HB-0927</t>
        </is>
      </c>
      <c r="C928" s="48" t="inlineStr">
        <is>
          <t>해상</t>
        </is>
      </c>
      <c r="D928" s="48" t="inlineStr">
        <is>
          <t>부산항</t>
        </is>
      </c>
      <c r="E928" s="46" t="inlineStr">
        <is>
          <t>KRPUS</t>
        </is>
      </c>
      <c r="F928" s="48" t="inlineStr">
        <is>
          <t>서커우항</t>
        </is>
      </c>
      <c r="G928" s="46" t="inlineStr">
        <is>
          <t>CNSHK</t>
        </is>
      </c>
      <c r="H928" s="47" t="n">
        <v>45708</v>
      </c>
      <c r="I928" s="52" t="n">
        <v>45715</v>
      </c>
      <c r="J928" s="52" t="n">
        <v>45715</v>
      </c>
      <c r="K928" s="53" t="n">
        <v>530</v>
      </c>
    </row>
    <row r="929" ht="15" customHeight="1" s="32">
      <c r="A929" s="46" t="inlineStr">
        <is>
          <t>L-HB-0928</t>
        </is>
      </c>
      <c r="B929" s="46" t="inlineStr">
        <is>
          <t>R-HB-0928</t>
        </is>
      </c>
      <c r="C929" s="48" t="inlineStr">
        <is>
          <t>항공</t>
        </is>
      </c>
      <c r="D929" s="48" t="inlineStr">
        <is>
          <t>인천공항</t>
        </is>
      </c>
      <c r="E929" s="46" t="inlineStr">
        <is>
          <t>ICN</t>
        </is>
      </c>
      <c r="F929" s="48" t="inlineStr">
        <is>
          <t>프랑크푸르트공항</t>
        </is>
      </c>
      <c r="G929" s="46" t="inlineStr">
        <is>
          <t>FRA</t>
        </is>
      </c>
      <c r="H929" s="47" t="n">
        <v>45709</v>
      </c>
      <c r="I929" s="52" t="n">
        <v>45712</v>
      </c>
      <c r="J929" s="52" t="n">
        <v>45712</v>
      </c>
      <c r="K929" s="53" t="n">
        <v>228.64</v>
      </c>
    </row>
    <row r="930" ht="15" customHeight="1" s="32">
      <c r="A930" s="46" t="inlineStr">
        <is>
          <t>L-HB-0929</t>
        </is>
      </c>
      <c r="B930" s="46" t="inlineStr">
        <is>
          <t>R-HB-0929</t>
        </is>
      </c>
      <c r="C930" s="48" t="inlineStr">
        <is>
          <t>항공</t>
        </is>
      </c>
      <c r="D930" s="48" t="inlineStr">
        <is>
          <t>인천공항</t>
        </is>
      </c>
      <c r="E930" s="46" t="inlineStr">
        <is>
          <t>ICN</t>
        </is>
      </c>
      <c r="F930" s="48" t="inlineStr">
        <is>
          <t>시애틀공항</t>
        </is>
      </c>
      <c r="G930" s="46" t="inlineStr">
        <is>
          <t>SEA</t>
        </is>
      </c>
      <c r="H930" s="47" t="n">
        <v>45711</v>
      </c>
      <c r="I930" s="52" t="n">
        <v>45713</v>
      </c>
      <c r="J930" s="52" t="n">
        <v>45713</v>
      </c>
      <c r="K930" s="53" t="n">
        <v>135</v>
      </c>
    </row>
    <row r="931" ht="15" customHeight="1" s="32">
      <c r="A931" s="46" t="inlineStr">
        <is>
          <t>L-HB-0930</t>
        </is>
      </c>
      <c r="B931" s="46" t="inlineStr">
        <is>
          <t>R-HB-0930</t>
        </is>
      </c>
      <c r="C931" s="48" t="inlineStr">
        <is>
          <t>항공</t>
        </is>
      </c>
      <c r="D931" s="48" t="inlineStr">
        <is>
          <t>인천공항</t>
        </is>
      </c>
      <c r="E931" s="46" t="inlineStr">
        <is>
          <t>ICN</t>
        </is>
      </c>
      <c r="F931" s="48" t="inlineStr">
        <is>
          <t>선전공항</t>
        </is>
      </c>
      <c r="G931" s="46" t="inlineStr">
        <is>
          <t>SZX</t>
        </is>
      </c>
      <c r="H931" s="47" t="n">
        <v>45711</v>
      </c>
      <c r="I931" s="52" t="n">
        <v>45714</v>
      </c>
      <c r="J931" s="52" t="n">
        <v>45714</v>
      </c>
      <c r="K931" s="53" t="n">
        <v>135</v>
      </c>
    </row>
    <row r="932" ht="15" customHeight="1" s="32">
      <c r="A932" s="46" t="inlineStr">
        <is>
          <t>L-HB-0931</t>
        </is>
      </c>
      <c r="B932" s="46" t="inlineStr">
        <is>
          <t>R-HB-0931</t>
        </is>
      </c>
      <c r="C932" s="48" t="inlineStr">
        <is>
          <t>항공</t>
        </is>
      </c>
      <c r="D932" s="48" t="inlineStr">
        <is>
          <t>인천공항</t>
        </is>
      </c>
      <c r="E932" s="46" t="inlineStr">
        <is>
          <t>ICN</t>
        </is>
      </c>
      <c r="F932" s="48" t="inlineStr">
        <is>
          <t>시애틀공항</t>
        </is>
      </c>
      <c r="G932" s="46" t="inlineStr">
        <is>
          <t>SEA</t>
        </is>
      </c>
      <c r="H932" s="47" t="n">
        <v>45712</v>
      </c>
      <c r="I932" s="52" t="n">
        <v>45714</v>
      </c>
      <c r="J932" s="52" t="n">
        <v>45714</v>
      </c>
      <c r="K932" s="53" t="n">
        <v>135</v>
      </c>
    </row>
    <row r="933" ht="15" customHeight="1" s="32">
      <c r="A933" s="46" t="inlineStr">
        <is>
          <t>L-HB-0932</t>
        </is>
      </c>
      <c r="B933" s="46" t="inlineStr">
        <is>
          <t>R-HB-0932</t>
        </is>
      </c>
      <c r="C933" s="48" t="inlineStr">
        <is>
          <t>항공</t>
        </is>
      </c>
      <c r="D933" s="48" t="inlineStr">
        <is>
          <t>인천공항</t>
        </is>
      </c>
      <c r="E933" s="46" t="inlineStr">
        <is>
          <t>ICN</t>
        </is>
      </c>
      <c r="F933" s="48" t="inlineStr">
        <is>
          <t>로스앤젤레스공항</t>
        </is>
      </c>
      <c r="G933" s="46" t="inlineStr">
        <is>
          <t>LAX</t>
        </is>
      </c>
      <c r="H933" s="47" t="n">
        <v>45713</v>
      </c>
      <c r="I933" s="52" t="n">
        <v>45716</v>
      </c>
      <c r="J933" s="52" t="n">
        <v>45715</v>
      </c>
      <c r="K933" s="53" t="n">
        <v>135</v>
      </c>
    </row>
    <row r="934" ht="15" customHeight="1" s="32">
      <c r="A934" s="46" t="inlineStr">
        <is>
          <t>L-HB-0933</t>
        </is>
      </c>
      <c r="B934" s="46" t="inlineStr">
        <is>
          <t>R-HB-0933</t>
        </is>
      </c>
      <c r="C934" s="48" t="inlineStr">
        <is>
          <t>항공</t>
        </is>
      </c>
      <c r="D934" s="48" t="inlineStr">
        <is>
          <t>인천공항</t>
        </is>
      </c>
      <c r="E934" s="46" t="inlineStr">
        <is>
          <t>ICN</t>
        </is>
      </c>
      <c r="F934" s="48" t="inlineStr">
        <is>
          <t>시애틀공항</t>
        </is>
      </c>
      <c r="G934" s="46" t="inlineStr">
        <is>
          <t>SEA</t>
        </is>
      </c>
      <c r="H934" s="47" t="n">
        <v>45713</v>
      </c>
      <c r="I934" s="52" t="n">
        <v>45715</v>
      </c>
      <c r="J934" s="52" t="n">
        <v>45715</v>
      </c>
      <c r="K934" s="53" t="n">
        <v>135</v>
      </c>
    </row>
    <row r="935" ht="15" customHeight="1" s="32">
      <c r="A935" s="46" t="inlineStr">
        <is>
          <t>L-HB-0934</t>
        </is>
      </c>
      <c r="B935" s="46" t="inlineStr">
        <is>
          <t>R-HB-0934</t>
        </is>
      </c>
      <c r="C935" s="48" t="inlineStr">
        <is>
          <t>항공</t>
        </is>
      </c>
      <c r="D935" s="48" t="inlineStr">
        <is>
          <t>인천공항</t>
        </is>
      </c>
      <c r="E935" s="46" t="inlineStr">
        <is>
          <t>ICN</t>
        </is>
      </c>
      <c r="F935" s="48" t="inlineStr">
        <is>
          <t>로스앤젤레스공항</t>
        </is>
      </c>
      <c r="G935" s="46" t="inlineStr">
        <is>
          <t>LAX</t>
        </is>
      </c>
      <c r="H935" s="47" t="n">
        <v>45715</v>
      </c>
      <c r="I935" s="52" t="n">
        <v>45717</v>
      </c>
      <c r="J935" s="52" t="n">
        <v>45716</v>
      </c>
      <c r="K935" s="53" t="n">
        <v>232.81</v>
      </c>
    </row>
    <row r="936" ht="15" customHeight="1" s="32">
      <c r="A936" s="46" t="inlineStr">
        <is>
          <t>L-HB-0935</t>
        </is>
      </c>
      <c r="B936" s="46" t="inlineStr">
        <is>
          <t>R-HB-0935</t>
        </is>
      </c>
      <c r="C936" s="48" t="inlineStr">
        <is>
          <t>항공</t>
        </is>
      </c>
      <c r="D936" s="48" t="inlineStr">
        <is>
          <t>인천공항</t>
        </is>
      </c>
      <c r="E936" s="46" t="inlineStr">
        <is>
          <t>ICN</t>
        </is>
      </c>
      <c r="F936" s="48" t="inlineStr">
        <is>
          <t>과달라하라공항</t>
        </is>
      </c>
      <c r="G936" s="46" t="inlineStr">
        <is>
          <t>GDL</t>
        </is>
      </c>
      <c r="H936" s="47" t="n">
        <v>45715</v>
      </c>
      <c r="I936" s="52" t="n">
        <v>45720</v>
      </c>
      <c r="J936" s="52" t="n">
        <v>45720</v>
      </c>
      <c r="K936" s="53" t="n">
        <v>135</v>
      </c>
    </row>
    <row r="937" ht="15" customHeight="1" s="32">
      <c r="A937" s="46" t="inlineStr">
        <is>
          <t>L-HB-0936</t>
        </is>
      </c>
      <c r="B937" s="46" t="inlineStr">
        <is>
          <t>R-HB-0936</t>
        </is>
      </c>
      <c r="C937" s="48" t="inlineStr">
        <is>
          <t>항공</t>
        </is>
      </c>
      <c r="D937" s="48" t="inlineStr">
        <is>
          <t>인천공항</t>
        </is>
      </c>
      <c r="E937" s="46" t="inlineStr">
        <is>
          <t>ICN</t>
        </is>
      </c>
      <c r="F937" s="48" t="inlineStr">
        <is>
          <t>하노이공항</t>
        </is>
      </c>
      <c r="G937" s="46" t="inlineStr">
        <is>
          <t>HAN</t>
        </is>
      </c>
      <c r="H937" s="47" t="n">
        <v>45715</v>
      </c>
      <c r="I937" s="52" t="n">
        <v>45718</v>
      </c>
      <c r="J937" s="52" t="n">
        <v>45717</v>
      </c>
      <c r="K937" s="53" t="n">
        <v>135</v>
      </c>
    </row>
    <row r="938" ht="15" customHeight="1" s="32">
      <c r="A938" s="46" t="inlineStr">
        <is>
          <t>L-HB-0937</t>
        </is>
      </c>
      <c r="B938" s="46" t="inlineStr">
        <is>
          <t>R-HB-0937</t>
        </is>
      </c>
      <c r="C938" s="48" t="inlineStr">
        <is>
          <t>항공</t>
        </is>
      </c>
      <c r="D938" s="48" t="inlineStr">
        <is>
          <t>인천공항</t>
        </is>
      </c>
      <c r="E938" s="46" t="inlineStr">
        <is>
          <t>ICN</t>
        </is>
      </c>
      <c r="F938" s="48" t="inlineStr">
        <is>
          <t>델리공항</t>
        </is>
      </c>
      <c r="G938" s="46" t="inlineStr">
        <is>
          <t>DEL</t>
        </is>
      </c>
      <c r="H938" s="47" t="n">
        <v>45719</v>
      </c>
      <c r="I938" s="52" t="n">
        <v>45722</v>
      </c>
      <c r="J938" s="52" t="n">
        <v>45726</v>
      </c>
      <c r="K938" s="53" t="n">
        <v>135</v>
      </c>
    </row>
    <row r="939" ht="15" customHeight="1" s="32">
      <c r="A939" s="46" t="inlineStr">
        <is>
          <t>L-HB-0938</t>
        </is>
      </c>
      <c r="B939" s="46" t="inlineStr">
        <is>
          <t>R-HB-0938</t>
        </is>
      </c>
      <c r="C939" s="48" t="inlineStr">
        <is>
          <t>항공</t>
        </is>
      </c>
      <c r="D939" s="48" t="inlineStr">
        <is>
          <t>인천공항</t>
        </is>
      </c>
      <c r="E939" s="46" t="inlineStr">
        <is>
          <t>ICN</t>
        </is>
      </c>
      <c r="F939" s="48" t="inlineStr">
        <is>
          <t>하노이공항</t>
        </is>
      </c>
      <c r="G939" s="46" t="inlineStr">
        <is>
          <t>HAN</t>
        </is>
      </c>
      <c r="H939" s="47" t="n">
        <v>45720</v>
      </c>
      <c r="I939" s="52" t="n">
        <v>45722</v>
      </c>
      <c r="J939" s="52" t="n">
        <v>45722</v>
      </c>
      <c r="K939" s="53" t="n">
        <v>264.18</v>
      </c>
    </row>
    <row r="940" ht="15" customHeight="1" s="32">
      <c r="A940" s="46" t="inlineStr">
        <is>
          <t>L-HB-0939</t>
        </is>
      </c>
      <c r="B940" s="46" t="inlineStr">
        <is>
          <t>R-HB-0939</t>
        </is>
      </c>
      <c r="C940" s="48" t="inlineStr">
        <is>
          <t>해상</t>
        </is>
      </c>
      <c r="D940" s="48" t="inlineStr">
        <is>
          <t>부산항</t>
        </is>
      </c>
      <c r="E940" s="46" t="inlineStr">
        <is>
          <t>KRPUS</t>
        </is>
      </c>
      <c r="F940" s="48" t="inlineStr">
        <is>
          <t>서커우항</t>
        </is>
      </c>
      <c r="G940" s="46" t="inlineStr">
        <is>
          <t>CNSHK</t>
        </is>
      </c>
      <c r="H940" s="47" t="n">
        <v>45720</v>
      </c>
      <c r="I940" s="52" t="n">
        <v>45728</v>
      </c>
      <c r="J940" s="52" t="n">
        <v>45728</v>
      </c>
      <c r="K940" s="53" t="n">
        <v>530</v>
      </c>
    </row>
    <row r="941" ht="15" customHeight="1" s="32">
      <c r="A941" s="46" t="inlineStr">
        <is>
          <t>L-HB-0940</t>
        </is>
      </c>
      <c r="B941" s="46" t="inlineStr">
        <is>
          <t>R-HB-0940</t>
        </is>
      </c>
      <c r="C941" s="48" t="inlineStr">
        <is>
          <t>항공</t>
        </is>
      </c>
      <c r="D941" s="48" t="inlineStr">
        <is>
          <t>인천공항</t>
        </is>
      </c>
      <c r="E941" s="46" t="inlineStr">
        <is>
          <t>ICN</t>
        </is>
      </c>
      <c r="F941" s="48" t="inlineStr">
        <is>
          <t>시애틀공항</t>
        </is>
      </c>
      <c r="G941" s="46" t="inlineStr">
        <is>
          <t>SEA</t>
        </is>
      </c>
      <c r="H941" s="47" t="n">
        <v>45721</v>
      </c>
      <c r="I941" s="52" t="n">
        <v>45724</v>
      </c>
      <c r="J941" s="52" t="n">
        <v>45724</v>
      </c>
      <c r="K941" s="53" t="n">
        <v>290.42</v>
      </c>
    </row>
    <row r="942" ht="15" customHeight="1" s="32">
      <c r="A942" s="46" t="inlineStr">
        <is>
          <t>L-HB-0941</t>
        </is>
      </c>
      <c r="B942" s="46" t="inlineStr">
        <is>
          <t>R-HB-0941</t>
        </is>
      </c>
      <c r="C942" s="48" t="inlineStr">
        <is>
          <t>항공</t>
        </is>
      </c>
      <c r="D942" s="48" t="inlineStr">
        <is>
          <t>인천공항</t>
        </is>
      </c>
      <c r="E942" s="46" t="inlineStr">
        <is>
          <t>ICN</t>
        </is>
      </c>
      <c r="F942" s="48" t="inlineStr">
        <is>
          <t>프랑크푸르트공항</t>
        </is>
      </c>
      <c r="G942" s="46" t="inlineStr">
        <is>
          <t>FRA</t>
        </is>
      </c>
      <c r="H942" s="47" t="n">
        <v>45721</v>
      </c>
      <c r="I942" s="52" t="n">
        <v>45726</v>
      </c>
      <c r="J942" s="52" t="n">
        <v>45726</v>
      </c>
      <c r="K942" s="53" t="n">
        <v>230.57</v>
      </c>
    </row>
    <row r="943" ht="15" customHeight="1" s="32">
      <c r="A943" s="46" t="inlineStr">
        <is>
          <t>L-HB-0942</t>
        </is>
      </c>
      <c r="B943" s="46" t="inlineStr">
        <is>
          <t>R-HB-0942</t>
        </is>
      </c>
      <c r="C943" s="48" t="inlineStr">
        <is>
          <t>항공</t>
        </is>
      </c>
      <c r="D943" s="48" t="inlineStr">
        <is>
          <t>인천공항</t>
        </is>
      </c>
      <c r="E943" s="46" t="inlineStr">
        <is>
          <t>ICN</t>
        </is>
      </c>
      <c r="F943" s="48" t="inlineStr">
        <is>
          <t>프랑크푸르트공항</t>
        </is>
      </c>
      <c r="G943" s="46" t="inlineStr">
        <is>
          <t>FRA</t>
        </is>
      </c>
      <c r="H943" s="47" t="n">
        <v>45721</v>
      </c>
      <c r="I943" s="52" t="n">
        <v>45725</v>
      </c>
      <c r="J943" s="52" t="n">
        <v>45725</v>
      </c>
      <c r="K943" s="53" t="n">
        <v>140.45</v>
      </c>
    </row>
    <row r="944" ht="15" customHeight="1" s="32">
      <c r="A944" s="46" t="inlineStr">
        <is>
          <t>L-HB-0943</t>
        </is>
      </c>
      <c r="B944" s="46" t="inlineStr">
        <is>
          <t>R-HB-0943</t>
        </is>
      </c>
      <c r="C944" s="48" t="inlineStr">
        <is>
          <t>해상</t>
        </is>
      </c>
      <c r="D944" s="48" t="inlineStr">
        <is>
          <t>부산항</t>
        </is>
      </c>
      <c r="E944" s="46" t="inlineStr">
        <is>
          <t>KRPUS</t>
        </is>
      </c>
      <c r="F944" s="48" t="inlineStr">
        <is>
          <t>하이퐁항</t>
        </is>
      </c>
      <c r="G944" s="46" t="inlineStr">
        <is>
          <t>VNHPH</t>
        </is>
      </c>
      <c r="H944" s="47" t="n">
        <v>45721</v>
      </c>
      <c r="I944" s="52" t="n">
        <v>45730</v>
      </c>
      <c r="J944" s="52" t="n">
        <v>45729</v>
      </c>
      <c r="K944" s="53" t="n">
        <v>530</v>
      </c>
    </row>
    <row r="945" ht="15" customHeight="1" s="32">
      <c r="A945" s="46" t="inlineStr">
        <is>
          <t>L-HB-0944</t>
        </is>
      </c>
      <c r="B945" s="46" t="inlineStr">
        <is>
          <t>R-HB-0944</t>
        </is>
      </c>
      <c r="C945" s="48" t="inlineStr">
        <is>
          <t>항공</t>
        </is>
      </c>
      <c r="D945" s="48" t="inlineStr">
        <is>
          <t>인천공항</t>
        </is>
      </c>
      <c r="E945" s="46" t="inlineStr">
        <is>
          <t>ICN</t>
        </is>
      </c>
      <c r="F945" s="48" t="inlineStr">
        <is>
          <t>프랑크푸르트공항</t>
        </is>
      </c>
      <c r="G945" s="46" t="inlineStr">
        <is>
          <t>FRA</t>
        </is>
      </c>
      <c r="H945" s="47" t="n">
        <v>45723</v>
      </c>
      <c r="I945" s="52" t="n">
        <v>45726</v>
      </c>
      <c r="J945" s="52" t="n">
        <v>45727</v>
      </c>
      <c r="K945" s="53" t="n">
        <v>472.93</v>
      </c>
    </row>
    <row r="946" ht="15" customHeight="1" s="32">
      <c r="A946" s="46" t="inlineStr">
        <is>
          <t>L-HB-0945</t>
        </is>
      </c>
      <c r="B946" s="46" t="inlineStr">
        <is>
          <t>R-HB-0945</t>
        </is>
      </c>
      <c r="C946" s="48" t="inlineStr">
        <is>
          <t>항공</t>
        </is>
      </c>
      <c r="D946" s="48" t="inlineStr">
        <is>
          <t>인천공항</t>
        </is>
      </c>
      <c r="E946" s="46" t="inlineStr">
        <is>
          <t>ICN</t>
        </is>
      </c>
      <c r="F946" s="48" t="inlineStr">
        <is>
          <t>하노이공항</t>
        </is>
      </c>
      <c r="G946" s="46" t="inlineStr">
        <is>
          <t>HAN</t>
        </is>
      </c>
      <c r="H946" s="47" t="n">
        <v>45723</v>
      </c>
      <c r="I946" s="52" t="n">
        <v>45726</v>
      </c>
      <c r="J946" s="52" t="n">
        <v>45726</v>
      </c>
      <c r="K946" s="53" t="n">
        <v>135</v>
      </c>
    </row>
    <row r="947" ht="15" customHeight="1" s="32">
      <c r="A947" s="46" t="inlineStr">
        <is>
          <t>L-HB-0946</t>
        </is>
      </c>
      <c r="B947" s="46" t="inlineStr">
        <is>
          <t>R-HB-0946</t>
        </is>
      </c>
      <c r="C947" s="48" t="inlineStr">
        <is>
          <t>항공</t>
        </is>
      </c>
      <c r="D947" s="48" t="inlineStr">
        <is>
          <t>인천공항</t>
        </is>
      </c>
      <c r="E947" s="46" t="inlineStr">
        <is>
          <t>ICN</t>
        </is>
      </c>
      <c r="F947" s="48" t="inlineStr">
        <is>
          <t>델리공항</t>
        </is>
      </c>
      <c r="G947" s="46" t="inlineStr">
        <is>
          <t>DEL</t>
        </is>
      </c>
      <c r="H947" s="47" t="n">
        <v>45723</v>
      </c>
      <c r="I947" s="52" t="n">
        <v>45727</v>
      </c>
      <c r="J947" s="52" t="n">
        <v>45727</v>
      </c>
      <c r="K947" s="53" t="n">
        <v>206.6</v>
      </c>
    </row>
    <row r="948" ht="15" customHeight="1" s="32">
      <c r="A948" s="46" t="inlineStr">
        <is>
          <t>L-HB-0947</t>
        </is>
      </c>
      <c r="B948" s="46" t="inlineStr">
        <is>
          <t>R-HB-0947</t>
        </is>
      </c>
      <c r="C948" s="48" t="inlineStr">
        <is>
          <t>해상</t>
        </is>
      </c>
      <c r="D948" s="48" t="inlineStr">
        <is>
          <t>부산항</t>
        </is>
      </c>
      <c r="E948" s="46" t="inlineStr">
        <is>
          <t>KRPUS</t>
        </is>
      </c>
      <c r="F948" s="48" t="inlineStr">
        <is>
          <t>상하이항</t>
        </is>
      </c>
      <c r="G948" s="46" t="inlineStr">
        <is>
          <t>CNSHA</t>
        </is>
      </c>
      <c r="H948" s="47" t="n">
        <v>45723</v>
      </c>
      <c r="I948" s="52" t="n">
        <v>45730</v>
      </c>
      <c r="J948" s="52" t="n">
        <v>45730</v>
      </c>
      <c r="K948" s="53" t="n">
        <v>530</v>
      </c>
    </row>
    <row r="949" ht="15" customHeight="1" s="32">
      <c r="A949" s="46" t="inlineStr">
        <is>
          <t>L-HB-0948</t>
        </is>
      </c>
      <c r="B949" s="46" t="inlineStr">
        <is>
          <t>R-HB-0948</t>
        </is>
      </c>
      <c r="C949" s="48" t="inlineStr">
        <is>
          <t>항공</t>
        </is>
      </c>
      <c r="D949" s="48" t="inlineStr">
        <is>
          <t>인천공항</t>
        </is>
      </c>
      <c r="E949" s="46" t="inlineStr">
        <is>
          <t>ICN</t>
        </is>
      </c>
      <c r="F949" s="48" t="inlineStr">
        <is>
          <t>과달라하라공항</t>
        </is>
      </c>
      <c r="G949" s="46" t="inlineStr">
        <is>
          <t>GDL</t>
        </is>
      </c>
      <c r="H949" s="47" t="n">
        <v>45724</v>
      </c>
      <c r="I949" s="52" t="n">
        <v>45727</v>
      </c>
      <c r="J949" s="52" t="n">
        <v>45727</v>
      </c>
      <c r="K949" s="53" t="n">
        <v>135</v>
      </c>
    </row>
    <row r="950" ht="15" customHeight="1" s="32">
      <c r="A950" s="46" t="inlineStr">
        <is>
          <t>L-HB-0949</t>
        </is>
      </c>
      <c r="B950" s="46" t="inlineStr">
        <is>
          <t>R-HB-0949</t>
        </is>
      </c>
      <c r="C950" s="48" t="inlineStr">
        <is>
          <t>항공</t>
        </is>
      </c>
      <c r="D950" s="48" t="inlineStr">
        <is>
          <t>인천공항</t>
        </is>
      </c>
      <c r="E950" s="46" t="inlineStr">
        <is>
          <t>ICN</t>
        </is>
      </c>
      <c r="F950" s="48" t="inlineStr">
        <is>
          <t>충칭공항</t>
        </is>
      </c>
      <c r="G950" s="46" t="inlineStr">
        <is>
          <t>CKG</t>
        </is>
      </c>
      <c r="H950" s="47" t="n">
        <v>45724</v>
      </c>
      <c r="I950" s="52" t="n">
        <v>45725</v>
      </c>
      <c r="J950" s="52" t="n">
        <v>45725</v>
      </c>
      <c r="K950" s="53" t="n">
        <v>135</v>
      </c>
    </row>
    <row r="951" ht="15" customHeight="1" s="32">
      <c r="A951" s="46" t="inlineStr">
        <is>
          <t>L-HB-0950</t>
        </is>
      </c>
      <c r="B951" s="46" t="inlineStr">
        <is>
          <t>R-HB-0950</t>
        </is>
      </c>
      <c r="C951" s="48" t="inlineStr">
        <is>
          <t>항공</t>
        </is>
      </c>
      <c r="D951" s="48" t="inlineStr">
        <is>
          <t>인천공항</t>
        </is>
      </c>
      <c r="E951" s="46" t="inlineStr">
        <is>
          <t>ICN</t>
        </is>
      </c>
      <c r="F951" s="48" t="inlineStr">
        <is>
          <t>시애틀공항</t>
        </is>
      </c>
      <c r="G951" s="46" t="inlineStr">
        <is>
          <t>SEA</t>
        </is>
      </c>
      <c r="H951" s="47" t="n">
        <v>45728</v>
      </c>
      <c r="I951" s="52" t="n">
        <v>45730</v>
      </c>
      <c r="J951" s="52" t="n">
        <v>45730</v>
      </c>
      <c r="K951" s="53" t="n">
        <v>135</v>
      </c>
    </row>
    <row r="952" ht="15" customHeight="1" s="32">
      <c r="A952" s="46" t="inlineStr">
        <is>
          <t>L-HB-0951</t>
        </is>
      </c>
      <c r="B952" s="46" t="inlineStr">
        <is>
          <t>R-HB-0951</t>
        </is>
      </c>
      <c r="C952" s="48" t="inlineStr">
        <is>
          <t>항공</t>
        </is>
      </c>
      <c r="D952" s="48" t="inlineStr">
        <is>
          <t>인천공항</t>
        </is>
      </c>
      <c r="E952" s="46" t="inlineStr">
        <is>
          <t>ICN</t>
        </is>
      </c>
      <c r="F952" s="48" t="inlineStr">
        <is>
          <t>토론토공항</t>
        </is>
      </c>
      <c r="G952" s="46" t="inlineStr">
        <is>
          <t>YYZ</t>
        </is>
      </c>
      <c r="H952" s="47" t="n">
        <v>45728</v>
      </c>
      <c r="I952" s="52" t="n">
        <v>45732</v>
      </c>
      <c r="J952" s="52" t="n">
        <v>45732</v>
      </c>
      <c r="K952" s="53" t="n">
        <v>135</v>
      </c>
    </row>
    <row r="953" ht="15" customHeight="1" s="32">
      <c r="A953" s="46" t="inlineStr">
        <is>
          <t>L-HB-0952</t>
        </is>
      </c>
      <c r="B953" s="46" t="inlineStr">
        <is>
          <t>R-HB-0952</t>
        </is>
      </c>
      <c r="C953" s="48" t="inlineStr">
        <is>
          <t>항공</t>
        </is>
      </c>
      <c r="D953" s="48" t="inlineStr">
        <is>
          <t>인천공항</t>
        </is>
      </c>
      <c r="E953" s="46" t="inlineStr">
        <is>
          <t>ICN</t>
        </is>
      </c>
      <c r="F953" s="48" t="inlineStr">
        <is>
          <t>하노이공항</t>
        </is>
      </c>
      <c r="G953" s="46" t="inlineStr">
        <is>
          <t>HAN</t>
        </is>
      </c>
      <c r="H953" s="47" t="n">
        <v>45728</v>
      </c>
      <c r="I953" s="52" t="n">
        <v>45731</v>
      </c>
      <c r="J953" s="52" t="n">
        <v>45731</v>
      </c>
      <c r="K953" s="53" t="n">
        <v>135</v>
      </c>
    </row>
    <row r="954" ht="15" customHeight="1" s="32">
      <c r="A954" s="46" t="inlineStr">
        <is>
          <t>L-HB-0953</t>
        </is>
      </c>
      <c r="B954" s="46" t="inlineStr">
        <is>
          <t>R-HB-0953</t>
        </is>
      </c>
      <c r="C954" s="48" t="inlineStr">
        <is>
          <t>항공</t>
        </is>
      </c>
      <c r="D954" s="48" t="inlineStr">
        <is>
          <t>인천공항</t>
        </is>
      </c>
      <c r="E954" s="46" t="inlineStr">
        <is>
          <t>ICN</t>
        </is>
      </c>
      <c r="F954" s="48" t="inlineStr">
        <is>
          <t>충칭공항</t>
        </is>
      </c>
      <c r="G954" s="46" t="inlineStr">
        <is>
          <t>CKG</t>
        </is>
      </c>
      <c r="H954" s="47" t="n">
        <v>45729</v>
      </c>
      <c r="I954" s="52" t="n">
        <v>45731</v>
      </c>
      <c r="J954" s="52" t="n">
        <v>45733</v>
      </c>
      <c r="K954" s="53" t="n">
        <v>135</v>
      </c>
    </row>
    <row r="955" ht="15" customHeight="1" s="32">
      <c r="A955" s="46" t="inlineStr">
        <is>
          <t>L-HB-0954</t>
        </is>
      </c>
      <c r="B955" s="46" t="inlineStr">
        <is>
          <t>R-HB-0954</t>
        </is>
      </c>
      <c r="C955" s="48" t="inlineStr">
        <is>
          <t>항공</t>
        </is>
      </c>
      <c r="D955" s="48" t="inlineStr">
        <is>
          <t>인천공항</t>
        </is>
      </c>
      <c r="E955" s="46" t="inlineStr">
        <is>
          <t>ICN</t>
        </is>
      </c>
      <c r="F955" s="48" t="inlineStr">
        <is>
          <t>로스앤젤레스공항</t>
        </is>
      </c>
      <c r="G955" s="46" t="inlineStr">
        <is>
          <t>LAX</t>
        </is>
      </c>
      <c r="H955" s="47" t="n">
        <v>45730</v>
      </c>
      <c r="I955" s="52" t="n">
        <v>45732</v>
      </c>
      <c r="J955" s="52" t="n">
        <v>45732</v>
      </c>
      <c r="K955" s="53" t="n">
        <v>140.8</v>
      </c>
    </row>
    <row r="956" ht="15" customHeight="1" s="32">
      <c r="A956" s="46" t="inlineStr">
        <is>
          <t>L-HB-0955</t>
        </is>
      </c>
      <c r="B956" s="46" t="inlineStr">
        <is>
          <t>R-HB-0955</t>
        </is>
      </c>
      <c r="C956" s="48" t="inlineStr">
        <is>
          <t>항공</t>
        </is>
      </c>
      <c r="D956" s="48" t="inlineStr">
        <is>
          <t>인천공항</t>
        </is>
      </c>
      <c r="E956" s="46" t="inlineStr">
        <is>
          <t>ICN</t>
        </is>
      </c>
      <c r="F956" s="48" t="inlineStr">
        <is>
          <t>프랑크푸르트공항</t>
        </is>
      </c>
      <c r="G956" s="46" t="inlineStr">
        <is>
          <t>FRA</t>
        </is>
      </c>
      <c r="H956" s="47" t="n">
        <v>45731</v>
      </c>
      <c r="I956" s="52" t="n">
        <v>45736</v>
      </c>
      <c r="J956" s="52" t="n">
        <v>45739</v>
      </c>
      <c r="K956" s="53" t="n">
        <v>135</v>
      </c>
    </row>
    <row r="957" ht="15" customHeight="1" s="32">
      <c r="A957" s="46" t="inlineStr">
        <is>
          <t>L-HB-0956</t>
        </is>
      </c>
      <c r="B957" s="46" t="inlineStr">
        <is>
          <t>R-HB-0956</t>
        </is>
      </c>
      <c r="C957" s="48" t="inlineStr">
        <is>
          <t>항공</t>
        </is>
      </c>
      <c r="D957" s="48" t="inlineStr">
        <is>
          <t>인천공항</t>
        </is>
      </c>
      <c r="E957" s="46" t="inlineStr">
        <is>
          <t>ICN</t>
        </is>
      </c>
      <c r="F957" s="48" t="inlineStr">
        <is>
          <t>델리공항</t>
        </is>
      </c>
      <c r="G957" s="46" t="inlineStr">
        <is>
          <t>DEL</t>
        </is>
      </c>
      <c r="H957" s="47" t="n">
        <v>45731</v>
      </c>
      <c r="I957" s="52" t="n">
        <v>45734</v>
      </c>
      <c r="J957" s="52" t="n">
        <v>45733</v>
      </c>
      <c r="K957" s="53" t="n">
        <v>135</v>
      </c>
    </row>
    <row r="958" ht="15" customHeight="1" s="32">
      <c r="A958" s="46" t="inlineStr">
        <is>
          <t>L-HB-0957</t>
        </is>
      </c>
      <c r="B958" s="46" t="inlineStr">
        <is>
          <t>R-HB-0957</t>
        </is>
      </c>
      <c r="C958" s="48" t="inlineStr">
        <is>
          <t>항공</t>
        </is>
      </c>
      <c r="D958" s="48" t="inlineStr">
        <is>
          <t>인천공항</t>
        </is>
      </c>
      <c r="E958" s="46" t="inlineStr">
        <is>
          <t>ICN</t>
        </is>
      </c>
      <c r="F958" s="48" t="inlineStr">
        <is>
          <t>로스앤젤레스공항</t>
        </is>
      </c>
      <c r="G958" s="46" t="inlineStr">
        <is>
          <t>LAX</t>
        </is>
      </c>
      <c r="H958" s="47" t="n">
        <v>45733</v>
      </c>
      <c r="I958" s="52" t="n">
        <v>45736</v>
      </c>
      <c r="J958" s="52" t="n">
        <v>45736</v>
      </c>
      <c r="K958" s="53" t="n">
        <v>239.19</v>
      </c>
    </row>
    <row r="959" ht="15" customHeight="1" s="32">
      <c r="A959" s="46" t="inlineStr">
        <is>
          <t>L-HB-0958</t>
        </is>
      </c>
      <c r="B959" s="46" t="inlineStr">
        <is>
          <t>R-HB-0958</t>
        </is>
      </c>
      <c r="C959" s="48" t="inlineStr">
        <is>
          <t>항공</t>
        </is>
      </c>
      <c r="D959" s="48" t="inlineStr">
        <is>
          <t>인천공항</t>
        </is>
      </c>
      <c r="E959" s="46" t="inlineStr">
        <is>
          <t>ICN</t>
        </is>
      </c>
      <c r="F959" s="48" t="inlineStr">
        <is>
          <t>과달라하라공항</t>
        </is>
      </c>
      <c r="G959" s="46" t="inlineStr">
        <is>
          <t>GDL</t>
        </is>
      </c>
      <c r="H959" s="47" t="n">
        <v>45733</v>
      </c>
      <c r="I959" s="52" t="n">
        <v>45738</v>
      </c>
      <c r="J959" s="52" t="n">
        <v>45737</v>
      </c>
      <c r="K959" s="53" t="n">
        <v>135</v>
      </c>
    </row>
    <row r="960" ht="15" customHeight="1" s="32">
      <c r="A960" s="46" t="inlineStr">
        <is>
          <t>L-HB-0959</t>
        </is>
      </c>
      <c r="B960" s="46" t="inlineStr">
        <is>
          <t>R-HB-0959</t>
        </is>
      </c>
      <c r="C960" s="48" t="inlineStr">
        <is>
          <t>항공</t>
        </is>
      </c>
      <c r="D960" s="48" t="inlineStr">
        <is>
          <t>인천공항</t>
        </is>
      </c>
      <c r="E960" s="46" t="inlineStr">
        <is>
          <t>ICN</t>
        </is>
      </c>
      <c r="F960" s="48" t="inlineStr">
        <is>
          <t>토론토공항</t>
        </is>
      </c>
      <c r="G960" s="46" t="inlineStr">
        <is>
          <t>YYZ</t>
        </is>
      </c>
      <c r="H960" s="47" t="n">
        <v>45733</v>
      </c>
      <c r="I960" s="52" t="n">
        <v>45737</v>
      </c>
      <c r="J960" s="52" t="n">
        <v>45740</v>
      </c>
      <c r="K960" s="53" t="n">
        <v>135</v>
      </c>
    </row>
    <row r="961" ht="15" customHeight="1" s="32">
      <c r="A961" s="46" t="inlineStr">
        <is>
          <t>L-HB-0960</t>
        </is>
      </c>
      <c r="B961" s="46" t="inlineStr">
        <is>
          <t>R-HB-0960</t>
        </is>
      </c>
      <c r="C961" s="48" t="inlineStr">
        <is>
          <t>항공</t>
        </is>
      </c>
      <c r="D961" s="48" t="inlineStr">
        <is>
          <t>인천공항</t>
        </is>
      </c>
      <c r="E961" s="46" t="inlineStr">
        <is>
          <t>ICN</t>
        </is>
      </c>
      <c r="F961" s="48" t="inlineStr">
        <is>
          <t>선전공항</t>
        </is>
      </c>
      <c r="G961" s="46" t="inlineStr">
        <is>
          <t>SZX</t>
        </is>
      </c>
      <c r="H961" s="47" t="n">
        <v>45733</v>
      </c>
      <c r="I961" s="52" t="n">
        <v>45734</v>
      </c>
      <c r="J961" s="52" t="n">
        <v>45733</v>
      </c>
      <c r="K961" s="53" t="n">
        <v>135</v>
      </c>
    </row>
    <row r="962" ht="15" customHeight="1" s="32">
      <c r="A962" s="46" t="inlineStr">
        <is>
          <t>L-HB-0961</t>
        </is>
      </c>
      <c r="B962" s="46" t="inlineStr">
        <is>
          <t>R-HB-0961</t>
        </is>
      </c>
      <c r="C962" s="48" t="inlineStr">
        <is>
          <t>항공</t>
        </is>
      </c>
      <c r="D962" s="48" t="inlineStr">
        <is>
          <t>인천공항</t>
        </is>
      </c>
      <c r="E962" s="46" t="inlineStr">
        <is>
          <t>ICN</t>
        </is>
      </c>
      <c r="F962" s="48" t="inlineStr">
        <is>
          <t>시애틀공항</t>
        </is>
      </c>
      <c r="G962" s="46" t="inlineStr">
        <is>
          <t>SEA</t>
        </is>
      </c>
      <c r="H962" s="47" t="n">
        <v>45734</v>
      </c>
      <c r="I962" s="52" t="n">
        <v>45738</v>
      </c>
      <c r="J962" s="52" t="n">
        <v>45738</v>
      </c>
      <c r="K962" s="53" t="n">
        <v>135</v>
      </c>
    </row>
    <row r="963" ht="15" customHeight="1" s="32">
      <c r="A963" s="46" t="inlineStr">
        <is>
          <t>L-HB-0962</t>
        </is>
      </c>
      <c r="B963" s="46" t="inlineStr">
        <is>
          <t>R-HB-0962</t>
        </is>
      </c>
      <c r="C963" s="48" t="inlineStr">
        <is>
          <t>항공</t>
        </is>
      </c>
      <c r="D963" s="48" t="inlineStr">
        <is>
          <t>인천공항</t>
        </is>
      </c>
      <c r="E963" s="46" t="inlineStr">
        <is>
          <t>ICN</t>
        </is>
      </c>
      <c r="F963" s="48" t="inlineStr">
        <is>
          <t>로스앤젤레스공항</t>
        </is>
      </c>
      <c r="G963" s="46" t="inlineStr">
        <is>
          <t>LAX</t>
        </is>
      </c>
      <c r="H963" s="47" t="n">
        <v>45736</v>
      </c>
      <c r="I963" s="52" t="n">
        <v>45739</v>
      </c>
      <c r="J963" s="52" t="n">
        <v>45738</v>
      </c>
      <c r="K963" s="53" t="n">
        <v>135</v>
      </c>
    </row>
    <row r="964" ht="15" customHeight="1" s="32">
      <c r="A964" s="46" t="inlineStr">
        <is>
          <t>L-HB-0963</t>
        </is>
      </c>
      <c r="B964" s="46" t="inlineStr">
        <is>
          <t>R-HB-0963</t>
        </is>
      </c>
      <c r="C964" s="48" t="inlineStr">
        <is>
          <t>항공</t>
        </is>
      </c>
      <c r="D964" s="48" t="inlineStr">
        <is>
          <t>인천공항</t>
        </is>
      </c>
      <c r="E964" s="46" t="inlineStr">
        <is>
          <t>ICN</t>
        </is>
      </c>
      <c r="F964" s="48" t="inlineStr">
        <is>
          <t>과달라하라공항</t>
        </is>
      </c>
      <c r="G964" s="46" t="inlineStr">
        <is>
          <t>GDL</t>
        </is>
      </c>
      <c r="H964" s="47" t="n">
        <v>45737</v>
      </c>
      <c r="I964" s="52" t="n">
        <v>45741</v>
      </c>
      <c r="J964" s="52" t="n">
        <v>45740</v>
      </c>
      <c r="K964" s="53" t="n">
        <v>135</v>
      </c>
    </row>
    <row r="965" ht="15" customHeight="1" s="32">
      <c r="A965" s="46" t="inlineStr">
        <is>
          <t>L-HB-0964</t>
        </is>
      </c>
      <c r="B965" s="46" t="inlineStr">
        <is>
          <t>R-HB-0964</t>
        </is>
      </c>
      <c r="C965" s="48" t="inlineStr">
        <is>
          <t>항공</t>
        </is>
      </c>
      <c r="D965" s="48" t="inlineStr">
        <is>
          <t>인천공항</t>
        </is>
      </c>
      <c r="E965" s="46" t="inlineStr">
        <is>
          <t>ICN</t>
        </is>
      </c>
      <c r="F965" s="48" t="inlineStr">
        <is>
          <t>과달라하라공항</t>
        </is>
      </c>
      <c r="G965" s="46" t="inlineStr">
        <is>
          <t>GDL</t>
        </is>
      </c>
      <c r="H965" s="47" t="n">
        <v>45737</v>
      </c>
      <c r="I965" s="52" t="n">
        <v>45741</v>
      </c>
      <c r="J965" s="52" t="n">
        <v>45741</v>
      </c>
      <c r="K965" s="53" t="n">
        <v>135</v>
      </c>
    </row>
    <row r="966" ht="15" customHeight="1" s="32">
      <c r="A966" s="46" t="inlineStr">
        <is>
          <t>L-HB-0965</t>
        </is>
      </c>
      <c r="B966" s="46" t="inlineStr">
        <is>
          <t>R-HB-0965</t>
        </is>
      </c>
      <c r="C966" s="48" t="inlineStr">
        <is>
          <t>항공</t>
        </is>
      </c>
      <c r="D966" s="48" t="inlineStr">
        <is>
          <t>인천공항</t>
        </is>
      </c>
      <c r="E966" s="46" t="inlineStr">
        <is>
          <t>ICN</t>
        </is>
      </c>
      <c r="F966" s="48" t="inlineStr">
        <is>
          <t>델리공항</t>
        </is>
      </c>
      <c r="G966" s="46" t="inlineStr">
        <is>
          <t>DEL</t>
        </is>
      </c>
      <c r="H966" s="47" t="n">
        <v>45737</v>
      </c>
      <c r="I966" s="52" t="n">
        <v>45741</v>
      </c>
      <c r="J966" s="52" t="n">
        <v>45741</v>
      </c>
      <c r="K966" s="53" t="n">
        <v>135</v>
      </c>
    </row>
    <row r="967" ht="15" customHeight="1" s="32">
      <c r="A967" s="46" t="inlineStr">
        <is>
          <t>L-HB-0966</t>
        </is>
      </c>
      <c r="B967" s="46" t="inlineStr">
        <is>
          <t>R-HB-0966</t>
        </is>
      </c>
      <c r="C967" s="48" t="inlineStr">
        <is>
          <t>항공</t>
        </is>
      </c>
      <c r="D967" s="48" t="inlineStr">
        <is>
          <t>인천공항</t>
        </is>
      </c>
      <c r="E967" s="46" t="inlineStr">
        <is>
          <t>ICN</t>
        </is>
      </c>
      <c r="F967" s="48" t="inlineStr">
        <is>
          <t>선전공항</t>
        </is>
      </c>
      <c r="G967" s="46" t="inlineStr">
        <is>
          <t>SZX</t>
        </is>
      </c>
      <c r="H967" s="47" t="n">
        <v>45738</v>
      </c>
      <c r="I967" s="52" t="n">
        <v>45741</v>
      </c>
      <c r="J967" s="52" t="n">
        <v>45741</v>
      </c>
      <c r="K967" s="53" t="n">
        <v>346.07</v>
      </c>
    </row>
    <row r="968" ht="15" customHeight="1" s="32">
      <c r="A968" s="46" t="inlineStr">
        <is>
          <t>L-HB-0967</t>
        </is>
      </c>
      <c r="B968" s="46" t="inlineStr">
        <is>
          <t>R-HB-0967</t>
        </is>
      </c>
      <c r="C968" s="48" t="inlineStr">
        <is>
          <t>항공</t>
        </is>
      </c>
      <c r="D968" s="48" t="inlineStr">
        <is>
          <t>인천공항</t>
        </is>
      </c>
      <c r="E968" s="46" t="inlineStr">
        <is>
          <t>ICN</t>
        </is>
      </c>
      <c r="F968" s="48" t="inlineStr">
        <is>
          <t>토론토공항</t>
        </is>
      </c>
      <c r="G968" s="46" t="inlineStr">
        <is>
          <t>YYZ</t>
        </is>
      </c>
      <c r="H968" s="47" t="n">
        <v>45739</v>
      </c>
      <c r="I968" s="52" t="n">
        <v>45742</v>
      </c>
      <c r="J968" s="52" t="n">
        <v>45742</v>
      </c>
      <c r="K968" s="53" t="n">
        <v>135</v>
      </c>
    </row>
    <row r="969" ht="15" customHeight="1" s="32">
      <c r="A969" s="46" t="inlineStr">
        <is>
          <t>L-HB-0968</t>
        </is>
      </c>
      <c r="B969" s="46" t="inlineStr">
        <is>
          <t>R-HB-0968</t>
        </is>
      </c>
      <c r="C969" s="48" t="inlineStr">
        <is>
          <t>항공</t>
        </is>
      </c>
      <c r="D969" s="48" t="inlineStr">
        <is>
          <t>인천공항</t>
        </is>
      </c>
      <c r="E969" s="46" t="inlineStr">
        <is>
          <t>ICN</t>
        </is>
      </c>
      <c r="F969" s="48" t="inlineStr">
        <is>
          <t>선전공항</t>
        </is>
      </c>
      <c r="G969" s="46" t="inlineStr">
        <is>
          <t>SZX</t>
        </is>
      </c>
      <c r="H969" s="47" t="n">
        <v>45739</v>
      </c>
      <c r="I969" s="52" t="n">
        <v>45741</v>
      </c>
      <c r="J969" s="52" t="n">
        <v>45741</v>
      </c>
      <c r="K969" s="53" t="n">
        <v>135</v>
      </c>
    </row>
    <row r="970" ht="15" customHeight="1" s="32">
      <c r="A970" s="46" t="inlineStr">
        <is>
          <t>L-HB-0969</t>
        </is>
      </c>
      <c r="B970" s="46" t="inlineStr">
        <is>
          <t>R-HB-0969</t>
        </is>
      </c>
      <c r="C970" s="48" t="inlineStr">
        <is>
          <t>항공</t>
        </is>
      </c>
      <c r="D970" s="48" t="inlineStr">
        <is>
          <t>인천공항</t>
        </is>
      </c>
      <c r="E970" s="46" t="inlineStr">
        <is>
          <t>ICN</t>
        </is>
      </c>
      <c r="F970" s="48" t="inlineStr">
        <is>
          <t>충칭공항</t>
        </is>
      </c>
      <c r="G970" s="46" t="inlineStr">
        <is>
          <t>CKG</t>
        </is>
      </c>
      <c r="H970" s="47" t="n">
        <v>45739</v>
      </c>
      <c r="I970" s="52" t="n">
        <v>45741</v>
      </c>
      <c r="J970" s="52" t="n">
        <v>45741</v>
      </c>
      <c r="K970" s="53" t="n">
        <v>242.63</v>
      </c>
    </row>
    <row r="971" ht="15" customHeight="1" s="32">
      <c r="A971" s="46" t="inlineStr">
        <is>
          <t>L-HB-0970</t>
        </is>
      </c>
      <c r="B971" s="46" t="inlineStr">
        <is>
          <t>R-HB-0970</t>
        </is>
      </c>
      <c r="C971" s="48" t="inlineStr">
        <is>
          <t>항공</t>
        </is>
      </c>
      <c r="D971" s="48" t="inlineStr">
        <is>
          <t>인천공항</t>
        </is>
      </c>
      <c r="E971" s="46" t="inlineStr">
        <is>
          <t>ICN</t>
        </is>
      </c>
      <c r="F971" s="48" t="inlineStr">
        <is>
          <t>로스앤젤레스공항</t>
        </is>
      </c>
      <c r="G971" s="46" t="inlineStr">
        <is>
          <t>LAX</t>
        </is>
      </c>
      <c r="H971" s="47" t="n">
        <v>45740</v>
      </c>
      <c r="I971" s="52" t="n">
        <v>45743</v>
      </c>
      <c r="J971" s="52" t="n">
        <v>45743</v>
      </c>
      <c r="K971" s="53" t="n">
        <v>496.91</v>
      </c>
    </row>
    <row r="972" ht="15" customHeight="1" s="32">
      <c r="A972" s="46" t="inlineStr">
        <is>
          <t>L-HB-0971</t>
        </is>
      </c>
      <c r="B972" s="46" t="inlineStr">
        <is>
          <t>R-HB-0971</t>
        </is>
      </c>
      <c r="C972" s="48" t="inlineStr">
        <is>
          <t>항공</t>
        </is>
      </c>
      <c r="D972" s="48" t="inlineStr">
        <is>
          <t>인천공항</t>
        </is>
      </c>
      <c r="E972" s="46" t="inlineStr">
        <is>
          <t>ICN</t>
        </is>
      </c>
      <c r="F972" s="48" t="inlineStr">
        <is>
          <t>시애틀공항</t>
        </is>
      </c>
      <c r="G972" s="46" t="inlineStr">
        <is>
          <t>SEA</t>
        </is>
      </c>
      <c r="H972" s="47" t="n">
        <v>45742</v>
      </c>
      <c r="I972" s="52" t="n">
        <v>45746</v>
      </c>
      <c r="J972" s="52" t="n">
        <v>45746</v>
      </c>
      <c r="K972" s="53" t="n">
        <v>146.73</v>
      </c>
    </row>
    <row r="973" ht="15" customHeight="1" s="32">
      <c r="A973" s="46" t="inlineStr">
        <is>
          <t>L-HB-0972</t>
        </is>
      </c>
      <c r="B973" s="46" t="inlineStr">
        <is>
          <t>R-HB-0972</t>
        </is>
      </c>
      <c r="C973" s="48" t="inlineStr">
        <is>
          <t>항공</t>
        </is>
      </c>
      <c r="D973" s="48" t="inlineStr">
        <is>
          <t>인천공항</t>
        </is>
      </c>
      <c r="E973" s="46" t="inlineStr">
        <is>
          <t>ICN</t>
        </is>
      </c>
      <c r="F973" s="48" t="inlineStr">
        <is>
          <t>토론토공항</t>
        </is>
      </c>
      <c r="G973" s="46" t="inlineStr">
        <is>
          <t>YYZ</t>
        </is>
      </c>
      <c r="H973" s="47" t="n">
        <v>45743</v>
      </c>
      <c r="I973" s="52" t="n">
        <v>45747</v>
      </c>
      <c r="J973" s="52" t="n">
        <v>45747</v>
      </c>
      <c r="K973" s="53" t="n">
        <v>135</v>
      </c>
    </row>
    <row r="974" ht="15" customHeight="1" s="32">
      <c r="A974" s="46" t="inlineStr">
        <is>
          <t>L-HB-0973</t>
        </is>
      </c>
      <c r="B974" s="46" t="inlineStr">
        <is>
          <t>R-HB-0973</t>
        </is>
      </c>
      <c r="C974" s="48" t="inlineStr">
        <is>
          <t>항공</t>
        </is>
      </c>
      <c r="D974" s="48" t="inlineStr">
        <is>
          <t>인천공항</t>
        </is>
      </c>
      <c r="E974" s="46" t="inlineStr">
        <is>
          <t>ICN</t>
        </is>
      </c>
      <c r="F974" s="48" t="inlineStr">
        <is>
          <t>선전공항</t>
        </is>
      </c>
      <c r="G974" s="46" t="inlineStr">
        <is>
          <t>SZX</t>
        </is>
      </c>
      <c r="H974" s="47" t="n">
        <v>45750</v>
      </c>
      <c r="I974" s="52" t="n">
        <v>45751</v>
      </c>
      <c r="J974" s="52" t="n">
        <v>45751</v>
      </c>
      <c r="K974" s="53" t="n">
        <v>344.38</v>
      </c>
    </row>
    <row r="975" ht="15" customHeight="1" s="32">
      <c r="A975" s="46" t="inlineStr">
        <is>
          <t>L-HB-0974</t>
        </is>
      </c>
      <c r="B975" s="46" t="inlineStr">
        <is>
          <t>R-HB-0974</t>
        </is>
      </c>
      <c r="C975" s="48" t="inlineStr">
        <is>
          <t>항공</t>
        </is>
      </c>
      <c r="D975" s="48" t="inlineStr">
        <is>
          <t>인천공항</t>
        </is>
      </c>
      <c r="E975" s="46" t="inlineStr">
        <is>
          <t>ICN</t>
        </is>
      </c>
      <c r="F975" s="48" t="inlineStr">
        <is>
          <t>토론토공항</t>
        </is>
      </c>
      <c r="G975" s="46" t="inlineStr">
        <is>
          <t>YYZ</t>
        </is>
      </c>
      <c r="H975" s="47" t="n">
        <v>45751</v>
      </c>
      <c r="I975" s="52" t="n">
        <v>45754</v>
      </c>
      <c r="J975" s="52" t="n">
        <v>45754</v>
      </c>
      <c r="K975" s="53" t="n">
        <v>135</v>
      </c>
    </row>
    <row r="976" ht="15" customHeight="1" s="32">
      <c r="A976" s="46" t="inlineStr">
        <is>
          <t>L-HB-0975</t>
        </is>
      </c>
      <c r="B976" s="46" t="inlineStr">
        <is>
          <t>R-HB-0975</t>
        </is>
      </c>
      <c r="C976" s="48" t="inlineStr">
        <is>
          <t>항공</t>
        </is>
      </c>
      <c r="D976" s="48" t="inlineStr">
        <is>
          <t>인천공항</t>
        </is>
      </c>
      <c r="E976" s="46" t="inlineStr">
        <is>
          <t>ICN</t>
        </is>
      </c>
      <c r="F976" s="48" t="inlineStr">
        <is>
          <t>프랑크푸르트공항</t>
        </is>
      </c>
      <c r="G976" s="46" t="inlineStr">
        <is>
          <t>FRA</t>
        </is>
      </c>
      <c r="H976" s="47" t="n">
        <v>45751</v>
      </c>
      <c r="I976" s="52" t="n">
        <v>45754</v>
      </c>
      <c r="J976" s="52" t="n">
        <v>45754</v>
      </c>
      <c r="K976" s="53" t="n">
        <v>135</v>
      </c>
    </row>
    <row r="977" ht="15" customHeight="1" s="32">
      <c r="A977" s="46" t="inlineStr">
        <is>
          <t>L-HB-0976</t>
        </is>
      </c>
      <c r="B977" s="46" t="inlineStr">
        <is>
          <t>R-HB-0976</t>
        </is>
      </c>
      <c r="C977" s="48" t="inlineStr">
        <is>
          <t>항공</t>
        </is>
      </c>
      <c r="D977" s="48" t="inlineStr">
        <is>
          <t>인천공항</t>
        </is>
      </c>
      <c r="E977" s="46" t="inlineStr">
        <is>
          <t>ICN</t>
        </is>
      </c>
      <c r="F977" s="48" t="inlineStr">
        <is>
          <t>델리공항</t>
        </is>
      </c>
      <c r="G977" s="46" t="inlineStr">
        <is>
          <t>DEL</t>
        </is>
      </c>
      <c r="H977" s="47" t="n">
        <v>45751</v>
      </c>
      <c r="I977" s="52" t="n">
        <v>45754</v>
      </c>
      <c r="J977" s="52" t="n">
        <v>45754</v>
      </c>
      <c r="K977" s="53" t="n">
        <v>135</v>
      </c>
    </row>
    <row r="978" ht="15" customHeight="1" s="32">
      <c r="A978" s="46" t="inlineStr">
        <is>
          <t>L-HB-0977</t>
        </is>
      </c>
      <c r="B978" s="46" t="inlineStr">
        <is>
          <t>R-HB-0977</t>
        </is>
      </c>
      <c r="C978" s="48" t="inlineStr">
        <is>
          <t>항공</t>
        </is>
      </c>
      <c r="D978" s="48" t="inlineStr">
        <is>
          <t>인천공항</t>
        </is>
      </c>
      <c r="E978" s="46" t="inlineStr">
        <is>
          <t>ICN</t>
        </is>
      </c>
      <c r="F978" s="48" t="inlineStr">
        <is>
          <t>선전공항</t>
        </is>
      </c>
      <c r="G978" s="46" t="inlineStr">
        <is>
          <t>SZX</t>
        </is>
      </c>
      <c r="H978" s="47" t="n">
        <v>45751</v>
      </c>
      <c r="I978" s="52" t="n">
        <v>45753</v>
      </c>
      <c r="J978" s="52" t="n">
        <v>45753</v>
      </c>
      <c r="K978" s="53" t="n">
        <v>135</v>
      </c>
    </row>
    <row r="979" ht="15" customHeight="1" s="32">
      <c r="A979" s="46" t="inlineStr">
        <is>
          <t>L-HB-0978</t>
        </is>
      </c>
      <c r="B979" s="46" t="inlineStr">
        <is>
          <t>R-HB-0978</t>
        </is>
      </c>
      <c r="C979" s="48" t="inlineStr">
        <is>
          <t>항공</t>
        </is>
      </c>
      <c r="D979" s="48" t="inlineStr">
        <is>
          <t>인천공항</t>
        </is>
      </c>
      <c r="E979" s="46" t="inlineStr">
        <is>
          <t>ICN</t>
        </is>
      </c>
      <c r="F979" s="48" t="inlineStr">
        <is>
          <t>로스앤젤레스공항</t>
        </is>
      </c>
      <c r="G979" s="46" t="inlineStr">
        <is>
          <t>LAX</t>
        </is>
      </c>
      <c r="H979" s="47" t="n">
        <v>45752</v>
      </c>
      <c r="I979" s="52" t="n">
        <v>45756</v>
      </c>
      <c r="J979" s="52" t="n">
        <v>45756</v>
      </c>
      <c r="K979" s="53" t="n">
        <v>135</v>
      </c>
    </row>
    <row r="980" ht="15" customHeight="1" s="32">
      <c r="A980" s="46" t="inlineStr">
        <is>
          <t>L-HB-0979</t>
        </is>
      </c>
      <c r="B980" s="46" t="inlineStr">
        <is>
          <t>R-HB-0979</t>
        </is>
      </c>
      <c r="C980" s="48" t="inlineStr">
        <is>
          <t>항공</t>
        </is>
      </c>
      <c r="D980" s="48" t="inlineStr">
        <is>
          <t>인천공항</t>
        </is>
      </c>
      <c r="E980" s="46" t="inlineStr">
        <is>
          <t>ICN</t>
        </is>
      </c>
      <c r="F980" s="48" t="inlineStr">
        <is>
          <t>시애틀공항</t>
        </is>
      </c>
      <c r="G980" s="46" t="inlineStr">
        <is>
          <t>SEA</t>
        </is>
      </c>
      <c r="H980" s="47" t="n">
        <v>45752</v>
      </c>
      <c r="I980" s="52" t="n">
        <v>45755</v>
      </c>
      <c r="J980" s="52" t="n">
        <v>45754</v>
      </c>
      <c r="K980" s="53" t="n">
        <v>135</v>
      </c>
    </row>
    <row r="981" ht="15" customHeight="1" s="32">
      <c r="A981" s="46" t="inlineStr">
        <is>
          <t>L-HB-0980</t>
        </is>
      </c>
      <c r="B981" s="46" t="inlineStr">
        <is>
          <t>R-HB-0980</t>
        </is>
      </c>
      <c r="C981" s="48" t="inlineStr">
        <is>
          <t>항공</t>
        </is>
      </c>
      <c r="D981" s="48" t="inlineStr">
        <is>
          <t>인천공항</t>
        </is>
      </c>
      <c r="E981" s="46" t="inlineStr">
        <is>
          <t>ICN</t>
        </is>
      </c>
      <c r="F981" s="48" t="inlineStr">
        <is>
          <t>델리공항</t>
        </is>
      </c>
      <c r="G981" s="46" t="inlineStr">
        <is>
          <t>DEL</t>
        </is>
      </c>
      <c r="H981" s="47" t="n">
        <v>45752</v>
      </c>
      <c r="I981" s="52" t="n">
        <v>45756</v>
      </c>
      <c r="J981" s="52" t="n">
        <v>45756</v>
      </c>
      <c r="K981" s="53" t="n">
        <v>135</v>
      </c>
    </row>
    <row r="982" ht="15" customHeight="1" s="32">
      <c r="A982" s="46" t="inlineStr">
        <is>
          <t>L-HB-0981</t>
        </is>
      </c>
      <c r="B982" s="46" t="inlineStr">
        <is>
          <t>R-HB-0981</t>
        </is>
      </c>
      <c r="C982" s="48" t="inlineStr">
        <is>
          <t>항공</t>
        </is>
      </c>
      <c r="D982" s="48" t="inlineStr">
        <is>
          <t>인천공항</t>
        </is>
      </c>
      <c r="E982" s="46" t="inlineStr">
        <is>
          <t>ICN</t>
        </is>
      </c>
      <c r="F982" s="48" t="inlineStr">
        <is>
          <t>로스앤젤레스공항</t>
        </is>
      </c>
      <c r="G982" s="46" t="inlineStr">
        <is>
          <t>LAX</t>
        </is>
      </c>
      <c r="H982" s="47" t="n">
        <v>45754</v>
      </c>
      <c r="I982" s="52" t="n">
        <v>45756</v>
      </c>
      <c r="J982" s="52" t="n">
        <v>45756</v>
      </c>
      <c r="K982" s="53" t="n">
        <v>145.69</v>
      </c>
    </row>
    <row r="983" ht="15" customHeight="1" s="32">
      <c r="A983" s="46" t="inlineStr">
        <is>
          <t>L-HB-0982</t>
        </is>
      </c>
      <c r="B983" s="46" t="inlineStr">
        <is>
          <t>R-HB-0982</t>
        </is>
      </c>
      <c r="C983" s="48" t="inlineStr">
        <is>
          <t>항공</t>
        </is>
      </c>
      <c r="D983" s="48" t="inlineStr">
        <is>
          <t>인천공항</t>
        </is>
      </c>
      <c r="E983" s="46" t="inlineStr">
        <is>
          <t>ICN</t>
        </is>
      </c>
      <c r="F983" s="48" t="inlineStr">
        <is>
          <t>프랑크푸르트공항</t>
        </is>
      </c>
      <c r="G983" s="46" t="inlineStr">
        <is>
          <t>FRA</t>
        </is>
      </c>
      <c r="H983" s="47" t="n">
        <v>45755</v>
      </c>
      <c r="I983" s="52" t="n">
        <v>45758</v>
      </c>
      <c r="J983" s="52" t="n">
        <v>45758</v>
      </c>
      <c r="K983" s="53" t="n">
        <v>135</v>
      </c>
    </row>
    <row r="984" ht="15" customHeight="1" s="32">
      <c r="A984" s="46" t="inlineStr">
        <is>
          <t>L-HB-0983</t>
        </is>
      </c>
      <c r="B984" s="46" t="inlineStr">
        <is>
          <t>R-HB-0983</t>
        </is>
      </c>
      <c r="C984" s="48" t="inlineStr">
        <is>
          <t>항공</t>
        </is>
      </c>
      <c r="D984" s="48" t="inlineStr">
        <is>
          <t>인천공항</t>
        </is>
      </c>
      <c r="E984" s="46" t="inlineStr">
        <is>
          <t>ICN</t>
        </is>
      </c>
      <c r="F984" s="48" t="inlineStr">
        <is>
          <t>과달라하라공항</t>
        </is>
      </c>
      <c r="G984" s="46" t="inlineStr">
        <is>
          <t>GDL</t>
        </is>
      </c>
      <c r="H984" s="47" t="n">
        <v>45758</v>
      </c>
      <c r="I984" s="52" t="n">
        <v>45763</v>
      </c>
      <c r="J984" s="52" t="n">
        <v>45763</v>
      </c>
      <c r="K984" s="53" t="n">
        <v>135</v>
      </c>
    </row>
    <row r="985" ht="15" customHeight="1" s="32">
      <c r="A985" s="46" t="inlineStr">
        <is>
          <t>L-HB-0984</t>
        </is>
      </c>
      <c r="B985" s="46" t="inlineStr">
        <is>
          <t>R-HB-0984</t>
        </is>
      </c>
      <c r="C985" s="48" t="inlineStr">
        <is>
          <t>항공</t>
        </is>
      </c>
      <c r="D985" s="48" t="inlineStr">
        <is>
          <t>인천공항</t>
        </is>
      </c>
      <c r="E985" s="46" t="inlineStr">
        <is>
          <t>ICN</t>
        </is>
      </c>
      <c r="F985" s="48" t="inlineStr">
        <is>
          <t>델리공항</t>
        </is>
      </c>
      <c r="G985" s="46" t="inlineStr">
        <is>
          <t>DEL</t>
        </is>
      </c>
      <c r="H985" s="47" t="n">
        <v>45759</v>
      </c>
      <c r="I985" s="52" t="n">
        <v>45762</v>
      </c>
      <c r="J985" s="52" t="n">
        <v>45762</v>
      </c>
      <c r="K985" s="53" t="n">
        <v>135</v>
      </c>
    </row>
    <row r="986" ht="15" customHeight="1" s="32">
      <c r="A986" s="46" t="inlineStr">
        <is>
          <t>L-HB-0985</t>
        </is>
      </c>
      <c r="B986" s="46" t="inlineStr">
        <is>
          <t>R-HB-0985</t>
        </is>
      </c>
      <c r="C986" s="48" t="inlineStr">
        <is>
          <t>항공</t>
        </is>
      </c>
      <c r="D986" s="48" t="inlineStr">
        <is>
          <t>인천공항</t>
        </is>
      </c>
      <c r="E986" s="46" t="inlineStr">
        <is>
          <t>ICN</t>
        </is>
      </c>
      <c r="F986" s="48" t="inlineStr">
        <is>
          <t>델리공항</t>
        </is>
      </c>
      <c r="G986" s="46" t="inlineStr">
        <is>
          <t>DEL</t>
        </is>
      </c>
      <c r="H986" s="47" t="n">
        <v>45760</v>
      </c>
      <c r="I986" s="52" t="n">
        <v>45762</v>
      </c>
      <c r="J986" s="52" t="n">
        <v>45762</v>
      </c>
      <c r="K986" s="53" t="n">
        <v>225.84</v>
      </c>
    </row>
    <row r="987" ht="15" customHeight="1" s="32">
      <c r="A987" s="46" t="inlineStr">
        <is>
          <t>L-HB-0986</t>
        </is>
      </c>
      <c r="B987" s="46" t="inlineStr">
        <is>
          <t>R-HB-0986</t>
        </is>
      </c>
      <c r="C987" s="48" t="inlineStr">
        <is>
          <t>항공</t>
        </is>
      </c>
      <c r="D987" s="48" t="inlineStr">
        <is>
          <t>인천공항</t>
        </is>
      </c>
      <c r="E987" s="46" t="inlineStr">
        <is>
          <t>ICN</t>
        </is>
      </c>
      <c r="F987" s="48" t="inlineStr">
        <is>
          <t>과달라하라공항</t>
        </is>
      </c>
      <c r="G987" s="46" t="inlineStr">
        <is>
          <t>GDL</t>
        </is>
      </c>
      <c r="H987" s="47" t="n">
        <v>45761</v>
      </c>
      <c r="I987" s="52" t="n">
        <v>45764</v>
      </c>
      <c r="J987" s="52" t="n">
        <v>45764</v>
      </c>
      <c r="K987" s="53" t="n">
        <v>148.79</v>
      </c>
    </row>
    <row r="988" ht="15" customHeight="1" s="32">
      <c r="A988" s="46" t="inlineStr">
        <is>
          <t>L-HB-0987</t>
        </is>
      </c>
      <c r="B988" s="46" t="inlineStr">
        <is>
          <t>R-HB-0987</t>
        </is>
      </c>
      <c r="C988" s="48" t="inlineStr">
        <is>
          <t>항공</t>
        </is>
      </c>
      <c r="D988" s="48" t="inlineStr">
        <is>
          <t>인천공항</t>
        </is>
      </c>
      <c r="E988" s="46" t="inlineStr">
        <is>
          <t>ICN</t>
        </is>
      </c>
      <c r="F988" s="48" t="inlineStr">
        <is>
          <t>프랑크푸르트공항</t>
        </is>
      </c>
      <c r="G988" s="46" t="inlineStr">
        <is>
          <t>FRA</t>
        </is>
      </c>
      <c r="H988" s="47" t="n">
        <v>45761</v>
      </c>
      <c r="I988" s="52" t="n">
        <v>45764</v>
      </c>
      <c r="J988" s="52" t="n">
        <v>45764</v>
      </c>
      <c r="K988" s="53" t="n">
        <v>207.61</v>
      </c>
    </row>
    <row r="989" ht="15" customHeight="1" s="32">
      <c r="A989" s="46" t="inlineStr">
        <is>
          <t>L-HB-0988</t>
        </is>
      </c>
      <c r="B989" s="46" t="inlineStr">
        <is>
          <t>R-HB-0988</t>
        </is>
      </c>
      <c r="C989" s="48" t="inlineStr">
        <is>
          <t>항공</t>
        </is>
      </c>
      <c r="D989" s="48" t="inlineStr">
        <is>
          <t>인천공항</t>
        </is>
      </c>
      <c r="E989" s="46" t="inlineStr">
        <is>
          <t>ICN</t>
        </is>
      </c>
      <c r="F989" s="48" t="inlineStr">
        <is>
          <t>로스앤젤레스공항</t>
        </is>
      </c>
      <c r="G989" s="46" t="inlineStr">
        <is>
          <t>LAX</t>
        </is>
      </c>
      <c r="H989" s="47" t="n">
        <v>45765</v>
      </c>
      <c r="I989" s="52" t="n">
        <v>45768</v>
      </c>
      <c r="J989" s="52" t="n">
        <v>45768</v>
      </c>
      <c r="K989" s="53" t="n">
        <v>229.62</v>
      </c>
    </row>
    <row r="990" ht="15" customHeight="1" s="32">
      <c r="A990" s="46" t="inlineStr">
        <is>
          <t>L-HB-0989</t>
        </is>
      </c>
      <c r="B990" s="46" t="inlineStr">
        <is>
          <t>R-HB-0989</t>
        </is>
      </c>
      <c r="C990" s="48" t="inlineStr">
        <is>
          <t>항공</t>
        </is>
      </c>
      <c r="D990" s="48" t="inlineStr">
        <is>
          <t>인천공항</t>
        </is>
      </c>
      <c r="E990" s="46" t="inlineStr">
        <is>
          <t>ICN</t>
        </is>
      </c>
      <c r="F990" s="48" t="inlineStr">
        <is>
          <t>토론토공항</t>
        </is>
      </c>
      <c r="G990" s="46" t="inlineStr">
        <is>
          <t>YYZ</t>
        </is>
      </c>
      <c r="H990" s="47" t="n">
        <v>45765</v>
      </c>
      <c r="I990" s="52" t="n">
        <v>45768</v>
      </c>
      <c r="J990" s="52" t="n">
        <v>45768</v>
      </c>
      <c r="K990" s="53" t="n">
        <v>135</v>
      </c>
    </row>
    <row r="991" ht="15" customHeight="1" s="32">
      <c r="A991" s="46" t="inlineStr">
        <is>
          <t>L-HB-0990</t>
        </is>
      </c>
      <c r="B991" s="46" t="inlineStr">
        <is>
          <t>R-HB-0990</t>
        </is>
      </c>
      <c r="C991" s="48" t="inlineStr">
        <is>
          <t>항공</t>
        </is>
      </c>
      <c r="D991" s="48" t="inlineStr">
        <is>
          <t>인천공항</t>
        </is>
      </c>
      <c r="E991" s="46" t="inlineStr">
        <is>
          <t>ICN</t>
        </is>
      </c>
      <c r="F991" s="48" t="inlineStr">
        <is>
          <t>토론토공항</t>
        </is>
      </c>
      <c r="G991" s="46" t="inlineStr">
        <is>
          <t>YYZ</t>
        </is>
      </c>
      <c r="H991" s="47" t="n">
        <v>45765</v>
      </c>
      <c r="I991" s="52" t="n">
        <v>45768</v>
      </c>
      <c r="J991" s="52" t="n">
        <v>45768</v>
      </c>
      <c r="K991" s="53" t="n">
        <v>135</v>
      </c>
    </row>
    <row r="992" ht="15" customHeight="1" s="32">
      <c r="A992" s="46" t="inlineStr">
        <is>
          <t>L-HB-0991</t>
        </is>
      </c>
      <c r="B992" s="46" t="inlineStr">
        <is>
          <t>R-HB-0991</t>
        </is>
      </c>
      <c r="C992" s="48" t="inlineStr">
        <is>
          <t>항공</t>
        </is>
      </c>
      <c r="D992" s="48" t="inlineStr">
        <is>
          <t>인천공항</t>
        </is>
      </c>
      <c r="E992" s="46" t="inlineStr">
        <is>
          <t>ICN</t>
        </is>
      </c>
      <c r="F992" s="48" t="inlineStr">
        <is>
          <t>프랑크푸르트공항</t>
        </is>
      </c>
      <c r="G992" s="46" t="inlineStr">
        <is>
          <t>FRA</t>
        </is>
      </c>
      <c r="H992" s="47" t="n">
        <v>45765</v>
      </c>
      <c r="I992" s="52" t="n">
        <v>45770</v>
      </c>
      <c r="J992" s="52" t="n">
        <v>45770</v>
      </c>
      <c r="K992" s="53" t="n">
        <v>417.09</v>
      </c>
    </row>
    <row r="993" ht="15" customHeight="1" s="32">
      <c r="A993" s="46" t="inlineStr">
        <is>
          <t>L-HB-0992</t>
        </is>
      </c>
      <c r="B993" s="46" t="inlineStr">
        <is>
          <t>R-HB-0992</t>
        </is>
      </c>
      <c r="C993" s="48" t="inlineStr">
        <is>
          <t>항공</t>
        </is>
      </c>
      <c r="D993" s="48" t="inlineStr">
        <is>
          <t>인천공항</t>
        </is>
      </c>
      <c r="E993" s="46" t="inlineStr">
        <is>
          <t>ICN</t>
        </is>
      </c>
      <c r="F993" s="48" t="inlineStr">
        <is>
          <t>충칭공항</t>
        </is>
      </c>
      <c r="G993" s="46" t="inlineStr">
        <is>
          <t>CKG</t>
        </is>
      </c>
      <c r="H993" s="47" t="n">
        <v>45766</v>
      </c>
      <c r="I993" s="52" t="n">
        <v>45767</v>
      </c>
      <c r="J993" s="52" t="n">
        <v>45769</v>
      </c>
      <c r="K993" s="53" t="n">
        <v>251.08</v>
      </c>
    </row>
    <row r="994" ht="15" customHeight="1" s="32">
      <c r="A994" s="46" t="inlineStr">
        <is>
          <t>L-HB-0993</t>
        </is>
      </c>
      <c r="B994" s="46" t="inlineStr">
        <is>
          <t>R-HB-0993</t>
        </is>
      </c>
      <c r="C994" s="48" t="inlineStr">
        <is>
          <t>항공</t>
        </is>
      </c>
      <c r="D994" s="48" t="inlineStr">
        <is>
          <t>인천공항</t>
        </is>
      </c>
      <c r="E994" s="46" t="inlineStr">
        <is>
          <t>ICN</t>
        </is>
      </c>
      <c r="F994" s="48" t="inlineStr">
        <is>
          <t>충칭공항</t>
        </is>
      </c>
      <c r="G994" s="46" t="inlineStr">
        <is>
          <t>CKG</t>
        </is>
      </c>
      <c r="H994" s="47" t="n">
        <v>45766</v>
      </c>
      <c r="I994" s="52" t="n">
        <v>45769</v>
      </c>
      <c r="J994" s="52" t="n">
        <v>45770</v>
      </c>
      <c r="K994" s="53" t="n">
        <v>135</v>
      </c>
    </row>
    <row r="995" ht="15" customHeight="1" s="32">
      <c r="A995" s="46" t="inlineStr">
        <is>
          <t>L-HB-0994</t>
        </is>
      </c>
      <c r="B995" s="46" t="inlineStr">
        <is>
          <t>R-HB-0994</t>
        </is>
      </c>
      <c r="C995" s="48" t="inlineStr">
        <is>
          <t>항공</t>
        </is>
      </c>
      <c r="D995" s="48" t="inlineStr">
        <is>
          <t>인천공항</t>
        </is>
      </c>
      <c r="E995" s="46" t="inlineStr">
        <is>
          <t>ICN</t>
        </is>
      </c>
      <c r="F995" s="48" t="inlineStr">
        <is>
          <t>하노이공항</t>
        </is>
      </c>
      <c r="G995" s="46" t="inlineStr">
        <is>
          <t>HAN</t>
        </is>
      </c>
      <c r="H995" s="47" t="n">
        <v>45767</v>
      </c>
      <c r="I995" s="52" t="n">
        <v>45769</v>
      </c>
      <c r="J995" s="52" t="n">
        <v>45769</v>
      </c>
      <c r="K995" s="53" t="n">
        <v>135</v>
      </c>
    </row>
    <row r="996" ht="15" customHeight="1" s="32">
      <c r="A996" s="46" t="inlineStr">
        <is>
          <t>L-HB-0995</t>
        </is>
      </c>
      <c r="B996" s="46" t="inlineStr">
        <is>
          <t>R-HB-0995</t>
        </is>
      </c>
      <c r="C996" s="48" t="inlineStr">
        <is>
          <t>항공</t>
        </is>
      </c>
      <c r="D996" s="48" t="inlineStr">
        <is>
          <t>인천공항</t>
        </is>
      </c>
      <c r="E996" s="46" t="inlineStr">
        <is>
          <t>ICN</t>
        </is>
      </c>
      <c r="F996" s="48" t="inlineStr">
        <is>
          <t>선전공항</t>
        </is>
      </c>
      <c r="G996" s="46" t="inlineStr">
        <is>
          <t>SZX</t>
        </is>
      </c>
      <c r="H996" s="47" t="n">
        <v>45767</v>
      </c>
      <c r="I996" s="52" t="n">
        <v>45768</v>
      </c>
      <c r="J996" s="52" t="n">
        <v>45768</v>
      </c>
      <c r="K996" s="53" t="n">
        <v>135</v>
      </c>
    </row>
    <row r="997" ht="15" customHeight="1" s="32">
      <c r="A997" s="46" t="inlineStr">
        <is>
          <t>L-HB-0996</t>
        </is>
      </c>
      <c r="B997" s="46" t="inlineStr">
        <is>
          <t>R-HB-0996</t>
        </is>
      </c>
      <c r="C997" s="48" t="inlineStr">
        <is>
          <t>해상</t>
        </is>
      </c>
      <c r="D997" s="48" t="inlineStr">
        <is>
          <t>부산항</t>
        </is>
      </c>
      <c r="E997" s="46" t="inlineStr">
        <is>
          <t>KRPUS</t>
        </is>
      </c>
      <c r="F997" s="48" t="inlineStr">
        <is>
          <t>상하이항</t>
        </is>
      </c>
      <c r="G997" s="46" t="inlineStr">
        <is>
          <t>CNSHA</t>
        </is>
      </c>
      <c r="H997" s="47" t="n">
        <v>45767</v>
      </c>
      <c r="I997" s="52" t="n">
        <v>45774</v>
      </c>
      <c r="J997" s="52" t="n">
        <v>45774</v>
      </c>
      <c r="K997" s="53" t="n">
        <v>530</v>
      </c>
    </row>
    <row r="998" ht="15" customHeight="1" s="32">
      <c r="A998" s="46" t="inlineStr">
        <is>
          <t>L-HB-0997</t>
        </is>
      </c>
      <c r="B998" s="46" t="inlineStr">
        <is>
          <t>R-HB-0997</t>
        </is>
      </c>
      <c r="C998" s="48" t="inlineStr">
        <is>
          <t>항공</t>
        </is>
      </c>
      <c r="D998" s="48" t="inlineStr">
        <is>
          <t>인천공항</t>
        </is>
      </c>
      <c r="E998" s="46" t="inlineStr">
        <is>
          <t>ICN</t>
        </is>
      </c>
      <c r="F998" s="48" t="inlineStr">
        <is>
          <t>시애틀공항</t>
        </is>
      </c>
      <c r="G998" s="46" t="inlineStr">
        <is>
          <t>SEA</t>
        </is>
      </c>
      <c r="H998" s="47" t="n">
        <v>45768</v>
      </c>
      <c r="I998" s="52" t="n">
        <v>45771</v>
      </c>
      <c r="J998" s="52" t="n">
        <v>45770</v>
      </c>
      <c r="K998" s="53" t="n">
        <v>253.38</v>
      </c>
    </row>
    <row r="999" ht="15" customHeight="1" s="32">
      <c r="A999" s="46" t="inlineStr">
        <is>
          <t>L-HB-0998</t>
        </is>
      </c>
      <c r="B999" s="46" t="inlineStr">
        <is>
          <t>R-HB-0998</t>
        </is>
      </c>
      <c r="C999" s="48" t="inlineStr">
        <is>
          <t>항공</t>
        </is>
      </c>
      <c r="D999" s="48" t="inlineStr">
        <is>
          <t>인천공항</t>
        </is>
      </c>
      <c r="E999" s="46" t="inlineStr">
        <is>
          <t>ICN</t>
        </is>
      </c>
      <c r="F999" s="48" t="inlineStr">
        <is>
          <t>과달라하라공항</t>
        </is>
      </c>
      <c r="G999" s="46" t="inlineStr">
        <is>
          <t>GDL</t>
        </is>
      </c>
      <c r="H999" s="47" t="n">
        <v>45768</v>
      </c>
      <c r="I999" s="52" t="n">
        <v>45771</v>
      </c>
      <c r="J999" s="52" t="n">
        <v>45771</v>
      </c>
      <c r="K999" s="53" t="n">
        <v>135</v>
      </c>
    </row>
    <row r="1000" ht="15" customHeight="1" s="32">
      <c r="A1000" s="46" t="inlineStr">
        <is>
          <t>L-HB-0999</t>
        </is>
      </c>
      <c r="B1000" s="46" t="inlineStr">
        <is>
          <t>R-HB-0999</t>
        </is>
      </c>
      <c r="C1000" s="48" t="inlineStr">
        <is>
          <t>항공</t>
        </is>
      </c>
      <c r="D1000" s="48" t="inlineStr">
        <is>
          <t>인천공항</t>
        </is>
      </c>
      <c r="E1000" s="46" t="inlineStr">
        <is>
          <t>ICN</t>
        </is>
      </c>
      <c r="F1000" s="48" t="inlineStr">
        <is>
          <t>토론토공항</t>
        </is>
      </c>
      <c r="G1000" s="46" t="inlineStr">
        <is>
          <t>YYZ</t>
        </is>
      </c>
      <c r="H1000" s="47" t="n">
        <v>45768</v>
      </c>
      <c r="I1000" s="52" t="n">
        <v>45772</v>
      </c>
      <c r="J1000" s="52" t="n">
        <v>45773</v>
      </c>
      <c r="K1000" s="53" t="n">
        <v>135</v>
      </c>
    </row>
    <row r="1001" ht="15" customHeight="1" s="32">
      <c r="A1001" s="46" t="inlineStr">
        <is>
          <t>L-HB-1000</t>
        </is>
      </c>
      <c r="B1001" s="46" t="inlineStr">
        <is>
          <t>R-HB-1000</t>
        </is>
      </c>
      <c r="C1001" s="48" t="inlineStr">
        <is>
          <t>항공</t>
        </is>
      </c>
      <c r="D1001" s="48" t="inlineStr">
        <is>
          <t>인천공항</t>
        </is>
      </c>
      <c r="E1001" s="46" t="inlineStr">
        <is>
          <t>ICN</t>
        </is>
      </c>
      <c r="F1001" s="48" t="inlineStr">
        <is>
          <t>시애틀공항</t>
        </is>
      </c>
      <c r="G1001" s="46" t="inlineStr">
        <is>
          <t>SEA</t>
        </is>
      </c>
      <c r="H1001" s="47" t="n">
        <v>45769</v>
      </c>
      <c r="I1001" s="52" t="n">
        <v>45771</v>
      </c>
      <c r="J1001" s="52" t="n">
        <v>45771</v>
      </c>
      <c r="K1001" s="53" t="n">
        <v>135</v>
      </c>
    </row>
    <row r="1002" ht="15" customHeight="1" s="32">
      <c r="A1002" s="46" t="inlineStr">
        <is>
          <t>L-HB-1001</t>
        </is>
      </c>
      <c r="B1002" s="46" t="inlineStr">
        <is>
          <t>R-HB-1001</t>
        </is>
      </c>
      <c r="C1002" s="48" t="inlineStr">
        <is>
          <t>항공</t>
        </is>
      </c>
      <c r="D1002" s="48" t="inlineStr">
        <is>
          <t>인천공항</t>
        </is>
      </c>
      <c r="E1002" s="46" t="inlineStr">
        <is>
          <t>ICN</t>
        </is>
      </c>
      <c r="F1002" s="48" t="inlineStr">
        <is>
          <t>로스앤젤레스공항</t>
        </is>
      </c>
      <c r="G1002" s="46" t="inlineStr">
        <is>
          <t>LAX</t>
        </is>
      </c>
      <c r="H1002" s="47" t="n">
        <v>45770</v>
      </c>
      <c r="I1002" s="52" t="n">
        <v>45773</v>
      </c>
      <c r="J1002" s="52" t="n">
        <v>45773</v>
      </c>
      <c r="K1002" s="53" t="n">
        <v>482.32</v>
      </c>
    </row>
    <row r="1003" ht="15" customHeight="1" s="32">
      <c r="A1003" s="46" t="inlineStr">
        <is>
          <t>L-HB-1002</t>
        </is>
      </c>
      <c r="B1003" s="46" t="inlineStr">
        <is>
          <t>R-HB-1002</t>
        </is>
      </c>
      <c r="C1003" s="48" t="inlineStr">
        <is>
          <t>항공</t>
        </is>
      </c>
      <c r="D1003" s="48" t="inlineStr">
        <is>
          <t>인천공항</t>
        </is>
      </c>
      <c r="E1003" s="46" t="inlineStr">
        <is>
          <t>ICN</t>
        </is>
      </c>
      <c r="F1003" s="48" t="inlineStr">
        <is>
          <t>시애틀공항</t>
        </is>
      </c>
      <c r="G1003" s="46" t="inlineStr">
        <is>
          <t>SEA</t>
        </is>
      </c>
      <c r="H1003" s="47" t="n">
        <v>45770</v>
      </c>
      <c r="I1003" s="52" t="n">
        <v>45773</v>
      </c>
      <c r="J1003" s="52" t="n">
        <v>45773</v>
      </c>
      <c r="K1003" s="53" t="n">
        <v>156.58</v>
      </c>
    </row>
    <row r="1004" ht="15" customHeight="1" s="32">
      <c r="A1004" s="46" t="inlineStr">
        <is>
          <t>L-HB-1003</t>
        </is>
      </c>
      <c r="B1004" s="46" t="inlineStr">
        <is>
          <t>R-HB-1003</t>
        </is>
      </c>
      <c r="C1004" s="48" t="inlineStr">
        <is>
          <t>해상</t>
        </is>
      </c>
      <c r="D1004" s="48" t="inlineStr">
        <is>
          <t>부산항</t>
        </is>
      </c>
      <c r="E1004" s="46" t="inlineStr">
        <is>
          <t>KRPUS</t>
        </is>
      </c>
      <c r="F1004" s="48" t="inlineStr">
        <is>
          <t>하이퐁항</t>
        </is>
      </c>
      <c r="G1004" s="46" t="inlineStr">
        <is>
          <t>VNHPH</t>
        </is>
      </c>
      <c r="H1004" s="47" t="n">
        <v>45770</v>
      </c>
      <c r="I1004" s="52" t="n">
        <v>45780</v>
      </c>
      <c r="J1004" s="52" t="n">
        <v>45780</v>
      </c>
      <c r="K1004" s="53" t="n">
        <v>530</v>
      </c>
    </row>
    <row r="1005" ht="15" customHeight="1" s="32">
      <c r="A1005" s="46" t="inlineStr">
        <is>
          <t>L-HB-1004</t>
        </is>
      </c>
      <c r="B1005" s="46" t="inlineStr">
        <is>
          <t>R-HB-1004</t>
        </is>
      </c>
      <c r="C1005" s="48" t="inlineStr">
        <is>
          <t>항공</t>
        </is>
      </c>
      <c r="D1005" s="48" t="inlineStr">
        <is>
          <t>인천공항</t>
        </is>
      </c>
      <c r="E1005" s="46" t="inlineStr">
        <is>
          <t>ICN</t>
        </is>
      </c>
      <c r="F1005" s="48" t="inlineStr">
        <is>
          <t>과달라하라공항</t>
        </is>
      </c>
      <c r="G1005" s="46" t="inlineStr">
        <is>
          <t>GDL</t>
        </is>
      </c>
      <c r="H1005" s="47" t="n">
        <v>45771</v>
      </c>
      <c r="I1005" s="52" t="n">
        <v>45775</v>
      </c>
      <c r="J1005" s="52" t="n">
        <v>45774</v>
      </c>
      <c r="K1005" s="53" t="n">
        <v>135</v>
      </c>
    </row>
    <row r="1006" ht="15" customHeight="1" s="32">
      <c r="A1006" s="46" t="inlineStr">
        <is>
          <t>L-HB-1005</t>
        </is>
      </c>
      <c r="B1006" s="46" t="inlineStr">
        <is>
          <t>R-HB-1005</t>
        </is>
      </c>
      <c r="C1006" s="48" t="inlineStr">
        <is>
          <t>항공</t>
        </is>
      </c>
      <c r="D1006" s="48" t="inlineStr">
        <is>
          <t>인천공항</t>
        </is>
      </c>
      <c r="E1006" s="46" t="inlineStr">
        <is>
          <t>ICN</t>
        </is>
      </c>
      <c r="F1006" s="48" t="inlineStr">
        <is>
          <t>충칭공항</t>
        </is>
      </c>
      <c r="G1006" s="46" t="inlineStr">
        <is>
          <t>CKG</t>
        </is>
      </c>
      <c r="H1006" s="47" t="n">
        <v>45771</v>
      </c>
      <c r="I1006" s="52" t="n">
        <v>45774</v>
      </c>
      <c r="J1006" s="52" t="n">
        <v>45777</v>
      </c>
      <c r="K1006" s="53" t="n">
        <v>135</v>
      </c>
    </row>
    <row r="1007" ht="15" customHeight="1" s="32">
      <c r="A1007" s="46" t="inlineStr">
        <is>
          <t>L-HB-1006</t>
        </is>
      </c>
      <c r="B1007" s="46" t="inlineStr">
        <is>
          <t>R-HB-1006</t>
        </is>
      </c>
      <c r="C1007" s="48" t="inlineStr">
        <is>
          <t>항공</t>
        </is>
      </c>
      <c r="D1007" s="48" t="inlineStr">
        <is>
          <t>인천공항</t>
        </is>
      </c>
      <c r="E1007" s="46" t="inlineStr">
        <is>
          <t>ICN</t>
        </is>
      </c>
      <c r="F1007" s="48" t="inlineStr">
        <is>
          <t>하노이공항</t>
        </is>
      </c>
      <c r="G1007" s="46" t="inlineStr">
        <is>
          <t>HAN</t>
        </is>
      </c>
      <c r="H1007" s="47" t="n">
        <v>45773</v>
      </c>
      <c r="I1007" s="52" t="n">
        <v>45774</v>
      </c>
      <c r="J1007" s="52" t="n">
        <v>45774</v>
      </c>
      <c r="K1007" s="53" t="n">
        <v>135</v>
      </c>
    </row>
    <row r="1008" ht="15" customHeight="1" s="32">
      <c r="A1008" s="46" t="inlineStr">
        <is>
          <t>L-HB-1007</t>
        </is>
      </c>
      <c r="B1008" s="46" t="inlineStr">
        <is>
          <t>R-HB-1007</t>
        </is>
      </c>
      <c r="C1008" s="48" t="inlineStr">
        <is>
          <t>항공</t>
        </is>
      </c>
      <c r="D1008" s="48" t="inlineStr">
        <is>
          <t>인천공항</t>
        </is>
      </c>
      <c r="E1008" s="46" t="inlineStr">
        <is>
          <t>ICN</t>
        </is>
      </c>
      <c r="F1008" s="48" t="inlineStr">
        <is>
          <t>하노이공항</t>
        </is>
      </c>
      <c r="G1008" s="46" t="inlineStr">
        <is>
          <t>HAN</t>
        </is>
      </c>
      <c r="H1008" s="47" t="n">
        <v>45774</v>
      </c>
      <c r="I1008" s="52" t="n">
        <v>45776</v>
      </c>
      <c r="J1008" s="52" t="n">
        <v>45776</v>
      </c>
      <c r="K1008" s="53" t="n">
        <v>234.56</v>
      </c>
    </row>
    <row r="1009" ht="15" customHeight="1" s="32">
      <c r="A1009" s="46" t="inlineStr">
        <is>
          <t>L-HB-1008</t>
        </is>
      </c>
      <c r="B1009" s="46" t="inlineStr">
        <is>
          <t>R-HB-1008</t>
        </is>
      </c>
      <c r="C1009" s="48" t="inlineStr">
        <is>
          <t>해상</t>
        </is>
      </c>
      <c r="D1009" s="48" t="inlineStr">
        <is>
          <t>부산항</t>
        </is>
      </c>
      <c r="E1009" s="46" t="inlineStr">
        <is>
          <t>KRPUS</t>
        </is>
      </c>
      <c r="F1009" s="48" t="inlineStr">
        <is>
          <t>서커우항</t>
        </is>
      </c>
      <c r="G1009" s="46" t="inlineStr">
        <is>
          <t>CNSHK</t>
        </is>
      </c>
      <c r="H1009" s="47" t="n">
        <v>45774</v>
      </c>
      <c r="I1009" s="52" t="n">
        <v>45779</v>
      </c>
      <c r="J1009" s="52" t="n">
        <v>45779</v>
      </c>
      <c r="K1009" s="53" t="n">
        <v>530</v>
      </c>
    </row>
    <row r="1010" ht="15" customHeight="1" s="32">
      <c r="A1010" s="46" t="inlineStr">
        <is>
          <t>L-HB-1009</t>
        </is>
      </c>
      <c r="B1010" s="46" t="inlineStr">
        <is>
          <t>R-HB-1009</t>
        </is>
      </c>
      <c r="C1010" s="48" t="inlineStr">
        <is>
          <t>해상</t>
        </is>
      </c>
      <c r="D1010" s="48" t="inlineStr">
        <is>
          <t>부산항</t>
        </is>
      </c>
      <c r="E1010" s="46" t="inlineStr">
        <is>
          <t>KRPUS</t>
        </is>
      </c>
      <c r="F1010" s="48" t="inlineStr">
        <is>
          <t>하이퐁항</t>
        </is>
      </c>
      <c r="G1010" s="46" t="inlineStr">
        <is>
          <t>VNHPH</t>
        </is>
      </c>
      <c r="H1010" s="47" t="n">
        <v>45780</v>
      </c>
      <c r="I1010" s="52" t="n">
        <v>45788</v>
      </c>
      <c r="J1010" s="52" t="n">
        <v>45792</v>
      </c>
      <c r="K1010" s="53" t="n">
        <v>530</v>
      </c>
    </row>
    <row r="1011" ht="15" customHeight="1" s="32">
      <c r="A1011" s="46" t="inlineStr">
        <is>
          <t>L-HB-1010</t>
        </is>
      </c>
      <c r="B1011" s="46" t="inlineStr">
        <is>
          <t>R-HB-1010</t>
        </is>
      </c>
      <c r="C1011" s="48" t="inlineStr">
        <is>
          <t>항공</t>
        </is>
      </c>
      <c r="D1011" s="48" t="inlineStr">
        <is>
          <t>인천공항</t>
        </is>
      </c>
      <c r="E1011" s="46" t="inlineStr">
        <is>
          <t>ICN</t>
        </is>
      </c>
      <c r="F1011" s="48" t="inlineStr">
        <is>
          <t>충칭공항</t>
        </is>
      </c>
      <c r="G1011" s="46" t="inlineStr">
        <is>
          <t>CKG</t>
        </is>
      </c>
      <c r="H1011" s="47" t="n">
        <v>45780</v>
      </c>
      <c r="I1011" s="52" t="n">
        <v>45782</v>
      </c>
      <c r="J1011" s="52" t="n">
        <v>45782</v>
      </c>
      <c r="K1011" s="53" t="n">
        <v>280.43</v>
      </c>
    </row>
    <row r="1012" ht="15" customHeight="1" s="32">
      <c r="A1012" s="46" t="inlineStr">
        <is>
          <t>L-HB-1011</t>
        </is>
      </c>
      <c r="B1012" s="46" t="inlineStr">
        <is>
          <t>R-HB-1011</t>
        </is>
      </c>
      <c r="C1012" s="48" t="inlineStr">
        <is>
          <t>항공</t>
        </is>
      </c>
      <c r="D1012" s="48" t="inlineStr">
        <is>
          <t>인천공항</t>
        </is>
      </c>
      <c r="E1012" s="46" t="inlineStr">
        <is>
          <t>ICN</t>
        </is>
      </c>
      <c r="F1012" s="48" t="inlineStr">
        <is>
          <t>시애틀공항</t>
        </is>
      </c>
      <c r="G1012" s="46" t="inlineStr">
        <is>
          <t>SEA</t>
        </is>
      </c>
      <c r="H1012" s="47" t="n">
        <v>45781</v>
      </c>
      <c r="I1012" s="52" t="n">
        <v>45784</v>
      </c>
      <c r="J1012" s="52" t="n">
        <v>45784</v>
      </c>
      <c r="K1012" s="53" t="n">
        <v>284.81</v>
      </c>
    </row>
    <row r="1013" ht="15" customHeight="1" s="32">
      <c r="A1013" s="46" t="inlineStr">
        <is>
          <t>L-HB-1012</t>
        </is>
      </c>
      <c r="B1013" s="46" t="inlineStr">
        <is>
          <t>R-HB-1012</t>
        </is>
      </c>
      <c r="C1013" s="48" t="inlineStr">
        <is>
          <t>항공</t>
        </is>
      </c>
      <c r="D1013" s="48" t="inlineStr">
        <is>
          <t>인천공항</t>
        </is>
      </c>
      <c r="E1013" s="46" t="inlineStr">
        <is>
          <t>ICN</t>
        </is>
      </c>
      <c r="F1013" s="48" t="inlineStr">
        <is>
          <t>충칭공항</t>
        </is>
      </c>
      <c r="G1013" s="46" t="inlineStr">
        <is>
          <t>CKG</t>
        </is>
      </c>
      <c r="H1013" s="47" t="n">
        <v>45782</v>
      </c>
      <c r="I1013" s="52" t="n">
        <v>45783</v>
      </c>
      <c r="J1013" s="52" t="n">
        <v>45783</v>
      </c>
      <c r="K1013" s="53" t="n">
        <v>135</v>
      </c>
    </row>
    <row r="1014" ht="15" customHeight="1" s="32">
      <c r="A1014" s="46" t="inlineStr">
        <is>
          <t>L-HB-1013</t>
        </is>
      </c>
      <c r="B1014" s="46" t="inlineStr">
        <is>
          <t>R-HB-1013</t>
        </is>
      </c>
      <c r="C1014" s="48" t="inlineStr">
        <is>
          <t>항공</t>
        </is>
      </c>
      <c r="D1014" s="48" t="inlineStr">
        <is>
          <t>인천공항</t>
        </is>
      </c>
      <c r="E1014" s="46" t="inlineStr">
        <is>
          <t>ICN</t>
        </is>
      </c>
      <c r="F1014" s="48" t="inlineStr">
        <is>
          <t>시애틀공항</t>
        </is>
      </c>
      <c r="G1014" s="46" t="inlineStr">
        <is>
          <t>SEA</t>
        </is>
      </c>
      <c r="H1014" s="47" t="n">
        <v>45784</v>
      </c>
      <c r="I1014" s="52" t="n">
        <v>45787</v>
      </c>
      <c r="J1014" s="52" t="n">
        <v>45787</v>
      </c>
      <c r="K1014" s="53" t="n">
        <v>135</v>
      </c>
    </row>
    <row r="1015" ht="15" customHeight="1" s="32">
      <c r="A1015" s="46" t="inlineStr">
        <is>
          <t>L-HB-1014</t>
        </is>
      </c>
      <c r="B1015" s="46" t="inlineStr">
        <is>
          <t>R-HB-1014</t>
        </is>
      </c>
      <c r="C1015" s="48" t="inlineStr">
        <is>
          <t>항공</t>
        </is>
      </c>
      <c r="D1015" s="48" t="inlineStr">
        <is>
          <t>인천공항</t>
        </is>
      </c>
      <c r="E1015" s="46" t="inlineStr">
        <is>
          <t>ICN</t>
        </is>
      </c>
      <c r="F1015" s="48" t="inlineStr">
        <is>
          <t>토론토공항</t>
        </is>
      </c>
      <c r="G1015" s="46" t="inlineStr">
        <is>
          <t>YYZ</t>
        </is>
      </c>
      <c r="H1015" s="47" t="n">
        <v>45785</v>
      </c>
      <c r="I1015" s="52" t="n">
        <v>45788</v>
      </c>
      <c r="J1015" s="52" t="n">
        <v>45788</v>
      </c>
      <c r="K1015" s="53" t="n">
        <v>135</v>
      </c>
    </row>
    <row r="1016" ht="15" customHeight="1" s="32">
      <c r="A1016" s="46" t="inlineStr">
        <is>
          <t>L-HB-1015</t>
        </is>
      </c>
      <c r="B1016" s="46" t="inlineStr">
        <is>
          <t>R-HB-1015</t>
        </is>
      </c>
      <c r="C1016" s="48" t="inlineStr">
        <is>
          <t>항공</t>
        </is>
      </c>
      <c r="D1016" s="48" t="inlineStr">
        <is>
          <t>인천공항</t>
        </is>
      </c>
      <c r="E1016" s="46" t="inlineStr">
        <is>
          <t>ICN</t>
        </is>
      </c>
      <c r="F1016" s="48" t="inlineStr">
        <is>
          <t>충칭공항</t>
        </is>
      </c>
      <c r="G1016" s="46" t="inlineStr">
        <is>
          <t>CKG</t>
        </is>
      </c>
      <c r="H1016" s="47" t="n">
        <v>45785</v>
      </c>
      <c r="I1016" s="52" t="n">
        <v>45787</v>
      </c>
      <c r="J1016" s="52" t="n">
        <v>45787</v>
      </c>
      <c r="K1016" s="53" t="n">
        <v>135</v>
      </c>
    </row>
    <row r="1017" ht="15" customHeight="1" s="32">
      <c r="A1017" s="46" t="inlineStr">
        <is>
          <t>L-HB-1016</t>
        </is>
      </c>
      <c r="B1017" s="46" t="inlineStr">
        <is>
          <t>R-HB-1016</t>
        </is>
      </c>
      <c r="C1017" s="48" t="inlineStr">
        <is>
          <t>항공</t>
        </is>
      </c>
      <c r="D1017" s="48" t="inlineStr">
        <is>
          <t>인천공항</t>
        </is>
      </c>
      <c r="E1017" s="46" t="inlineStr">
        <is>
          <t>ICN</t>
        </is>
      </c>
      <c r="F1017" s="48" t="inlineStr">
        <is>
          <t>하노이공항</t>
        </is>
      </c>
      <c r="G1017" s="46" t="inlineStr">
        <is>
          <t>HAN</t>
        </is>
      </c>
      <c r="H1017" s="47" t="n">
        <v>45787</v>
      </c>
      <c r="I1017" s="52" t="n">
        <v>45789</v>
      </c>
      <c r="J1017" s="52" t="n">
        <v>45789</v>
      </c>
      <c r="K1017" s="53" t="n">
        <v>274.14</v>
      </c>
    </row>
    <row r="1018" ht="15" customHeight="1" s="32">
      <c r="A1018" s="46" t="inlineStr">
        <is>
          <t>L-HB-1017</t>
        </is>
      </c>
      <c r="B1018" s="46" t="inlineStr">
        <is>
          <t>R-HB-1017</t>
        </is>
      </c>
      <c r="C1018" s="48" t="inlineStr">
        <is>
          <t>해상</t>
        </is>
      </c>
      <c r="D1018" s="48" t="inlineStr">
        <is>
          <t>부산항</t>
        </is>
      </c>
      <c r="E1018" s="46" t="inlineStr">
        <is>
          <t>KRPUS</t>
        </is>
      </c>
      <c r="F1018" s="48" t="inlineStr">
        <is>
          <t>서커우항</t>
        </is>
      </c>
      <c r="G1018" s="46" t="inlineStr">
        <is>
          <t>CNSHK</t>
        </is>
      </c>
      <c r="H1018" s="47" t="n">
        <v>45787</v>
      </c>
      <c r="I1018" s="52" t="n">
        <v>45793</v>
      </c>
      <c r="J1018" s="52" t="n">
        <v>45793</v>
      </c>
      <c r="K1018" s="53" t="n">
        <v>530</v>
      </c>
    </row>
    <row r="1019" ht="15" customHeight="1" s="32">
      <c r="A1019" s="46" t="inlineStr">
        <is>
          <t>L-HB-1018</t>
        </is>
      </c>
      <c r="B1019" s="46" t="inlineStr">
        <is>
          <t>R-HB-1018</t>
        </is>
      </c>
      <c r="C1019" s="48" t="inlineStr">
        <is>
          <t>항공</t>
        </is>
      </c>
      <c r="D1019" s="48" t="inlineStr">
        <is>
          <t>인천공항</t>
        </is>
      </c>
      <c r="E1019" s="46" t="inlineStr">
        <is>
          <t>ICN</t>
        </is>
      </c>
      <c r="F1019" s="48" t="inlineStr">
        <is>
          <t>과달라하라공항</t>
        </is>
      </c>
      <c r="G1019" s="46" t="inlineStr">
        <is>
          <t>GDL</t>
        </is>
      </c>
      <c r="H1019" s="47" t="n">
        <v>45788</v>
      </c>
      <c r="I1019" s="52" t="n">
        <v>45791</v>
      </c>
      <c r="J1019" s="52" t="n">
        <v>45791</v>
      </c>
      <c r="K1019" s="53" t="n">
        <v>135</v>
      </c>
    </row>
    <row r="1020" ht="15" customHeight="1" s="32">
      <c r="A1020" s="46" t="inlineStr">
        <is>
          <t>L-HB-1019</t>
        </is>
      </c>
      <c r="B1020" s="46" t="inlineStr">
        <is>
          <t>R-HB-1019</t>
        </is>
      </c>
      <c r="C1020" s="48" t="inlineStr">
        <is>
          <t>항공</t>
        </is>
      </c>
      <c r="D1020" s="48" t="inlineStr">
        <is>
          <t>인천공항</t>
        </is>
      </c>
      <c r="E1020" s="46" t="inlineStr">
        <is>
          <t>ICN</t>
        </is>
      </c>
      <c r="F1020" s="48" t="inlineStr">
        <is>
          <t>하노이공항</t>
        </is>
      </c>
      <c r="G1020" s="46" t="inlineStr">
        <is>
          <t>HAN</t>
        </is>
      </c>
      <c r="H1020" s="47" t="n">
        <v>45788</v>
      </c>
      <c r="I1020" s="52" t="n">
        <v>45790</v>
      </c>
      <c r="J1020" s="52" t="n">
        <v>45790</v>
      </c>
      <c r="K1020" s="53" t="n">
        <v>135</v>
      </c>
    </row>
    <row r="1021" ht="15" customHeight="1" s="32">
      <c r="A1021" s="46" t="inlineStr">
        <is>
          <t>L-HB-1020</t>
        </is>
      </c>
      <c r="B1021" s="46" t="inlineStr">
        <is>
          <t>R-HB-1020</t>
        </is>
      </c>
      <c r="C1021" s="48" t="inlineStr">
        <is>
          <t>항공</t>
        </is>
      </c>
      <c r="D1021" s="48" t="inlineStr">
        <is>
          <t>인천공항</t>
        </is>
      </c>
      <c r="E1021" s="46" t="inlineStr">
        <is>
          <t>ICN</t>
        </is>
      </c>
      <c r="F1021" s="48" t="inlineStr">
        <is>
          <t>로스앤젤레스공항</t>
        </is>
      </c>
      <c r="G1021" s="46" t="inlineStr">
        <is>
          <t>LAX</t>
        </is>
      </c>
      <c r="H1021" s="47" t="n">
        <v>45789</v>
      </c>
      <c r="I1021" s="52" t="n">
        <v>45793</v>
      </c>
      <c r="J1021" s="52" t="n">
        <v>45795</v>
      </c>
      <c r="K1021" s="53" t="n">
        <v>141.61</v>
      </c>
    </row>
    <row r="1022" ht="15" customHeight="1" s="32">
      <c r="A1022" s="46" t="inlineStr">
        <is>
          <t>L-HB-1021</t>
        </is>
      </c>
      <c r="B1022" s="46" t="inlineStr">
        <is>
          <t>R-HB-1021</t>
        </is>
      </c>
      <c r="C1022" s="48" t="inlineStr">
        <is>
          <t>항공</t>
        </is>
      </c>
      <c r="D1022" s="48" t="inlineStr">
        <is>
          <t>인천공항</t>
        </is>
      </c>
      <c r="E1022" s="46" t="inlineStr">
        <is>
          <t>ICN</t>
        </is>
      </c>
      <c r="F1022" s="48" t="inlineStr">
        <is>
          <t>선전공항</t>
        </is>
      </c>
      <c r="G1022" s="46" t="inlineStr">
        <is>
          <t>SZX</t>
        </is>
      </c>
      <c r="H1022" s="47" t="n">
        <v>45789</v>
      </c>
      <c r="I1022" s="52" t="n">
        <v>45790</v>
      </c>
      <c r="J1022" s="52" t="n">
        <v>45790</v>
      </c>
      <c r="K1022" s="53" t="n">
        <v>135</v>
      </c>
    </row>
    <row r="1023" ht="15" customHeight="1" s="32">
      <c r="A1023" s="46" t="inlineStr">
        <is>
          <t>L-HB-1022</t>
        </is>
      </c>
      <c r="B1023" s="46" t="inlineStr">
        <is>
          <t>R-HB-1022</t>
        </is>
      </c>
      <c r="C1023" s="48" t="inlineStr">
        <is>
          <t>항공</t>
        </is>
      </c>
      <c r="D1023" s="48" t="inlineStr">
        <is>
          <t>인천공항</t>
        </is>
      </c>
      <c r="E1023" s="46" t="inlineStr">
        <is>
          <t>ICN</t>
        </is>
      </c>
      <c r="F1023" s="48" t="inlineStr">
        <is>
          <t>선전공항</t>
        </is>
      </c>
      <c r="G1023" s="46" t="inlineStr">
        <is>
          <t>SZX</t>
        </is>
      </c>
      <c r="H1023" s="47" t="n">
        <v>45789</v>
      </c>
      <c r="I1023" s="52" t="n">
        <v>45792</v>
      </c>
      <c r="J1023" s="52" t="n">
        <v>45792</v>
      </c>
      <c r="K1023" s="53" t="n">
        <v>135</v>
      </c>
    </row>
    <row r="1024" ht="15" customHeight="1" s="32">
      <c r="A1024" s="46" t="inlineStr">
        <is>
          <t>L-HB-1023</t>
        </is>
      </c>
      <c r="B1024" s="46" t="inlineStr">
        <is>
          <t>R-HB-1023</t>
        </is>
      </c>
      <c r="C1024" s="48" t="inlineStr">
        <is>
          <t>항공</t>
        </is>
      </c>
      <c r="D1024" s="48" t="inlineStr">
        <is>
          <t>인천공항</t>
        </is>
      </c>
      <c r="E1024" s="46" t="inlineStr">
        <is>
          <t>ICN</t>
        </is>
      </c>
      <c r="F1024" s="48" t="inlineStr">
        <is>
          <t>프랑크푸르트공항</t>
        </is>
      </c>
      <c r="G1024" s="46" t="inlineStr">
        <is>
          <t>FRA</t>
        </is>
      </c>
      <c r="H1024" s="47" t="n">
        <v>45791</v>
      </c>
      <c r="I1024" s="52" t="n">
        <v>45795</v>
      </c>
      <c r="J1024" s="52" t="n">
        <v>45795</v>
      </c>
      <c r="K1024" s="53" t="n">
        <v>495.63</v>
      </c>
    </row>
    <row r="1025" ht="15" customHeight="1" s="32">
      <c r="A1025" s="46" t="inlineStr">
        <is>
          <t>L-HB-1024</t>
        </is>
      </c>
      <c r="B1025" s="46" t="inlineStr">
        <is>
          <t>R-HB-1024</t>
        </is>
      </c>
      <c r="C1025" s="48" t="inlineStr">
        <is>
          <t>항공</t>
        </is>
      </c>
      <c r="D1025" s="48" t="inlineStr">
        <is>
          <t>인천공항</t>
        </is>
      </c>
      <c r="E1025" s="46" t="inlineStr">
        <is>
          <t>ICN</t>
        </is>
      </c>
      <c r="F1025" s="48" t="inlineStr">
        <is>
          <t>프랑크푸르트공항</t>
        </is>
      </c>
      <c r="G1025" s="46" t="inlineStr">
        <is>
          <t>FRA</t>
        </is>
      </c>
      <c r="H1025" s="47" t="n">
        <v>45791</v>
      </c>
      <c r="I1025" s="52" t="n">
        <v>45795</v>
      </c>
      <c r="J1025" s="52" t="n">
        <v>45795</v>
      </c>
      <c r="K1025" s="53" t="n">
        <v>225.9</v>
      </c>
    </row>
    <row r="1026" ht="15" customHeight="1" s="32">
      <c r="A1026" s="46" t="inlineStr">
        <is>
          <t>L-HB-1025</t>
        </is>
      </c>
      <c r="B1026" s="46" t="inlineStr">
        <is>
          <t>R-HB-1025</t>
        </is>
      </c>
      <c r="C1026" s="48" t="inlineStr">
        <is>
          <t>항공</t>
        </is>
      </c>
      <c r="D1026" s="48" t="inlineStr">
        <is>
          <t>인천공항</t>
        </is>
      </c>
      <c r="E1026" s="46" t="inlineStr">
        <is>
          <t>ICN</t>
        </is>
      </c>
      <c r="F1026" s="48" t="inlineStr">
        <is>
          <t>델리공항</t>
        </is>
      </c>
      <c r="G1026" s="46" t="inlineStr">
        <is>
          <t>DEL</t>
        </is>
      </c>
      <c r="H1026" s="47" t="n">
        <v>45791</v>
      </c>
      <c r="I1026" s="52" t="n">
        <v>45793</v>
      </c>
      <c r="J1026" s="52" t="n">
        <v>45793</v>
      </c>
      <c r="K1026" s="53" t="n">
        <v>266.76</v>
      </c>
    </row>
    <row r="1027" ht="15" customHeight="1" s="32">
      <c r="A1027" s="46" t="inlineStr">
        <is>
          <t>L-HB-1026</t>
        </is>
      </c>
      <c r="B1027" s="46" t="inlineStr">
        <is>
          <t>R-HB-1026</t>
        </is>
      </c>
      <c r="C1027" s="48" t="inlineStr">
        <is>
          <t>항공</t>
        </is>
      </c>
      <c r="D1027" s="48" t="inlineStr">
        <is>
          <t>인천공항</t>
        </is>
      </c>
      <c r="E1027" s="46" t="inlineStr">
        <is>
          <t>ICN</t>
        </is>
      </c>
      <c r="F1027" s="48" t="inlineStr">
        <is>
          <t>과달라하라공항</t>
        </is>
      </c>
      <c r="G1027" s="46" t="inlineStr">
        <is>
          <t>GDL</t>
        </is>
      </c>
      <c r="H1027" s="47" t="n">
        <v>45792</v>
      </c>
      <c r="I1027" s="52" t="n">
        <v>45797</v>
      </c>
      <c r="J1027" s="52" t="n">
        <v>45797</v>
      </c>
      <c r="K1027" s="53" t="n">
        <v>135</v>
      </c>
    </row>
    <row r="1028" ht="15" customHeight="1" s="32">
      <c r="A1028" s="46" t="inlineStr">
        <is>
          <t>L-HB-1027</t>
        </is>
      </c>
      <c r="B1028" s="46" t="inlineStr">
        <is>
          <t>R-HB-1027</t>
        </is>
      </c>
      <c r="C1028" s="48" t="inlineStr">
        <is>
          <t>항공</t>
        </is>
      </c>
      <c r="D1028" s="48" t="inlineStr">
        <is>
          <t>인천공항</t>
        </is>
      </c>
      <c r="E1028" s="46" t="inlineStr">
        <is>
          <t>ICN</t>
        </is>
      </c>
      <c r="F1028" s="48" t="inlineStr">
        <is>
          <t>델리공항</t>
        </is>
      </c>
      <c r="G1028" s="46" t="inlineStr">
        <is>
          <t>DEL</t>
        </is>
      </c>
      <c r="H1028" s="47" t="n">
        <v>45792</v>
      </c>
      <c r="I1028" s="52" t="n">
        <v>45795</v>
      </c>
      <c r="J1028" s="52" t="n">
        <v>45795</v>
      </c>
      <c r="K1028" s="53" t="n">
        <v>135</v>
      </c>
    </row>
    <row r="1029" ht="15" customHeight="1" s="32">
      <c r="A1029" s="46" t="inlineStr">
        <is>
          <t>L-HB-1028</t>
        </is>
      </c>
      <c r="B1029" s="46" t="inlineStr">
        <is>
          <t>R-HB-1028</t>
        </is>
      </c>
      <c r="C1029" s="48" t="inlineStr">
        <is>
          <t>항공</t>
        </is>
      </c>
      <c r="D1029" s="48" t="inlineStr">
        <is>
          <t>인천공항</t>
        </is>
      </c>
      <c r="E1029" s="46" t="inlineStr">
        <is>
          <t>ICN</t>
        </is>
      </c>
      <c r="F1029" s="48" t="inlineStr">
        <is>
          <t>델리공항</t>
        </is>
      </c>
      <c r="G1029" s="46" t="inlineStr">
        <is>
          <t>DEL</t>
        </is>
      </c>
      <c r="H1029" s="47" t="n">
        <v>45792</v>
      </c>
      <c r="I1029" s="52" t="n">
        <v>45794</v>
      </c>
      <c r="J1029" s="52" t="n">
        <v>45794</v>
      </c>
      <c r="K1029" s="53" t="n">
        <v>135</v>
      </c>
    </row>
    <row r="1030" ht="15" customHeight="1" s="32">
      <c r="A1030" s="46" t="inlineStr">
        <is>
          <t>L-HB-1029</t>
        </is>
      </c>
      <c r="B1030" s="46" t="inlineStr">
        <is>
          <t>R-HB-1029</t>
        </is>
      </c>
      <c r="C1030" s="48" t="inlineStr">
        <is>
          <t>항공</t>
        </is>
      </c>
      <c r="D1030" s="48" t="inlineStr">
        <is>
          <t>인천공항</t>
        </is>
      </c>
      <c r="E1030" s="46" t="inlineStr">
        <is>
          <t>ICN</t>
        </is>
      </c>
      <c r="F1030" s="48" t="inlineStr">
        <is>
          <t>시애틀공항</t>
        </is>
      </c>
      <c r="G1030" s="46" t="inlineStr">
        <is>
          <t>SEA</t>
        </is>
      </c>
      <c r="H1030" s="47" t="n">
        <v>45793</v>
      </c>
      <c r="I1030" s="52" t="n">
        <v>45795</v>
      </c>
      <c r="J1030" s="52" t="n">
        <v>45795</v>
      </c>
      <c r="K1030" s="53" t="n">
        <v>135</v>
      </c>
    </row>
    <row r="1031" ht="15" customHeight="1" s="32">
      <c r="A1031" s="46" t="inlineStr">
        <is>
          <t>L-HB-1030</t>
        </is>
      </c>
      <c r="B1031" s="46" t="inlineStr">
        <is>
          <t>R-HB-1030</t>
        </is>
      </c>
      <c r="C1031" s="48" t="inlineStr">
        <is>
          <t>항공</t>
        </is>
      </c>
      <c r="D1031" s="48" t="inlineStr">
        <is>
          <t>인천공항</t>
        </is>
      </c>
      <c r="E1031" s="46" t="inlineStr">
        <is>
          <t>ICN</t>
        </is>
      </c>
      <c r="F1031" s="48" t="inlineStr">
        <is>
          <t>선전공항</t>
        </is>
      </c>
      <c r="G1031" s="46" t="inlineStr">
        <is>
          <t>SZX</t>
        </is>
      </c>
      <c r="H1031" s="47" t="n">
        <v>45793</v>
      </c>
      <c r="I1031" s="52" t="n">
        <v>45796</v>
      </c>
      <c r="J1031" s="52" t="n">
        <v>45796</v>
      </c>
      <c r="K1031" s="53" t="n">
        <v>361.44</v>
      </c>
    </row>
    <row r="1032" ht="15" customHeight="1" s="32">
      <c r="A1032" s="46" t="inlineStr">
        <is>
          <t>L-HB-1031</t>
        </is>
      </c>
      <c r="B1032" s="46" t="inlineStr">
        <is>
          <t>R-HB-1031</t>
        </is>
      </c>
      <c r="C1032" s="48" t="inlineStr">
        <is>
          <t>항공</t>
        </is>
      </c>
      <c r="D1032" s="48" t="inlineStr">
        <is>
          <t>인천공항</t>
        </is>
      </c>
      <c r="E1032" s="46" t="inlineStr">
        <is>
          <t>ICN</t>
        </is>
      </c>
      <c r="F1032" s="48" t="inlineStr">
        <is>
          <t>로스앤젤레스공항</t>
        </is>
      </c>
      <c r="G1032" s="46" t="inlineStr">
        <is>
          <t>LAX</t>
        </is>
      </c>
      <c r="H1032" s="47" t="n">
        <v>45796</v>
      </c>
      <c r="I1032" s="52" t="n">
        <v>45799</v>
      </c>
      <c r="J1032" s="52" t="n">
        <v>45799</v>
      </c>
      <c r="K1032" s="53" t="n">
        <v>207.28</v>
      </c>
    </row>
    <row r="1033" ht="15" customHeight="1" s="32">
      <c r="A1033" s="46" t="inlineStr">
        <is>
          <t>L-HB-1032</t>
        </is>
      </c>
      <c r="B1033" s="46" t="inlineStr">
        <is>
          <t>R-HB-1032</t>
        </is>
      </c>
      <c r="C1033" s="48" t="inlineStr">
        <is>
          <t>항공</t>
        </is>
      </c>
      <c r="D1033" s="48" t="inlineStr">
        <is>
          <t>인천공항</t>
        </is>
      </c>
      <c r="E1033" s="46" t="inlineStr">
        <is>
          <t>ICN</t>
        </is>
      </c>
      <c r="F1033" s="48" t="inlineStr">
        <is>
          <t>토론토공항</t>
        </is>
      </c>
      <c r="G1033" s="46" t="inlineStr">
        <is>
          <t>YYZ</t>
        </is>
      </c>
      <c r="H1033" s="47" t="n">
        <v>45796</v>
      </c>
      <c r="I1033" s="52" t="n">
        <v>45800</v>
      </c>
      <c r="J1033" s="52" t="n">
        <v>45800</v>
      </c>
      <c r="K1033" s="53" t="n">
        <v>135</v>
      </c>
    </row>
    <row r="1034" ht="15" customHeight="1" s="32">
      <c r="A1034" s="46" t="inlineStr">
        <is>
          <t>L-HB-1033</t>
        </is>
      </c>
      <c r="B1034" s="46" t="inlineStr">
        <is>
          <t>R-HB-1033</t>
        </is>
      </c>
      <c r="C1034" s="48" t="inlineStr">
        <is>
          <t>항공</t>
        </is>
      </c>
      <c r="D1034" s="48" t="inlineStr">
        <is>
          <t>인천공항</t>
        </is>
      </c>
      <c r="E1034" s="46" t="inlineStr">
        <is>
          <t>ICN</t>
        </is>
      </c>
      <c r="F1034" s="48" t="inlineStr">
        <is>
          <t>하노이공항</t>
        </is>
      </c>
      <c r="G1034" s="46" t="inlineStr">
        <is>
          <t>HAN</t>
        </is>
      </c>
      <c r="H1034" s="47" t="n">
        <v>45796</v>
      </c>
      <c r="I1034" s="52" t="n">
        <v>45798</v>
      </c>
      <c r="J1034" s="52" t="n">
        <v>45798</v>
      </c>
      <c r="K1034" s="53" t="n">
        <v>135</v>
      </c>
    </row>
    <row r="1035" ht="15" customHeight="1" s="32">
      <c r="A1035" s="46" t="inlineStr">
        <is>
          <t>L-HB-1034</t>
        </is>
      </c>
      <c r="B1035" s="46" t="inlineStr">
        <is>
          <t>R-HB-1034</t>
        </is>
      </c>
      <c r="C1035" s="48" t="inlineStr">
        <is>
          <t>항공</t>
        </is>
      </c>
      <c r="D1035" s="48" t="inlineStr">
        <is>
          <t>인천공항</t>
        </is>
      </c>
      <c r="E1035" s="46" t="inlineStr">
        <is>
          <t>ICN</t>
        </is>
      </c>
      <c r="F1035" s="48" t="inlineStr">
        <is>
          <t>과달라하라공항</t>
        </is>
      </c>
      <c r="G1035" s="46" t="inlineStr">
        <is>
          <t>GDL</t>
        </is>
      </c>
      <c r="H1035" s="47" t="n">
        <v>45797</v>
      </c>
      <c r="I1035" s="52" t="n">
        <v>45800</v>
      </c>
      <c r="J1035" s="52" t="n">
        <v>45804</v>
      </c>
      <c r="K1035" s="53" t="n">
        <v>135</v>
      </c>
    </row>
    <row r="1036" ht="15" customHeight="1" s="32">
      <c r="A1036" s="46" t="inlineStr">
        <is>
          <t>L-HB-1035</t>
        </is>
      </c>
      <c r="B1036" s="46" t="inlineStr">
        <is>
          <t>R-HB-1035</t>
        </is>
      </c>
      <c r="C1036" s="48" t="inlineStr">
        <is>
          <t>항공</t>
        </is>
      </c>
      <c r="D1036" s="48" t="inlineStr">
        <is>
          <t>인천공항</t>
        </is>
      </c>
      <c r="E1036" s="46" t="inlineStr">
        <is>
          <t>ICN</t>
        </is>
      </c>
      <c r="F1036" s="48" t="inlineStr">
        <is>
          <t>로스앤젤레스공항</t>
        </is>
      </c>
      <c r="G1036" s="46" t="inlineStr">
        <is>
          <t>LAX</t>
        </is>
      </c>
      <c r="H1036" s="47" t="n">
        <v>45799</v>
      </c>
      <c r="I1036" s="52" t="n">
        <v>45802</v>
      </c>
      <c r="J1036" s="52" t="n">
        <v>45802</v>
      </c>
      <c r="K1036" s="53" t="n">
        <v>135</v>
      </c>
    </row>
    <row r="1037" ht="15" customHeight="1" s="32">
      <c r="A1037" s="46" t="inlineStr">
        <is>
          <t>L-HB-1036</t>
        </is>
      </c>
      <c r="B1037" s="46" t="inlineStr">
        <is>
          <t>R-HB-1036</t>
        </is>
      </c>
      <c r="C1037" s="48" t="inlineStr">
        <is>
          <t>항공</t>
        </is>
      </c>
      <c r="D1037" s="48" t="inlineStr">
        <is>
          <t>인천공항</t>
        </is>
      </c>
      <c r="E1037" s="46" t="inlineStr">
        <is>
          <t>ICN</t>
        </is>
      </c>
      <c r="F1037" s="48" t="inlineStr">
        <is>
          <t>로스앤젤레스공항</t>
        </is>
      </c>
      <c r="G1037" s="46" t="inlineStr">
        <is>
          <t>LAX</t>
        </is>
      </c>
      <c r="H1037" s="47" t="n">
        <v>45800</v>
      </c>
      <c r="I1037" s="52" t="n">
        <v>45802</v>
      </c>
      <c r="J1037" s="52" t="n">
        <v>45802</v>
      </c>
      <c r="K1037" s="53" t="n">
        <v>499.99</v>
      </c>
    </row>
    <row r="1038" ht="15" customHeight="1" s="32">
      <c r="A1038" s="46" t="inlineStr">
        <is>
          <t>L-HB-1037</t>
        </is>
      </c>
      <c r="B1038" s="46" t="inlineStr">
        <is>
          <t>R-HB-1037</t>
        </is>
      </c>
      <c r="C1038" s="48" t="inlineStr">
        <is>
          <t>항공</t>
        </is>
      </c>
      <c r="D1038" s="48" t="inlineStr">
        <is>
          <t>인천공항</t>
        </is>
      </c>
      <c r="E1038" s="46" t="inlineStr">
        <is>
          <t>ICN</t>
        </is>
      </c>
      <c r="F1038" s="48" t="inlineStr">
        <is>
          <t>시애틀공항</t>
        </is>
      </c>
      <c r="G1038" s="46" t="inlineStr">
        <is>
          <t>SEA</t>
        </is>
      </c>
      <c r="H1038" s="47" t="n">
        <v>45800</v>
      </c>
      <c r="I1038" s="52" t="n">
        <v>45802</v>
      </c>
      <c r="J1038" s="52" t="n">
        <v>45802</v>
      </c>
      <c r="K1038" s="53" t="n">
        <v>135</v>
      </c>
    </row>
    <row r="1039" ht="15" customHeight="1" s="32">
      <c r="A1039" s="46" t="inlineStr">
        <is>
          <t>L-HB-1038</t>
        </is>
      </c>
      <c r="B1039" s="46" t="inlineStr">
        <is>
          <t>R-HB-1038</t>
        </is>
      </c>
      <c r="C1039" s="48" t="inlineStr">
        <is>
          <t>항공</t>
        </is>
      </c>
      <c r="D1039" s="48" t="inlineStr">
        <is>
          <t>인천공항</t>
        </is>
      </c>
      <c r="E1039" s="46" t="inlineStr">
        <is>
          <t>ICN</t>
        </is>
      </c>
      <c r="F1039" s="48" t="inlineStr">
        <is>
          <t>토론토공항</t>
        </is>
      </c>
      <c r="G1039" s="46" t="inlineStr">
        <is>
          <t>YYZ</t>
        </is>
      </c>
      <c r="H1039" s="47" t="n">
        <v>45800</v>
      </c>
      <c r="I1039" s="52" t="n">
        <v>45804</v>
      </c>
      <c r="J1039" s="52" t="n">
        <v>45803</v>
      </c>
      <c r="K1039" s="53" t="n">
        <v>135</v>
      </c>
    </row>
    <row r="1040" ht="15" customHeight="1" s="32">
      <c r="A1040" s="46" t="inlineStr">
        <is>
          <t>L-HB-1039</t>
        </is>
      </c>
      <c r="B1040" s="46" t="inlineStr">
        <is>
          <t>R-HB-1039</t>
        </is>
      </c>
      <c r="C1040" s="48" t="inlineStr">
        <is>
          <t>항공</t>
        </is>
      </c>
      <c r="D1040" s="48" t="inlineStr">
        <is>
          <t>인천공항</t>
        </is>
      </c>
      <c r="E1040" s="46" t="inlineStr">
        <is>
          <t>ICN</t>
        </is>
      </c>
      <c r="F1040" s="48" t="inlineStr">
        <is>
          <t>토론토공항</t>
        </is>
      </c>
      <c r="G1040" s="46" t="inlineStr">
        <is>
          <t>YYZ</t>
        </is>
      </c>
      <c r="H1040" s="47" t="n">
        <v>45801</v>
      </c>
      <c r="I1040" s="52" t="n">
        <v>45805</v>
      </c>
      <c r="J1040" s="52" t="n">
        <v>45805</v>
      </c>
      <c r="K1040" s="53" t="n">
        <v>135</v>
      </c>
    </row>
    <row r="1041" ht="15" customHeight="1" s="32">
      <c r="A1041" s="46" t="inlineStr">
        <is>
          <t>L-HB-1040</t>
        </is>
      </c>
      <c r="B1041" s="46" t="inlineStr">
        <is>
          <t>R-HB-1040</t>
        </is>
      </c>
      <c r="C1041" s="48" t="inlineStr">
        <is>
          <t>항공</t>
        </is>
      </c>
      <c r="D1041" s="48" t="inlineStr">
        <is>
          <t>인천공항</t>
        </is>
      </c>
      <c r="E1041" s="46" t="inlineStr">
        <is>
          <t>ICN</t>
        </is>
      </c>
      <c r="F1041" s="48" t="inlineStr">
        <is>
          <t>프랑크푸르트공항</t>
        </is>
      </c>
      <c r="G1041" s="46" t="inlineStr">
        <is>
          <t>FRA</t>
        </is>
      </c>
      <c r="H1041" s="47" t="n">
        <v>45801</v>
      </c>
      <c r="I1041" s="52" t="n">
        <v>45805</v>
      </c>
      <c r="J1041" s="52" t="n">
        <v>45805</v>
      </c>
      <c r="K1041" s="53" t="n">
        <v>135</v>
      </c>
    </row>
    <row r="1042" ht="15" customHeight="1" s="32">
      <c r="A1042" s="46" t="inlineStr">
        <is>
          <t>L-HB-1041</t>
        </is>
      </c>
      <c r="B1042" s="46" t="inlineStr">
        <is>
          <t>R-HB-1041</t>
        </is>
      </c>
      <c r="C1042" s="48" t="inlineStr">
        <is>
          <t>항공</t>
        </is>
      </c>
      <c r="D1042" s="48" t="inlineStr">
        <is>
          <t>인천공항</t>
        </is>
      </c>
      <c r="E1042" s="46" t="inlineStr">
        <is>
          <t>ICN</t>
        </is>
      </c>
      <c r="F1042" s="48" t="inlineStr">
        <is>
          <t>프랑크푸르트공항</t>
        </is>
      </c>
      <c r="G1042" s="46" t="inlineStr">
        <is>
          <t>FRA</t>
        </is>
      </c>
      <c r="H1042" s="47" t="n">
        <v>45801</v>
      </c>
      <c r="I1042" s="52" t="n">
        <v>45804</v>
      </c>
      <c r="J1042" s="52" t="n">
        <v>45804</v>
      </c>
      <c r="K1042" s="53" t="n">
        <v>137.67</v>
      </c>
    </row>
    <row r="1043" ht="15" customHeight="1" s="32">
      <c r="A1043" s="46" t="inlineStr">
        <is>
          <t>L-HB-1042</t>
        </is>
      </c>
      <c r="B1043" s="46" t="inlineStr">
        <is>
          <t>R-HB-1042</t>
        </is>
      </c>
      <c r="C1043" s="48" t="inlineStr">
        <is>
          <t>해상</t>
        </is>
      </c>
      <c r="D1043" s="48" t="inlineStr">
        <is>
          <t>부산항</t>
        </is>
      </c>
      <c r="E1043" s="46" t="inlineStr">
        <is>
          <t>KRPUS</t>
        </is>
      </c>
      <c r="F1043" s="48" t="inlineStr">
        <is>
          <t>상하이항</t>
        </is>
      </c>
      <c r="G1043" s="46" t="inlineStr">
        <is>
          <t>CNSHA</t>
        </is>
      </c>
      <c r="H1043" s="47" t="n">
        <v>45801</v>
      </c>
      <c r="I1043" s="52" t="n">
        <v>45806</v>
      </c>
      <c r="J1043" s="52" t="n">
        <v>45806</v>
      </c>
      <c r="K1043" s="53" t="n">
        <v>530</v>
      </c>
    </row>
    <row r="1044" ht="15" customHeight="1" s="32">
      <c r="A1044" s="46" t="inlineStr">
        <is>
          <t>L-HB-1043</t>
        </is>
      </c>
      <c r="B1044" s="46" t="inlineStr">
        <is>
          <t>R-HB-1043</t>
        </is>
      </c>
      <c r="C1044" s="48" t="inlineStr">
        <is>
          <t>항공</t>
        </is>
      </c>
      <c r="D1044" s="48" t="inlineStr">
        <is>
          <t>인천공항</t>
        </is>
      </c>
      <c r="E1044" s="46" t="inlineStr">
        <is>
          <t>ICN</t>
        </is>
      </c>
      <c r="F1044" s="48" t="inlineStr">
        <is>
          <t>과달라하라공항</t>
        </is>
      </c>
      <c r="G1044" s="46" t="inlineStr">
        <is>
          <t>GDL</t>
        </is>
      </c>
      <c r="H1044" s="47" t="n">
        <v>45802</v>
      </c>
      <c r="I1044" s="52" t="n">
        <v>45805</v>
      </c>
      <c r="J1044" s="52" t="n">
        <v>45805</v>
      </c>
      <c r="K1044" s="53" t="n">
        <v>135</v>
      </c>
    </row>
    <row r="1045" ht="15" customHeight="1" s="32">
      <c r="A1045" s="46" t="inlineStr">
        <is>
          <t>L-HB-1044</t>
        </is>
      </c>
      <c r="B1045" s="46" t="inlineStr">
        <is>
          <t>R-HB-1044</t>
        </is>
      </c>
      <c r="C1045" s="48" t="inlineStr">
        <is>
          <t>항공</t>
        </is>
      </c>
      <c r="D1045" s="48" t="inlineStr">
        <is>
          <t>인천공항</t>
        </is>
      </c>
      <c r="E1045" s="46" t="inlineStr">
        <is>
          <t>ICN</t>
        </is>
      </c>
      <c r="F1045" s="48" t="inlineStr">
        <is>
          <t>델리공항</t>
        </is>
      </c>
      <c r="G1045" s="46" t="inlineStr">
        <is>
          <t>DEL</t>
        </is>
      </c>
      <c r="H1045" s="47" t="n">
        <v>45803</v>
      </c>
      <c r="I1045" s="52" t="n">
        <v>45807</v>
      </c>
      <c r="J1045" s="52" t="n">
        <v>45807</v>
      </c>
      <c r="K1045" s="53" t="n">
        <v>135</v>
      </c>
    </row>
    <row r="1046" ht="15" customHeight="1" s="32">
      <c r="A1046" s="46" t="inlineStr">
        <is>
          <t>L-HB-1045</t>
        </is>
      </c>
      <c r="B1046" s="46" t="inlineStr">
        <is>
          <t>R-HB-1045</t>
        </is>
      </c>
      <c r="C1046" s="48" t="inlineStr">
        <is>
          <t>해상</t>
        </is>
      </c>
      <c r="D1046" s="48" t="inlineStr">
        <is>
          <t>부산항</t>
        </is>
      </c>
      <c r="E1046" s="46" t="inlineStr">
        <is>
          <t>KRPUS</t>
        </is>
      </c>
      <c r="F1046" s="48" t="inlineStr">
        <is>
          <t>하이퐁항</t>
        </is>
      </c>
      <c r="G1046" s="46" t="inlineStr">
        <is>
          <t>VNHPH</t>
        </is>
      </c>
      <c r="H1046" s="47" t="n">
        <v>45811</v>
      </c>
      <c r="I1046" s="52" t="n">
        <v>45819</v>
      </c>
      <c r="J1046" s="52" t="n">
        <v>45819</v>
      </c>
      <c r="K1046" s="53" t="n">
        <v>530</v>
      </c>
    </row>
    <row r="1047" ht="15" customHeight="1" s="32">
      <c r="A1047" s="46" t="inlineStr">
        <is>
          <t>L-HB-1046</t>
        </is>
      </c>
      <c r="B1047" s="46" t="inlineStr">
        <is>
          <t>R-HB-1046</t>
        </is>
      </c>
      <c r="C1047" s="48" t="inlineStr">
        <is>
          <t>항공</t>
        </is>
      </c>
      <c r="D1047" s="48" t="inlineStr">
        <is>
          <t>인천공항</t>
        </is>
      </c>
      <c r="E1047" s="46" t="inlineStr">
        <is>
          <t>ICN</t>
        </is>
      </c>
      <c r="F1047" s="48" t="inlineStr">
        <is>
          <t>선전공항</t>
        </is>
      </c>
      <c r="G1047" s="46" t="inlineStr">
        <is>
          <t>SZX</t>
        </is>
      </c>
      <c r="H1047" s="47" t="n">
        <v>45811</v>
      </c>
      <c r="I1047" s="52" t="n">
        <v>45813</v>
      </c>
      <c r="J1047" s="52" t="n">
        <v>45813</v>
      </c>
      <c r="K1047" s="53" t="n">
        <v>412.76</v>
      </c>
    </row>
    <row r="1048" ht="15" customHeight="1" s="32">
      <c r="A1048" s="46" t="inlineStr">
        <is>
          <t>L-HB-1047</t>
        </is>
      </c>
      <c r="B1048" s="46" t="inlineStr">
        <is>
          <t>R-HB-1047</t>
        </is>
      </c>
      <c r="C1048" s="48" t="inlineStr">
        <is>
          <t>항공</t>
        </is>
      </c>
      <c r="D1048" s="48" t="inlineStr">
        <is>
          <t>인천공항</t>
        </is>
      </c>
      <c r="E1048" s="46" t="inlineStr">
        <is>
          <t>ICN</t>
        </is>
      </c>
      <c r="F1048" s="48" t="inlineStr">
        <is>
          <t>시애틀공항</t>
        </is>
      </c>
      <c r="G1048" s="46" t="inlineStr">
        <is>
          <t>SEA</t>
        </is>
      </c>
      <c r="H1048" s="47" t="n">
        <v>45812</v>
      </c>
      <c r="I1048" s="52" t="n">
        <v>45814</v>
      </c>
      <c r="J1048" s="52" t="n">
        <v>45814</v>
      </c>
      <c r="K1048" s="53" t="n">
        <v>292.9</v>
      </c>
    </row>
    <row r="1049" ht="15" customHeight="1" s="32">
      <c r="A1049" s="46" t="inlineStr">
        <is>
          <t>L-HB-1048</t>
        </is>
      </c>
      <c r="B1049" s="46" t="inlineStr">
        <is>
          <t>R-HB-1048</t>
        </is>
      </c>
      <c r="C1049" s="48" t="inlineStr">
        <is>
          <t>항공</t>
        </is>
      </c>
      <c r="D1049" s="48" t="inlineStr">
        <is>
          <t>인천공항</t>
        </is>
      </c>
      <c r="E1049" s="46" t="inlineStr">
        <is>
          <t>ICN</t>
        </is>
      </c>
      <c r="F1049" s="48" t="inlineStr">
        <is>
          <t>프랑크푸르트공항</t>
        </is>
      </c>
      <c r="G1049" s="46" t="inlineStr">
        <is>
          <t>FRA</t>
        </is>
      </c>
      <c r="H1049" s="47" t="n">
        <v>45812</v>
      </c>
      <c r="I1049" s="52" t="n">
        <v>45816</v>
      </c>
      <c r="J1049" s="52" t="n">
        <v>45816</v>
      </c>
      <c r="K1049" s="53" t="n">
        <v>135</v>
      </c>
    </row>
    <row r="1050" ht="15" customHeight="1" s="32">
      <c r="A1050" s="46" t="inlineStr">
        <is>
          <t>L-HB-1049</t>
        </is>
      </c>
      <c r="B1050" s="46" t="inlineStr">
        <is>
          <t>R-HB-1049</t>
        </is>
      </c>
      <c r="C1050" s="48" t="inlineStr">
        <is>
          <t>항공</t>
        </is>
      </c>
      <c r="D1050" s="48" t="inlineStr">
        <is>
          <t>인천공항</t>
        </is>
      </c>
      <c r="E1050" s="46" t="inlineStr">
        <is>
          <t>ICN</t>
        </is>
      </c>
      <c r="F1050" s="48" t="inlineStr">
        <is>
          <t>델리공항</t>
        </is>
      </c>
      <c r="G1050" s="46" t="inlineStr">
        <is>
          <t>DEL</t>
        </is>
      </c>
      <c r="H1050" s="47" t="n">
        <v>45812</v>
      </c>
      <c r="I1050" s="52" t="n">
        <v>45815</v>
      </c>
      <c r="J1050" s="52" t="n">
        <v>45815</v>
      </c>
      <c r="K1050" s="53" t="n">
        <v>219.17</v>
      </c>
    </row>
    <row r="1051" ht="15" customHeight="1" s="32">
      <c r="A1051" s="46" t="inlineStr">
        <is>
          <t>L-HB-1050</t>
        </is>
      </c>
      <c r="B1051" s="46" t="inlineStr">
        <is>
          <t>R-HB-1050</t>
        </is>
      </c>
      <c r="C1051" s="48" t="inlineStr">
        <is>
          <t>항공</t>
        </is>
      </c>
      <c r="D1051" s="48" t="inlineStr">
        <is>
          <t>인천공항</t>
        </is>
      </c>
      <c r="E1051" s="46" t="inlineStr">
        <is>
          <t>ICN</t>
        </is>
      </c>
      <c r="F1051" s="48" t="inlineStr">
        <is>
          <t>충칭공항</t>
        </is>
      </c>
      <c r="G1051" s="46" t="inlineStr">
        <is>
          <t>CKG</t>
        </is>
      </c>
      <c r="H1051" s="47" t="n">
        <v>45812</v>
      </c>
      <c r="I1051" s="52" t="n">
        <v>45814</v>
      </c>
      <c r="J1051" s="52" t="n">
        <v>45813</v>
      </c>
      <c r="K1051" s="53" t="n">
        <v>273.03</v>
      </c>
    </row>
    <row r="1052" ht="15" customHeight="1" s="32">
      <c r="A1052" s="46" t="inlineStr">
        <is>
          <t>L-HB-1051</t>
        </is>
      </c>
      <c r="B1052" s="46" t="inlineStr">
        <is>
          <t>R-HB-1051</t>
        </is>
      </c>
      <c r="C1052" s="48" t="inlineStr">
        <is>
          <t>항공</t>
        </is>
      </c>
      <c r="D1052" s="48" t="inlineStr">
        <is>
          <t>인천공항</t>
        </is>
      </c>
      <c r="E1052" s="46" t="inlineStr">
        <is>
          <t>ICN</t>
        </is>
      </c>
      <c r="F1052" s="48" t="inlineStr">
        <is>
          <t>델리공항</t>
        </is>
      </c>
      <c r="G1052" s="46" t="inlineStr">
        <is>
          <t>DEL</t>
        </is>
      </c>
      <c r="H1052" s="47" t="n">
        <v>45813</v>
      </c>
      <c r="I1052" s="52" t="n">
        <v>45816</v>
      </c>
      <c r="J1052" s="52" t="n">
        <v>45816</v>
      </c>
      <c r="K1052" s="53" t="n">
        <v>135</v>
      </c>
    </row>
    <row r="1053" ht="15" customHeight="1" s="32">
      <c r="A1053" s="46" t="inlineStr">
        <is>
          <t>L-HB-1052</t>
        </is>
      </c>
      <c r="B1053" s="46" t="inlineStr">
        <is>
          <t>R-HB-1052</t>
        </is>
      </c>
      <c r="C1053" s="48" t="inlineStr">
        <is>
          <t>항공</t>
        </is>
      </c>
      <c r="D1053" s="48" t="inlineStr">
        <is>
          <t>인천공항</t>
        </is>
      </c>
      <c r="E1053" s="46" t="inlineStr">
        <is>
          <t>ICN</t>
        </is>
      </c>
      <c r="F1053" s="48" t="inlineStr">
        <is>
          <t>시애틀공항</t>
        </is>
      </c>
      <c r="G1053" s="46" t="inlineStr">
        <is>
          <t>SEA</t>
        </is>
      </c>
      <c r="H1053" s="47" t="n">
        <v>45815</v>
      </c>
      <c r="I1053" s="52" t="n">
        <v>45819</v>
      </c>
      <c r="J1053" s="52" t="n">
        <v>45819</v>
      </c>
      <c r="K1053" s="53" t="n">
        <v>135</v>
      </c>
    </row>
    <row r="1054" ht="15" customHeight="1" s="32">
      <c r="A1054" s="46" t="inlineStr">
        <is>
          <t>L-HB-1053</t>
        </is>
      </c>
      <c r="B1054" s="46" t="inlineStr">
        <is>
          <t>R-HB-1053</t>
        </is>
      </c>
      <c r="C1054" s="48" t="inlineStr">
        <is>
          <t>항공</t>
        </is>
      </c>
      <c r="D1054" s="48" t="inlineStr">
        <is>
          <t>인천공항</t>
        </is>
      </c>
      <c r="E1054" s="46" t="inlineStr">
        <is>
          <t>ICN</t>
        </is>
      </c>
      <c r="F1054" s="48" t="inlineStr">
        <is>
          <t>프랑크푸르트공항</t>
        </is>
      </c>
      <c r="G1054" s="46" t="inlineStr">
        <is>
          <t>FRA</t>
        </is>
      </c>
      <c r="H1054" s="47" t="n">
        <v>45815</v>
      </c>
      <c r="I1054" s="52" t="n">
        <v>45818</v>
      </c>
      <c r="J1054" s="52" t="n">
        <v>45821</v>
      </c>
      <c r="K1054" s="53" t="n">
        <v>469.84</v>
      </c>
    </row>
    <row r="1055" ht="15" customHeight="1" s="32">
      <c r="A1055" s="46" t="inlineStr">
        <is>
          <t>L-HB-1054</t>
        </is>
      </c>
      <c r="B1055" s="46" t="inlineStr">
        <is>
          <t>R-HB-1054</t>
        </is>
      </c>
      <c r="C1055" s="48" t="inlineStr">
        <is>
          <t>항공</t>
        </is>
      </c>
      <c r="D1055" s="48" t="inlineStr">
        <is>
          <t>인천공항</t>
        </is>
      </c>
      <c r="E1055" s="46" t="inlineStr">
        <is>
          <t>ICN</t>
        </is>
      </c>
      <c r="F1055" s="48" t="inlineStr">
        <is>
          <t>과달라하라공항</t>
        </is>
      </c>
      <c r="G1055" s="46" t="inlineStr">
        <is>
          <t>GDL</t>
        </is>
      </c>
      <c r="H1055" s="47" t="n">
        <v>45816</v>
      </c>
      <c r="I1055" s="52" t="n">
        <v>45820</v>
      </c>
      <c r="J1055" s="52" t="n">
        <v>45820</v>
      </c>
      <c r="K1055" s="53" t="n">
        <v>138.84</v>
      </c>
    </row>
    <row r="1056" ht="15" customHeight="1" s="32">
      <c r="A1056" s="46" t="inlineStr">
        <is>
          <t>L-HB-1055</t>
        </is>
      </c>
      <c r="B1056" s="46" t="inlineStr">
        <is>
          <t>R-HB-1055</t>
        </is>
      </c>
      <c r="C1056" s="48" t="inlineStr">
        <is>
          <t>항공</t>
        </is>
      </c>
      <c r="D1056" s="48" t="inlineStr">
        <is>
          <t>인천공항</t>
        </is>
      </c>
      <c r="E1056" s="46" t="inlineStr">
        <is>
          <t>ICN</t>
        </is>
      </c>
      <c r="F1056" s="48" t="inlineStr">
        <is>
          <t>프랑크푸르트공항</t>
        </is>
      </c>
      <c r="G1056" s="46" t="inlineStr">
        <is>
          <t>FRA</t>
        </is>
      </c>
      <c r="H1056" s="47" t="n">
        <v>45817</v>
      </c>
      <c r="I1056" s="52" t="n">
        <v>45821</v>
      </c>
      <c r="J1056" s="52" t="n">
        <v>45821</v>
      </c>
      <c r="K1056" s="53" t="n">
        <v>205.34</v>
      </c>
    </row>
    <row r="1057" ht="15" customHeight="1" s="32">
      <c r="A1057" s="46" t="inlineStr">
        <is>
          <t>L-HB-1056</t>
        </is>
      </c>
      <c r="B1057" s="46" t="inlineStr">
        <is>
          <t>R-HB-1056</t>
        </is>
      </c>
      <c r="C1057" s="48" t="inlineStr">
        <is>
          <t>항공</t>
        </is>
      </c>
      <c r="D1057" s="48" t="inlineStr">
        <is>
          <t>인천공항</t>
        </is>
      </c>
      <c r="E1057" s="46" t="inlineStr">
        <is>
          <t>ICN</t>
        </is>
      </c>
      <c r="F1057" s="48" t="inlineStr">
        <is>
          <t>하노이공항</t>
        </is>
      </c>
      <c r="G1057" s="46" t="inlineStr">
        <is>
          <t>HAN</t>
        </is>
      </c>
      <c r="H1057" s="47" t="n">
        <v>45817</v>
      </c>
      <c r="I1057" s="52" t="n">
        <v>45820</v>
      </c>
      <c r="J1057" s="52" t="n">
        <v>45820</v>
      </c>
      <c r="K1057" s="53" t="n">
        <v>135</v>
      </c>
    </row>
    <row r="1058" ht="15" customHeight="1" s="32">
      <c r="A1058" s="46" t="inlineStr">
        <is>
          <t>L-HB-1057</t>
        </is>
      </c>
      <c r="B1058" s="46" t="inlineStr">
        <is>
          <t>R-HB-1057</t>
        </is>
      </c>
      <c r="C1058" s="48" t="inlineStr">
        <is>
          <t>항공</t>
        </is>
      </c>
      <c r="D1058" s="48" t="inlineStr">
        <is>
          <t>인천공항</t>
        </is>
      </c>
      <c r="E1058" s="46" t="inlineStr">
        <is>
          <t>ICN</t>
        </is>
      </c>
      <c r="F1058" s="48" t="inlineStr">
        <is>
          <t>로스앤젤레스공항</t>
        </is>
      </c>
      <c r="G1058" s="46" t="inlineStr">
        <is>
          <t>LAX</t>
        </is>
      </c>
      <c r="H1058" s="47" t="n">
        <v>45819</v>
      </c>
      <c r="I1058" s="52" t="n">
        <v>45821</v>
      </c>
      <c r="J1058" s="52" t="n">
        <v>45820</v>
      </c>
      <c r="K1058" s="53" t="n">
        <v>224.72</v>
      </c>
    </row>
    <row r="1059" ht="15" customHeight="1" s="32">
      <c r="A1059" s="46" t="inlineStr">
        <is>
          <t>L-HB-1058</t>
        </is>
      </c>
      <c r="B1059" s="46" t="inlineStr">
        <is>
          <t>R-HB-1058</t>
        </is>
      </c>
      <c r="C1059" s="48" t="inlineStr">
        <is>
          <t>해상</t>
        </is>
      </c>
      <c r="D1059" s="48" t="inlineStr">
        <is>
          <t>부산항</t>
        </is>
      </c>
      <c r="E1059" s="46" t="inlineStr">
        <is>
          <t>KRPUS</t>
        </is>
      </c>
      <c r="F1059" s="48" t="inlineStr">
        <is>
          <t>상하이항</t>
        </is>
      </c>
      <c r="G1059" s="46" t="inlineStr">
        <is>
          <t>CNSHA</t>
        </is>
      </c>
      <c r="H1059" s="47" t="n">
        <v>45820</v>
      </c>
      <c r="I1059" s="52" t="n">
        <v>45824</v>
      </c>
      <c r="J1059" s="52" t="n">
        <v>45824</v>
      </c>
      <c r="K1059" s="53" t="n">
        <v>530</v>
      </c>
    </row>
    <row r="1060" ht="15" customHeight="1" s="32">
      <c r="A1060" s="46" t="inlineStr">
        <is>
          <t>L-HB-1059</t>
        </is>
      </c>
      <c r="B1060" s="46" t="inlineStr">
        <is>
          <t>R-HB-1059</t>
        </is>
      </c>
      <c r="C1060" s="48" t="inlineStr">
        <is>
          <t>항공</t>
        </is>
      </c>
      <c r="D1060" s="48" t="inlineStr">
        <is>
          <t>인천공항</t>
        </is>
      </c>
      <c r="E1060" s="46" t="inlineStr">
        <is>
          <t>ICN</t>
        </is>
      </c>
      <c r="F1060" s="48" t="inlineStr">
        <is>
          <t>하노이공항</t>
        </is>
      </c>
      <c r="G1060" s="46" t="inlineStr">
        <is>
          <t>HAN</t>
        </is>
      </c>
      <c r="H1060" s="47" t="n">
        <v>45821</v>
      </c>
      <c r="I1060" s="52" t="n">
        <v>45822</v>
      </c>
      <c r="J1060" s="52" t="n">
        <v>45822</v>
      </c>
      <c r="K1060" s="53" t="n">
        <v>135</v>
      </c>
    </row>
    <row r="1061" ht="15" customHeight="1" s="32">
      <c r="A1061" s="46" t="inlineStr">
        <is>
          <t>L-HB-1060</t>
        </is>
      </c>
      <c r="B1061" s="46" t="inlineStr">
        <is>
          <t>R-HB-1060</t>
        </is>
      </c>
      <c r="C1061" s="48" t="inlineStr">
        <is>
          <t>항공</t>
        </is>
      </c>
      <c r="D1061" s="48" t="inlineStr">
        <is>
          <t>인천공항</t>
        </is>
      </c>
      <c r="E1061" s="46" t="inlineStr">
        <is>
          <t>ICN</t>
        </is>
      </c>
      <c r="F1061" s="48" t="inlineStr">
        <is>
          <t>충칭공항</t>
        </is>
      </c>
      <c r="G1061" s="46" t="inlineStr">
        <is>
          <t>CKG</t>
        </is>
      </c>
      <c r="H1061" s="47" t="n">
        <v>45821</v>
      </c>
      <c r="I1061" s="52" t="n">
        <v>45823</v>
      </c>
      <c r="J1061" s="52" t="n">
        <v>45823</v>
      </c>
      <c r="K1061" s="53" t="n">
        <v>135</v>
      </c>
    </row>
    <row r="1062" ht="15" customHeight="1" s="32">
      <c r="A1062" s="46" t="inlineStr">
        <is>
          <t>L-HB-1061</t>
        </is>
      </c>
      <c r="B1062" s="46" t="inlineStr">
        <is>
          <t>R-HB-1061</t>
        </is>
      </c>
      <c r="C1062" s="48" t="inlineStr">
        <is>
          <t>항공</t>
        </is>
      </c>
      <c r="D1062" s="48" t="inlineStr">
        <is>
          <t>인천공항</t>
        </is>
      </c>
      <c r="E1062" s="46" t="inlineStr">
        <is>
          <t>ICN</t>
        </is>
      </c>
      <c r="F1062" s="48" t="inlineStr">
        <is>
          <t>시애틀공항</t>
        </is>
      </c>
      <c r="G1062" s="46" t="inlineStr">
        <is>
          <t>SEA</t>
        </is>
      </c>
      <c r="H1062" s="47" t="n">
        <v>45823</v>
      </c>
      <c r="I1062" s="52" t="n">
        <v>45825</v>
      </c>
      <c r="J1062" s="52" t="n">
        <v>45825</v>
      </c>
      <c r="K1062" s="53" t="n">
        <v>142.8</v>
      </c>
    </row>
    <row r="1063" ht="15" customHeight="1" s="32">
      <c r="A1063" s="46" t="inlineStr">
        <is>
          <t>L-HB-1062</t>
        </is>
      </c>
      <c r="B1063" s="46" t="inlineStr">
        <is>
          <t>R-HB-1062</t>
        </is>
      </c>
      <c r="C1063" s="48" t="inlineStr">
        <is>
          <t>항공</t>
        </is>
      </c>
      <c r="D1063" s="48" t="inlineStr">
        <is>
          <t>인천공항</t>
        </is>
      </c>
      <c r="E1063" s="46" t="inlineStr">
        <is>
          <t>ICN</t>
        </is>
      </c>
      <c r="F1063" s="48" t="inlineStr">
        <is>
          <t>토론토공항</t>
        </is>
      </c>
      <c r="G1063" s="46" t="inlineStr">
        <is>
          <t>YYZ</t>
        </is>
      </c>
      <c r="H1063" s="47" t="n">
        <v>45824</v>
      </c>
      <c r="I1063" s="52" t="n">
        <v>45827</v>
      </c>
      <c r="J1063" s="52" t="n">
        <v>45827</v>
      </c>
      <c r="K1063" s="53" t="n">
        <v>135</v>
      </c>
    </row>
    <row r="1064" ht="15" customHeight="1" s="32">
      <c r="A1064" s="46" t="inlineStr">
        <is>
          <t>L-HB-1063</t>
        </is>
      </c>
      <c r="B1064" s="46" t="inlineStr">
        <is>
          <t>R-HB-1063</t>
        </is>
      </c>
      <c r="C1064" s="48" t="inlineStr">
        <is>
          <t>항공</t>
        </is>
      </c>
      <c r="D1064" s="48" t="inlineStr">
        <is>
          <t>인천공항</t>
        </is>
      </c>
      <c r="E1064" s="46" t="inlineStr">
        <is>
          <t>ICN</t>
        </is>
      </c>
      <c r="F1064" s="48" t="inlineStr">
        <is>
          <t>토론토공항</t>
        </is>
      </c>
      <c r="G1064" s="46" t="inlineStr">
        <is>
          <t>YYZ</t>
        </is>
      </c>
      <c r="H1064" s="47" t="n">
        <v>45824</v>
      </c>
      <c r="I1064" s="52" t="n">
        <v>45828</v>
      </c>
      <c r="J1064" s="52" t="n">
        <v>45828</v>
      </c>
      <c r="K1064" s="53" t="n">
        <v>135</v>
      </c>
    </row>
    <row r="1065" ht="15" customHeight="1" s="32">
      <c r="A1065" s="46" t="inlineStr">
        <is>
          <t>L-HB-1064</t>
        </is>
      </c>
      <c r="B1065" s="46" t="inlineStr">
        <is>
          <t>R-HB-1064</t>
        </is>
      </c>
      <c r="C1065" s="48" t="inlineStr">
        <is>
          <t>항공</t>
        </is>
      </c>
      <c r="D1065" s="48" t="inlineStr">
        <is>
          <t>인천공항</t>
        </is>
      </c>
      <c r="E1065" s="46" t="inlineStr">
        <is>
          <t>ICN</t>
        </is>
      </c>
      <c r="F1065" s="48" t="inlineStr">
        <is>
          <t>델리공항</t>
        </is>
      </c>
      <c r="G1065" s="46" t="inlineStr">
        <is>
          <t>DEL</t>
        </is>
      </c>
      <c r="H1065" s="47" t="n">
        <v>45824</v>
      </c>
      <c r="I1065" s="52" t="n">
        <v>45827</v>
      </c>
      <c r="J1065" s="52" t="n">
        <v>45827</v>
      </c>
      <c r="K1065" s="53" t="n">
        <v>135</v>
      </c>
    </row>
    <row r="1066" ht="15" customHeight="1" s="32">
      <c r="A1066" s="46" t="inlineStr">
        <is>
          <t>L-HB-1065</t>
        </is>
      </c>
      <c r="B1066" s="46" t="inlineStr">
        <is>
          <t>R-HB-1065</t>
        </is>
      </c>
      <c r="C1066" s="48" t="inlineStr">
        <is>
          <t>항공</t>
        </is>
      </c>
      <c r="D1066" s="48" t="inlineStr">
        <is>
          <t>인천공항</t>
        </is>
      </c>
      <c r="E1066" s="46" t="inlineStr">
        <is>
          <t>ICN</t>
        </is>
      </c>
      <c r="F1066" s="48" t="inlineStr">
        <is>
          <t>선전공항</t>
        </is>
      </c>
      <c r="G1066" s="46" t="inlineStr">
        <is>
          <t>SZX</t>
        </is>
      </c>
      <c r="H1066" s="47" t="n">
        <v>45825</v>
      </c>
      <c r="I1066" s="52" t="n">
        <v>45827</v>
      </c>
      <c r="J1066" s="52" t="n">
        <v>45827</v>
      </c>
      <c r="K1066" s="53" t="n">
        <v>135</v>
      </c>
    </row>
    <row r="1067" ht="15" customHeight="1" s="32">
      <c r="A1067" s="46" t="inlineStr">
        <is>
          <t>L-HB-1066</t>
        </is>
      </c>
      <c r="B1067" s="46" t="inlineStr">
        <is>
          <t>R-HB-1066</t>
        </is>
      </c>
      <c r="C1067" s="48" t="inlineStr">
        <is>
          <t>항공</t>
        </is>
      </c>
      <c r="D1067" s="48" t="inlineStr">
        <is>
          <t>인천공항</t>
        </is>
      </c>
      <c r="E1067" s="46" t="inlineStr">
        <is>
          <t>ICN</t>
        </is>
      </c>
      <c r="F1067" s="48" t="inlineStr">
        <is>
          <t>토론토공항</t>
        </is>
      </c>
      <c r="G1067" s="46" t="inlineStr">
        <is>
          <t>YYZ</t>
        </is>
      </c>
      <c r="H1067" s="47" t="n">
        <v>45826</v>
      </c>
      <c r="I1067" s="52" t="n">
        <v>45830</v>
      </c>
      <c r="J1067" s="52" t="n">
        <v>45830</v>
      </c>
      <c r="K1067" s="53" t="n">
        <v>135</v>
      </c>
    </row>
    <row r="1068" ht="15" customHeight="1" s="32">
      <c r="A1068" s="46" t="inlineStr">
        <is>
          <t>L-HB-1067</t>
        </is>
      </c>
      <c r="B1068" s="46" t="inlineStr">
        <is>
          <t>R-HB-1067</t>
        </is>
      </c>
      <c r="C1068" s="48" t="inlineStr">
        <is>
          <t>항공</t>
        </is>
      </c>
      <c r="D1068" s="48" t="inlineStr">
        <is>
          <t>인천공항</t>
        </is>
      </c>
      <c r="E1068" s="46" t="inlineStr">
        <is>
          <t>ICN</t>
        </is>
      </c>
      <c r="F1068" s="48" t="inlineStr">
        <is>
          <t>프랑크푸르트공항</t>
        </is>
      </c>
      <c r="G1068" s="46" t="inlineStr">
        <is>
          <t>FRA</t>
        </is>
      </c>
      <c r="H1068" s="47" t="n">
        <v>45826</v>
      </c>
      <c r="I1068" s="52" t="n">
        <v>45829</v>
      </c>
      <c r="J1068" s="52" t="n">
        <v>45829</v>
      </c>
      <c r="K1068" s="53" t="n">
        <v>144.48</v>
      </c>
    </row>
    <row r="1069" ht="15" customHeight="1" s="32">
      <c r="A1069" s="46" t="inlineStr">
        <is>
          <t>L-HB-1068</t>
        </is>
      </c>
      <c r="B1069" s="46" t="inlineStr">
        <is>
          <t>R-HB-1068</t>
        </is>
      </c>
      <c r="C1069" s="48" t="inlineStr">
        <is>
          <t>항공</t>
        </is>
      </c>
      <c r="D1069" s="48" t="inlineStr">
        <is>
          <t>인천공항</t>
        </is>
      </c>
      <c r="E1069" s="46" t="inlineStr">
        <is>
          <t>ICN</t>
        </is>
      </c>
      <c r="F1069" s="48" t="inlineStr">
        <is>
          <t>충칭공항</t>
        </is>
      </c>
      <c r="G1069" s="46" t="inlineStr">
        <is>
          <t>CKG</t>
        </is>
      </c>
      <c r="H1069" s="47" t="n">
        <v>45826</v>
      </c>
      <c r="I1069" s="52" t="n">
        <v>45828</v>
      </c>
      <c r="J1069" s="52" t="n">
        <v>45828</v>
      </c>
      <c r="K1069" s="53" t="n">
        <v>135</v>
      </c>
    </row>
    <row r="1070" ht="15" customHeight="1" s="32">
      <c r="A1070" s="46" t="inlineStr">
        <is>
          <t>L-HB-1069</t>
        </is>
      </c>
      <c r="B1070" s="46" t="inlineStr">
        <is>
          <t>R-HB-1069</t>
        </is>
      </c>
      <c r="C1070" s="48" t="inlineStr">
        <is>
          <t>항공</t>
        </is>
      </c>
      <c r="D1070" s="48" t="inlineStr">
        <is>
          <t>인천공항</t>
        </is>
      </c>
      <c r="E1070" s="46" t="inlineStr">
        <is>
          <t>ICN</t>
        </is>
      </c>
      <c r="F1070" s="48" t="inlineStr">
        <is>
          <t>로스앤젤레스공항</t>
        </is>
      </c>
      <c r="G1070" s="46" t="inlineStr">
        <is>
          <t>LAX</t>
        </is>
      </c>
      <c r="H1070" s="47" t="n">
        <v>45827</v>
      </c>
      <c r="I1070" s="52" t="n">
        <v>45830</v>
      </c>
      <c r="J1070" s="52" t="n">
        <v>45830</v>
      </c>
      <c r="K1070" s="53" t="n">
        <v>166.86</v>
      </c>
    </row>
    <row r="1071" ht="15" customHeight="1" s="32">
      <c r="A1071" s="46" t="inlineStr">
        <is>
          <t>L-HB-1070</t>
        </is>
      </c>
      <c r="B1071" s="46" t="inlineStr">
        <is>
          <t>R-HB-1070</t>
        </is>
      </c>
      <c r="C1071" s="48" t="inlineStr">
        <is>
          <t>항공</t>
        </is>
      </c>
      <c r="D1071" s="48" t="inlineStr">
        <is>
          <t>인천공항</t>
        </is>
      </c>
      <c r="E1071" s="46" t="inlineStr">
        <is>
          <t>ICN</t>
        </is>
      </c>
      <c r="F1071" s="48" t="inlineStr">
        <is>
          <t>델리공항</t>
        </is>
      </c>
      <c r="G1071" s="46" t="inlineStr">
        <is>
          <t>DEL</t>
        </is>
      </c>
      <c r="H1071" s="47" t="n">
        <v>45827</v>
      </c>
      <c r="I1071" s="52" t="n">
        <v>45829</v>
      </c>
      <c r="J1071" s="52" t="n">
        <v>45830</v>
      </c>
      <c r="K1071" s="53" t="n">
        <v>135</v>
      </c>
    </row>
    <row r="1072" ht="15" customHeight="1" s="32">
      <c r="A1072" s="46" t="inlineStr">
        <is>
          <t>L-HB-1071</t>
        </is>
      </c>
      <c r="B1072" s="46" t="inlineStr">
        <is>
          <t>R-HB-1071</t>
        </is>
      </c>
      <c r="C1072" s="48" t="inlineStr">
        <is>
          <t>항공</t>
        </is>
      </c>
      <c r="D1072" s="48" t="inlineStr">
        <is>
          <t>인천공항</t>
        </is>
      </c>
      <c r="E1072" s="46" t="inlineStr">
        <is>
          <t>ICN</t>
        </is>
      </c>
      <c r="F1072" s="48" t="inlineStr">
        <is>
          <t>시애틀공항</t>
        </is>
      </c>
      <c r="G1072" s="46" t="inlineStr">
        <is>
          <t>SEA</t>
        </is>
      </c>
      <c r="H1072" s="47" t="n">
        <v>45829</v>
      </c>
      <c r="I1072" s="52" t="n">
        <v>45832</v>
      </c>
      <c r="J1072" s="52" t="n">
        <v>45832</v>
      </c>
      <c r="K1072" s="53" t="n">
        <v>135</v>
      </c>
    </row>
    <row r="1073" ht="15" customHeight="1" s="32">
      <c r="A1073" s="46" t="inlineStr">
        <is>
          <t>L-HB-1072</t>
        </is>
      </c>
      <c r="B1073" s="46" t="inlineStr">
        <is>
          <t>R-HB-1072</t>
        </is>
      </c>
      <c r="C1073" s="48" t="inlineStr">
        <is>
          <t>항공</t>
        </is>
      </c>
      <c r="D1073" s="48" t="inlineStr">
        <is>
          <t>인천공항</t>
        </is>
      </c>
      <c r="E1073" s="46" t="inlineStr">
        <is>
          <t>ICN</t>
        </is>
      </c>
      <c r="F1073" s="48" t="inlineStr">
        <is>
          <t>로스앤젤레스공항</t>
        </is>
      </c>
      <c r="G1073" s="46" t="inlineStr">
        <is>
          <t>LAX</t>
        </is>
      </c>
      <c r="H1073" s="47" t="n">
        <v>45831</v>
      </c>
      <c r="I1073" s="52" t="n">
        <v>45834</v>
      </c>
      <c r="J1073" s="52" t="n">
        <v>45834</v>
      </c>
      <c r="K1073" s="53" t="n">
        <v>461.32</v>
      </c>
    </row>
    <row r="1074" ht="15" customHeight="1" s="32">
      <c r="A1074" s="46" t="inlineStr">
        <is>
          <t>L-HB-1073</t>
        </is>
      </c>
      <c r="B1074" s="46" t="inlineStr">
        <is>
          <t>R-HB-1073</t>
        </is>
      </c>
      <c r="C1074" s="48" t="inlineStr">
        <is>
          <t>항공</t>
        </is>
      </c>
      <c r="D1074" s="48" t="inlineStr">
        <is>
          <t>인천공항</t>
        </is>
      </c>
      <c r="E1074" s="46" t="inlineStr">
        <is>
          <t>ICN</t>
        </is>
      </c>
      <c r="F1074" s="48" t="inlineStr">
        <is>
          <t>과달라하라공항</t>
        </is>
      </c>
      <c r="G1074" s="46" t="inlineStr">
        <is>
          <t>GDL</t>
        </is>
      </c>
      <c r="H1074" s="47" t="n">
        <v>45831</v>
      </c>
      <c r="I1074" s="52" t="n">
        <v>45836</v>
      </c>
      <c r="J1074" s="52" t="n">
        <v>45836</v>
      </c>
      <c r="K1074" s="53" t="n">
        <v>135</v>
      </c>
    </row>
    <row r="1075" ht="15" customHeight="1" s="32">
      <c r="A1075" s="46" t="inlineStr">
        <is>
          <t>L-HB-1074</t>
        </is>
      </c>
      <c r="B1075" s="46" t="inlineStr">
        <is>
          <t>R-HB-1074</t>
        </is>
      </c>
      <c r="C1075" s="48" t="inlineStr">
        <is>
          <t>항공</t>
        </is>
      </c>
      <c r="D1075" s="48" t="inlineStr">
        <is>
          <t>인천공항</t>
        </is>
      </c>
      <c r="E1075" s="46" t="inlineStr">
        <is>
          <t>ICN</t>
        </is>
      </c>
      <c r="F1075" s="48" t="inlineStr">
        <is>
          <t>하노이공항</t>
        </is>
      </c>
      <c r="G1075" s="46" t="inlineStr">
        <is>
          <t>HAN</t>
        </is>
      </c>
      <c r="H1075" s="47" t="n">
        <v>45831</v>
      </c>
      <c r="I1075" s="52" t="n">
        <v>45832</v>
      </c>
      <c r="J1075" s="52" t="n">
        <v>45832</v>
      </c>
      <c r="K1075" s="53" t="n">
        <v>267.8</v>
      </c>
    </row>
    <row r="1076" ht="15" customHeight="1" s="32">
      <c r="A1076" s="46" t="inlineStr">
        <is>
          <t>L-HB-1075</t>
        </is>
      </c>
      <c r="B1076" s="46" t="inlineStr">
        <is>
          <t>R-HB-1075</t>
        </is>
      </c>
      <c r="C1076" s="48" t="inlineStr">
        <is>
          <t>항공</t>
        </is>
      </c>
      <c r="D1076" s="48" t="inlineStr">
        <is>
          <t>인천공항</t>
        </is>
      </c>
      <c r="E1076" s="46" t="inlineStr">
        <is>
          <t>ICN</t>
        </is>
      </c>
      <c r="F1076" s="48" t="inlineStr">
        <is>
          <t>로스앤젤레스공항</t>
        </is>
      </c>
      <c r="G1076" s="46" t="inlineStr">
        <is>
          <t>LAX</t>
        </is>
      </c>
      <c r="H1076" s="47" t="n">
        <v>45832</v>
      </c>
      <c r="I1076" s="52" t="n">
        <v>45835</v>
      </c>
      <c r="J1076" s="52" t="n">
        <v>45835</v>
      </c>
      <c r="K1076" s="53" t="n">
        <v>135</v>
      </c>
    </row>
    <row r="1077" ht="15" customHeight="1" s="32">
      <c r="A1077" s="46" t="inlineStr">
        <is>
          <t>L-HB-1076</t>
        </is>
      </c>
      <c r="B1077" s="46" t="inlineStr">
        <is>
          <t>R-HB-1076</t>
        </is>
      </c>
      <c r="C1077" s="48" t="inlineStr">
        <is>
          <t>항공</t>
        </is>
      </c>
      <c r="D1077" s="48" t="inlineStr">
        <is>
          <t>인천공항</t>
        </is>
      </c>
      <c r="E1077" s="46" t="inlineStr">
        <is>
          <t>ICN</t>
        </is>
      </c>
      <c r="F1077" s="48" t="inlineStr">
        <is>
          <t>과달라하라공항</t>
        </is>
      </c>
      <c r="G1077" s="46" t="inlineStr">
        <is>
          <t>GDL</t>
        </is>
      </c>
      <c r="H1077" s="47" t="n">
        <v>45832</v>
      </c>
      <c r="I1077" s="52" t="n">
        <v>45836</v>
      </c>
      <c r="J1077" s="52" t="n">
        <v>45836</v>
      </c>
      <c r="K1077" s="53" t="n">
        <v>135</v>
      </c>
    </row>
    <row r="1078" ht="15" customHeight="1" s="32">
      <c r="A1078" s="46" t="inlineStr">
        <is>
          <t>L-HB-1077</t>
        </is>
      </c>
      <c r="B1078" s="46" t="inlineStr">
        <is>
          <t>R-HB-1077</t>
        </is>
      </c>
      <c r="C1078" s="48" t="inlineStr">
        <is>
          <t>항공</t>
        </is>
      </c>
      <c r="D1078" s="48" t="inlineStr">
        <is>
          <t>인천공항</t>
        </is>
      </c>
      <c r="E1078" s="46" t="inlineStr">
        <is>
          <t>ICN</t>
        </is>
      </c>
      <c r="F1078" s="48" t="inlineStr">
        <is>
          <t>토론토공항</t>
        </is>
      </c>
      <c r="G1078" s="46" t="inlineStr">
        <is>
          <t>YYZ</t>
        </is>
      </c>
      <c r="H1078" s="47" t="n">
        <v>45834</v>
      </c>
      <c r="I1078" s="52" t="n">
        <v>45838</v>
      </c>
      <c r="J1078" s="52" t="n">
        <v>45838</v>
      </c>
      <c r="K1078" s="53" t="n">
        <v>135</v>
      </c>
    </row>
    <row r="1079" ht="15" customHeight="1" s="32">
      <c r="A1079" s="46" t="inlineStr">
        <is>
          <t>L-HB-1078</t>
        </is>
      </c>
      <c r="B1079" s="46" t="inlineStr">
        <is>
          <t>R-HB-1078</t>
        </is>
      </c>
      <c r="C1079" s="48" t="inlineStr">
        <is>
          <t>항공</t>
        </is>
      </c>
      <c r="D1079" s="48" t="inlineStr">
        <is>
          <t>인천공항</t>
        </is>
      </c>
      <c r="E1079" s="46" t="inlineStr">
        <is>
          <t>ICN</t>
        </is>
      </c>
      <c r="F1079" s="48" t="inlineStr">
        <is>
          <t>과달라하라공항</t>
        </is>
      </c>
      <c r="G1079" s="46" t="inlineStr">
        <is>
          <t>GDL</t>
        </is>
      </c>
      <c r="H1079" s="47" t="n">
        <v>45835</v>
      </c>
      <c r="I1079" s="52" t="n">
        <v>45840</v>
      </c>
      <c r="J1079" s="52" t="n">
        <v>45843</v>
      </c>
      <c r="K1079" s="53" t="n">
        <v>135</v>
      </c>
    </row>
    <row r="1080" ht="15" customHeight="1" s="32">
      <c r="A1080" s="46" t="inlineStr">
        <is>
          <t>L-HB-1079</t>
        </is>
      </c>
      <c r="B1080" s="46" t="inlineStr">
        <is>
          <t>R-HB-1079</t>
        </is>
      </c>
      <c r="C1080" s="48" t="inlineStr">
        <is>
          <t>항공</t>
        </is>
      </c>
      <c r="D1080" s="48" t="inlineStr">
        <is>
          <t>인천공항</t>
        </is>
      </c>
      <c r="E1080" s="46" t="inlineStr">
        <is>
          <t>ICN</t>
        </is>
      </c>
      <c r="F1080" s="48" t="inlineStr">
        <is>
          <t>선전공항</t>
        </is>
      </c>
      <c r="G1080" s="46" t="inlineStr">
        <is>
          <t>SZX</t>
        </is>
      </c>
      <c r="H1080" s="47" t="n">
        <v>45835</v>
      </c>
      <c r="I1080" s="52" t="n">
        <v>45836</v>
      </c>
      <c r="J1080" s="52" t="n">
        <v>45836</v>
      </c>
      <c r="K1080" s="53" t="n">
        <v>135</v>
      </c>
    </row>
    <row r="1081" ht="15" customHeight="1" s="32">
      <c r="A1081" s="46" t="inlineStr">
        <is>
          <t>L-HB-1080</t>
        </is>
      </c>
      <c r="B1081" s="46" t="inlineStr">
        <is>
          <t>R-HB-1080</t>
        </is>
      </c>
      <c r="C1081" s="48" t="inlineStr">
        <is>
          <t>해상</t>
        </is>
      </c>
      <c r="D1081" s="48" t="inlineStr">
        <is>
          <t>부산항</t>
        </is>
      </c>
      <c r="E1081" s="46" t="inlineStr">
        <is>
          <t>KRPUS</t>
        </is>
      </c>
      <c r="F1081" s="48" t="inlineStr">
        <is>
          <t>서커우항</t>
        </is>
      </c>
      <c r="G1081" s="46" t="inlineStr">
        <is>
          <t>CNSHK</t>
        </is>
      </c>
      <c r="H1081" s="47" t="n">
        <v>45835</v>
      </c>
      <c r="I1081" s="52" t="n">
        <v>45843</v>
      </c>
      <c r="J1081" s="52" t="n">
        <v>45841</v>
      </c>
      <c r="K1081" s="53" t="n">
        <v>530</v>
      </c>
    </row>
    <row r="1082" ht="15" customHeight="1" s="32">
      <c r="A1082" s="46" t="inlineStr">
        <is>
          <t>L-HB-1081</t>
        </is>
      </c>
      <c r="B1082" s="46" t="inlineStr">
        <is>
          <t>R-HB-1081</t>
        </is>
      </c>
      <c r="C1082" s="48" t="inlineStr">
        <is>
          <t>항공</t>
        </is>
      </c>
      <c r="D1082" s="48" t="inlineStr">
        <is>
          <t>인천공항</t>
        </is>
      </c>
      <c r="E1082" s="46" t="inlineStr">
        <is>
          <t>ICN</t>
        </is>
      </c>
      <c r="F1082" s="48" t="inlineStr">
        <is>
          <t>델리공항</t>
        </is>
      </c>
      <c r="G1082" s="46" t="inlineStr">
        <is>
          <t>DEL</t>
        </is>
      </c>
      <c r="H1082" s="47" t="n">
        <v>45842</v>
      </c>
      <c r="I1082" s="52" t="n">
        <v>45845</v>
      </c>
      <c r="J1082" s="52" t="n">
        <v>45844</v>
      </c>
      <c r="K1082" s="53" t="n">
        <v>211.61</v>
      </c>
    </row>
    <row r="1083" ht="15" customHeight="1" s="32">
      <c r="A1083" s="46" t="inlineStr">
        <is>
          <t>L-HB-1082</t>
        </is>
      </c>
      <c r="B1083" s="46" t="inlineStr">
        <is>
          <t>R-HB-1082</t>
        </is>
      </c>
      <c r="C1083" s="48" t="inlineStr">
        <is>
          <t>항공</t>
        </is>
      </c>
      <c r="D1083" s="48" t="inlineStr">
        <is>
          <t>인천공항</t>
        </is>
      </c>
      <c r="E1083" s="46" t="inlineStr">
        <is>
          <t>ICN</t>
        </is>
      </c>
      <c r="F1083" s="48" t="inlineStr">
        <is>
          <t>로스앤젤레스공항</t>
        </is>
      </c>
      <c r="G1083" s="46" t="inlineStr">
        <is>
          <t>LAX</t>
        </is>
      </c>
      <c r="H1083" s="47" t="n">
        <v>45843</v>
      </c>
      <c r="I1083" s="52" t="n">
        <v>45846</v>
      </c>
      <c r="J1083" s="52" t="n">
        <v>45846</v>
      </c>
      <c r="K1083" s="53" t="n">
        <v>135.48</v>
      </c>
    </row>
    <row r="1084" ht="15" customHeight="1" s="32">
      <c r="A1084" s="46" t="inlineStr">
        <is>
          <t>L-HB-1083</t>
        </is>
      </c>
      <c r="B1084" s="46" t="inlineStr">
        <is>
          <t>R-HB-1083</t>
        </is>
      </c>
      <c r="C1084" s="48" t="inlineStr">
        <is>
          <t>항공</t>
        </is>
      </c>
      <c r="D1084" s="48" t="inlineStr">
        <is>
          <t>인천공항</t>
        </is>
      </c>
      <c r="E1084" s="46" t="inlineStr">
        <is>
          <t>ICN</t>
        </is>
      </c>
      <c r="F1084" s="48" t="inlineStr">
        <is>
          <t>프랑크푸르트공항</t>
        </is>
      </c>
      <c r="G1084" s="46" t="inlineStr">
        <is>
          <t>FRA</t>
        </is>
      </c>
      <c r="H1084" s="47" t="n">
        <v>45843</v>
      </c>
      <c r="I1084" s="52" t="n">
        <v>45846</v>
      </c>
      <c r="J1084" s="52" t="n">
        <v>45846</v>
      </c>
      <c r="K1084" s="53" t="n">
        <v>502.86</v>
      </c>
    </row>
    <row r="1085" ht="15" customHeight="1" s="32">
      <c r="A1085" s="46" t="inlineStr">
        <is>
          <t>L-HB-1084</t>
        </is>
      </c>
      <c r="B1085" s="46" t="inlineStr">
        <is>
          <t>R-HB-1084</t>
        </is>
      </c>
      <c r="C1085" s="48" t="inlineStr">
        <is>
          <t>항공</t>
        </is>
      </c>
      <c r="D1085" s="48" t="inlineStr">
        <is>
          <t>인천공항</t>
        </is>
      </c>
      <c r="E1085" s="46" t="inlineStr">
        <is>
          <t>ICN</t>
        </is>
      </c>
      <c r="F1085" s="48" t="inlineStr">
        <is>
          <t>프랑크푸르트공항</t>
        </is>
      </c>
      <c r="G1085" s="46" t="inlineStr">
        <is>
          <t>FRA</t>
        </is>
      </c>
      <c r="H1085" s="47" t="n">
        <v>45843</v>
      </c>
      <c r="I1085" s="52" t="n">
        <v>45848</v>
      </c>
      <c r="J1085" s="52" t="n">
        <v>45848</v>
      </c>
      <c r="K1085" s="53" t="n">
        <v>151.67</v>
      </c>
    </row>
    <row r="1086" ht="15" customHeight="1" s="32">
      <c r="A1086" s="46" t="inlineStr">
        <is>
          <t>L-HB-1085</t>
        </is>
      </c>
      <c r="B1086" s="46" t="inlineStr">
        <is>
          <t>R-HB-1085</t>
        </is>
      </c>
      <c r="C1086" s="48" t="inlineStr">
        <is>
          <t>항공</t>
        </is>
      </c>
      <c r="D1086" s="48" t="inlineStr">
        <is>
          <t>인천공항</t>
        </is>
      </c>
      <c r="E1086" s="46" t="inlineStr">
        <is>
          <t>ICN</t>
        </is>
      </c>
      <c r="F1086" s="48" t="inlineStr">
        <is>
          <t>토론토공항</t>
        </is>
      </c>
      <c r="G1086" s="46" t="inlineStr">
        <is>
          <t>YYZ</t>
        </is>
      </c>
      <c r="H1086" s="47" t="n">
        <v>45844</v>
      </c>
      <c r="I1086" s="52" t="n">
        <v>45847</v>
      </c>
      <c r="J1086" s="52" t="n">
        <v>45848</v>
      </c>
      <c r="K1086" s="53" t="n">
        <v>135</v>
      </c>
    </row>
    <row r="1087" ht="15" customHeight="1" s="32">
      <c r="A1087" s="46" t="inlineStr">
        <is>
          <t>L-HB-1086</t>
        </is>
      </c>
      <c r="B1087" s="46" t="inlineStr">
        <is>
          <t>R-HB-1086</t>
        </is>
      </c>
      <c r="C1087" s="48" t="inlineStr">
        <is>
          <t>항공</t>
        </is>
      </c>
      <c r="D1087" s="48" t="inlineStr">
        <is>
          <t>인천공항</t>
        </is>
      </c>
      <c r="E1087" s="46" t="inlineStr">
        <is>
          <t>ICN</t>
        </is>
      </c>
      <c r="F1087" s="48" t="inlineStr">
        <is>
          <t>충칭공항</t>
        </is>
      </c>
      <c r="G1087" s="46" t="inlineStr">
        <is>
          <t>CKG</t>
        </is>
      </c>
      <c r="H1087" s="47" t="n">
        <v>45844</v>
      </c>
      <c r="I1087" s="52" t="n">
        <v>45847</v>
      </c>
      <c r="J1087" s="52" t="n">
        <v>45847</v>
      </c>
      <c r="K1087" s="53" t="n">
        <v>135</v>
      </c>
    </row>
    <row r="1088" ht="15" customHeight="1" s="32">
      <c r="A1088" s="46" t="inlineStr">
        <is>
          <t>L-HB-1087</t>
        </is>
      </c>
      <c r="B1088" s="46" t="inlineStr">
        <is>
          <t>R-HB-1087</t>
        </is>
      </c>
      <c r="C1088" s="48" t="inlineStr">
        <is>
          <t>항공</t>
        </is>
      </c>
      <c r="D1088" s="48" t="inlineStr">
        <is>
          <t>인천공항</t>
        </is>
      </c>
      <c r="E1088" s="46" t="inlineStr">
        <is>
          <t>ICN</t>
        </is>
      </c>
      <c r="F1088" s="48" t="inlineStr">
        <is>
          <t>하노이공항</t>
        </is>
      </c>
      <c r="G1088" s="46" t="inlineStr">
        <is>
          <t>HAN</t>
        </is>
      </c>
      <c r="H1088" s="47" t="n">
        <v>45845</v>
      </c>
      <c r="I1088" s="52" t="n">
        <v>45847</v>
      </c>
      <c r="J1088" s="52" t="n">
        <v>45850</v>
      </c>
      <c r="K1088" s="53" t="n">
        <v>135</v>
      </c>
    </row>
    <row r="1089" ht="15" customHeight="1" s="32">
      <c r="A1089" s="46" t="inlineStr">
        <is>
          <t>L-HB-1088</t>
        </is>
      </c>
      <c r="B1089" s="46" t="inlineStr">
        <is>
          <t>R-HB-1088</t>
        </is>
      </c>
      <c r="C1089" s="48" t="inlineStr">
        <is>
          <t>항공</t>
        </is>
      </c>
      <c r="D1089" s="48" t="inlineStr">
        <is>
          <t>인천공항</t>
        </is>
      </c>
      <c r="E1089" s="46" t="inlineStr">
        <is>
          <t>ICN</t>
        </is>
      </c>
      <c r="F1089" s="48" t="inlineStr">
        <is>
          <t>선전공항</t>
        </is>
      </c>
      <c r="G1089" s="46" t="inlineStr">
        <is>
          <t>SZX</t>
        </is>
      </c>
      <c r="H1089" s="47" t="n">
        <v>45845</v>
      </c>
      <c r="I1089" s="52" t="n">
        <v>45847</v>
      </c>
      <c r="J1089" s="52" t="n">
        <v>45847</v>
      </c>
      <c r="K1089" s="53" t="n">
        <v>376.26</v>
      </c>
    </row>
    <row r="1090" ht="15" customHeight="1" s="32">
      <c r="A1090" s="46" t="inlineStr">
        <is>
          <t>L-HB-1089</t>
        </is>
      </c>
      <c r="B1090" s="46" t="inlineStr">
        <is>
          <t>R-HB-1089</t>
        </is>
      </c>
      <c r="C1090" s="48" t="inlineStr">
        <is>
          <t>항공</t>
        </is>
      </c>
      <c r="D1090" s="48" t="inlineStr">
        <is>
          <t>인천공항</t>
        </is>
      </c>
      <c r="E1090" s="46" t="inlineStr">
        <is>
          <t>ICN</t>
        </is>
      </c>
      <c r="F1090" s="48" t="inlineStr">
        <is>
          <t>토론토공항</t>
        </is>
      </c>
      <c r="G1090" s="46" t="inlineStr">
        <is>
          <t>YYZ</t>
        </is>
      </c>
      <c r="H1090" s="47" t="n">
        <v>45846</v>
      </c>
      <c r="I1090" s="52" t="n">
        <v>45851</v>
      </c>
      <c r="J1090" s="52" t="n">
        <v>45850</v>
      </c>
      <c r="K1090" s="53" t="n">
        <v>135</v>
      </c>
    </row>
    <row r="1091" ht="15" customHeight="1" s="32">
      <c r="A1091" s="46" t="inlineStr">
        <is>
          <t>L-HB-1090</t>
        </is>
      </c>
      <c r="B1091" s="46" t="inlineStr">
        <is>
          <t>R-HB-1090</t>
        </is>
      </c>
      <c r="C1091" s="48" t="inlineStr">
        <is>
          <t>항공</t>
        </is>
      </c>
      <c r="D1091" s="48" t="inlineStr">
        <is>
          <t>인천공항</t>
        </is>
      </c>
      <c r="E1091" s="46" t="inlineStr">
        <is>
          <t>ICN</t>
        </is>
      </c>
      <c r="F1091" s="48" t="inlineStr">
        <is>
          <t>충칭공항</t>
        </is>
      </c>
      <c r="G1091" s="46" t="inlineStr">
        <is>
          <t>CKG</t>
        </is>
      </c>
      <c r="H1091" s="47" t="n">
        <v>45846</v>
      </c>
      <c r="I1091" s="52" t="n">
        <v>45847</v>
      </c>
      <c r="J1091" s="52" t="n">
        <v>45847</v>
      </c>
      <c r="K1091" s="53" t="n">
        <v>263.85</v>
      </c>
    </row>
    <row r="1092" ht="15" customHeight="1" s="32">
      <c r="A1092" s="46" t="inlineStr">
        <is>
          <t>L-HB-1091</t>
        </is>
      </c>
      <c r="B1092" s="46" t="inlineStr">
        <is>
          <t>R-HB-1091</t>
        </is>
      </c>
      <c r="C1092" s="48" t="inlineStr">
        <is>
          <t>항공</t>
        </is>
      </c>
      <c r="D1092" s="48" t="inlineStr">
        <is>
          <t>인천공항</t>
        </is>
      </c>
      <c r="E1092" s="46" t="inlineStr">
        <is>
          <t>ICN</t>
        </is>
      </c>
      <c r="F1092" s="48" t="inlineStr">
        <is>
          <t>시애틀공항</t>
        </is>
      </c>
      <c r="G1092" s="46" t="inlineStr">
        <is>
          <t>SEA</t>
        </is>
      </c>
      <c r="H1092" s="47" t="n">
        <v>45847</v>
      </c>
      <c r="I1092" s="52" t="n">
        <v>45850</v>
      </c>
      <c r="J1092" s="52" t="n">
        <v>45850</v>
      </c>
      <c r="K1092" s="53" t="n">
        <v>301.9</v>
      </c>
    </row>
    <row r="1093" ht="15" customHeight="1" s="32">
      <c r="A1093" s="46" t="inlineStr">
        <is>
          <t>L-HB-1092</t>
        </is>
      </c>
      <c r="B1093" s="46" t="inlineStr">
        <is>
          <t>R-HB-1092</t>
        </is>
      </c>
      <c r="C1093" s="48" t="inlineStr">
        <is>
          <t>항공</t>
        </is>
      </c>
      <c r="D1093" s="48" t="inlineStr">
        <is>
          <t>인천공항</t>
        </is>
      </c>
      <c r="E1093" s="46" t="inlineStr">
        <is>
          <t>ICN</t>
        </is>
      </c>
      <c r="F1093" s="48" t="inlineStr">
        <is>
          <t>델리공항</t>
        </is>
      </c>
      <c r="G1093" s="46" t="inlineStr">
        <is>
          <t>DEL</t>
        </is>
      </c>
      <c r="H1093" s="47" t="n">
        <v>45847</v>
      </c>
      <c r="I1093" s="52" t="n">
        <v>45849</v>
      </c>
      <c r="J1093" s="52" t="n">
        <v>45848</v>
      </c>
      <c r="K1093" s="53" t="n">
        <v>135</v>
      </c>
    </row>
    <row r="1094" ht="15" customHeight="1" s="32">
      <c r="A1094" s="46" t="inlineStr">
        <is>
          <t>L-HB-1093</t>
        </is>
      </c>
      <c r="B1094" s="46" t="inlineStr">
        <is>
          <t>R-HB-1093</t>
        </is>
      </c>
      <c r="C1094" s="48" t="inlineStr">
        <is>
          <t>항공</t>
        </is>
      </c>
      <c r="D1094" s="48" t="inlineStr">
        <is>
          <t>인천공항</t>
        </is>
      </c>
      <c r="E1094" s="46" t="inlineStr">
        <is>
          <t>ICN</t>
        </is>
      </c>
      <c r="F1094" s="48" t="inlineStr">
        <is>
          <t>선전공항</t>
        </is>
      </c>
      <c r="G1094" s="46" t="inlineStr">
        <is>
          <t>SZX</t>
        </is>
      </c>
      <c r="H1094" s="47" t="n">
        <v>45847</v>
      </c>
      <c r="I1094" s="52" t="n">
        <v>45849</v>
      </c>
      <c r="J1094" s="52" t="n">
        <v>45848</v>
      </c>
      <c r="K1094" s="53" t="n">
        <v>138.43</v>
      </c>
    </row>
    <row r="1095" ht="15" customHeight="1" s="32">
      <c r="A1095" s="46" t="inlineStr">
        <is>
          <t>L-HB-1094</t>
        </is>
      </c>
      <c r="B1095" s="46" t="inlineStr">
        <is>
          <t>R-HB-1094</t>
        </is>
      </c>
      <c r="C1095" s="48" t="inlineStr">
        <is>
          <t>항공</t>
        </is>
      </c>
      <c r="D1095" s="48" t="inlineStr">
        <is>
          <t>인천공항</t>
        </is>
      </c>
      <c r="E1095" s="46" t="inlineStr">
        <is>
          <t>ICN</t>
        </is>
      </c>
      <c r="F1095" s="48" t="inlineStr">
        <is>
          <t>로스앤젤레스공항</t>
        </is>
      </c>
      <c r="G1095" s="46" t="inlineStr">
        <is>
          <t>LAX</t>
        </is>
      </c>
      <c r="H1095" s="47" t="n">
        <v>45850</v>
      </c>
      <c r="I1095" s="52" t="n">
        <v>45852</v>
      </c>
      <c r="J1095" s="52" t="n">
        <v>45852</v>
      </c>
      <c r="K1095" s="53" t="n">
        <v>135</v>
      </c>
    </row>
    <row r="1096" ht="15" customHeight="1" s="32">
      <c r="A1096" s="46" t="inlineStr">
        <is>
          <t>L-HB-1095</t>
        </is>
      </c>
      <c r="B1096" s="46" t="inlineStr">
        <is>
          <t>R-HB-1095</t>
        </is>
      </c>
      <c r="C1096" s="48" t="inlineStr">
        <is>
          <t>해상</t>
        </is>
      </c>
      <c r="D1096" s="48" t="inlineStr">
        <is>
          <t>부산항</t>
        </is>
      </c>
      <c r="E1096" s="46" t="inlineStr">
        <is>
          <t>KRPUS</t>
        </is>
      </c>
      <c r="F1096" s="48" t="inlineStr">
        <is>
          <t>하이퐁항</t>
        </is>
      </c>
      <c r="G1096" s="46" t="inlineStr">
        <is>
          <t>VNHPH</t>
        </is>
      </c>
      <c r="H1096" s="47" t="n">
        <v>45850</v>
      </c>
      <c r="I1096" s="52" t="n">
        <v>45861</v>
      </c>
      <c r="J1096" s="52" t="n">
        <v>45861</v>
      </c>
      <c r="K1096" s="53" t="n">
        <v>530</v>
      </c>
    </row>
    <row r="1097" ht="15" customHeight="1" s="32">
      <c r="A1097" s="46" t="inlineStr">
        <is>
          <t>L-HB-1096</t>
        </is>
      </c>
      <c r="B1097" s="46" t="inlineStr">
        <is>
          <t>R-HB-1096</t>
        </is>
      </c>
      <c r="C1097" s="48" t="inlineStr">
        <is>
          <t>항공</t>
        </is>
      </c>
      <c r="D1097" s="48" t="inlineStr">
        <is>
          <t>인천공항</t>
        </is>
      </c>
      <c r="E1097" s="46" t="inlineStr">
        <is>
          <t>ICN</t>
        </is>
      </c>
      <c r="F1097" s="48" t="inlineStr">
        <is>
          <t>델리공항</t>
        </is>
      </c>
      <c r="G1097" s="46" t="inlineStr">
        <is>
          <t>DEL</t>
        </is>
      </c>
      <c r="H1097" s="47" t="n">
        <v>45850</v>
      </c>
      <c r="I1097" s="52" t="n">
        <v>45853</v>
      </c>
      <c r="J1097" s="52" t="n">
        <v>45853</v>
      </c>
      <c r="K1097" s="53" t="n">
        <v>135</v>
      </c>
    </row>
    <row r="1098" ht="15" customHeight="1" s="32">
      <c r="A1098" s="46" t="inlineStr">
        <is>
          <t>L-HB-1097</t>
        </is>
      </c>
      <c r="B1098" s="46" t="inlineStr">
        <is>
          <t>R-HB-1097</t>
        </is>
      </c>
      <c r="C1098" s="48" t="inlineStr">
        <is>
          <t>항공</t>
        </is>
      </c>
      <c r="D1098" s="48" t="inlineStr">
        <is>
          <t>인천공항</t>
        </is>
      </c>
      <c r="E1098" s="46" t="inlineStr">
        <is>
          <t>ICN</t>
        </is>
      </c>
      <c r="F1098" s="48" t="inlineStr">
        <is>
          <t>과달라하라공항</t>
        </is>
      </c>
      <c r="G1098" s="46" t="inlineStr">
        <is>
          <t>GDL</t>
        </is>
      </c>
      <c r="H1098" s="47" t="n">
        <v>45851</v>
      </c>
      <c r="I1098" s="52" t="n">
        <v>45856</v>
      </c>
      <c r="J1098" s="52" t="n">
        <v>45855</v>
      </c>
      <c r="K1098" s="53" t="n">
        <v>135</v>
      </c>
    </row>
    <row r="1099" ht="15" customHeight="1" s="32">
      <c r="A1099" s="46" t="inlineStr">
        <is>
          <t>L-HB-1098</t>
        </is>
      </c>
      <c r="B1099" s="46" t="inlineStr">
        <is>
          <t>R-HB-1098</t>
        </is>
      </c>
      <c r="C1099" s="48" t="inlineStr">
        <is>
          <t>항공</t>
        </is>
      </c>
      <c r="D1099" s="48" t="inlineStr">
        <is>
          <t>인천공항</t>
        </is>
      </c>
      <c r="E1099" s="46" t="inlineStr">
        <is>
          <t>ICN</t>
        </is>
      </c>
      <c r="F1099" s="48" t="inlineStr">
        <is>
          <t>과달라하라공항</t>
        </is>
      </c>
      <c r="G1099" s="46" t="inlineStr">
        <is>
          <t>GDL</t>
        </is>
      </c>
      <c r="H1099" s="47" t="n">
        <v>45851</v>
      </c>
      <c r="I1099" s="52" t="n">
        <v>45854</v>
      </c>
      <c r="J1099" s="52" t="n">
        <v>45854</v>
      </c>
      <c r="K1099" s="53" t="n">
        <v>135</v>
      </c>
    </row>
    <row r="1100" ht="15" customHeight="1" s="32">
      <c r="A1100" s="46" t="inlineStr">
        <is>
          <t>L-HB-1099</t>
        </is>
      </c>
      <c r="B1100" s="46" t="inlineStr">
        <is>
          <t>R-HB-1099</t>
        </is>
      </c>
      <c r="C1100" s="48" t="inlineStr">
        <is>
          <t>해상</t>
        </is>
      </c>
      <c r="D1100" s="48" t="inlineStr">
        <is>
          <t>부산항</t>
        </is>
      </c>
      <c r="E1100" s="46" t="inlineStr">
        <is>
          <t>KRPUS</t>
        </is>
      </c>
      <c r="F1100" s="48" t="inlineStr">
        <is>
          <t>서커우항</t>
        </is>
      </c>
      <c r="G1100" s="46" t="inlineStr">
        <is>
          <t>CNSHK</t>
        </is>
      </c>
      <c r="H1100" s="47" t="n">
        <v>45851</v>
      </c>
      <c r="I1100" s="52" t="n">
        <v>45857</v>
      </c>
      <c r="J1100" s="52" t="n">
        <v>45856</v>
      </c>
      <c r="K1100" s="53" t="n">
        <v>530</v>
      </c>
    </row>
    <row r="1101" ht="15" customHeight="1" s="32">
      <c r="A1101" s="46" t="inlineStr">
        <is>
          <t>L-HB-1100</t>
        </is>
      </c>
      <c r="B1101" s="46" t="inlineStr">
        <is>
          <t>R-HB-1100</t>
        </is>
      </c>
      <c r="C1101" s="48" t="inlineStr">
        <is>
          <t>항공</t>
        </is>
      </c>
      <c r="D1101" s="48" t="inlineStr">
        <is>
          <t>인천공항</t>
        </is>
      </c>
      <c r="E1101" s="46" t="inlineStr">
        <is>
          <t>ICN</t>
        </is>
      </c>
      <c r="F1101" s="48" t="inlineStr">
        <is>
          <t>시애틀공항</t>
        </is>
      </c>
      <c r="G1101" s="46" t="inlineStr">
        <is>
          <t>SEA</t>
        </is>
      </c>
      <c r="H1101" s="47" t="n">
        <v>45854</v>
      </c>
      <c r="I1101" s="52" t="n">
        <v>45856</v>
      </c>
      <c r="J1101" s="52" t="n">
        <v>45855</v>
      </c>
      <c r="K1101" s="53" t="n">
        <v>135</v>
      </c>
    </row>
    <row r="1102" ht="15" customHeight="1" s="32">
      <c r="A1102" s="46" t="inlineStr">
        <is>
          <t>L-HB-1101</t>
        </is>
      </c>
      <c r="B1102" s="46" t="inlineStr">
        <is>
          <t>R-HB-1101</t>
        </is>
      </c>
      <c r="C1102" s="48" t="inlineStr">
        <is>
          <t>항공</t>
        </is>
      </c>
      <c r="D1102" s="48" t="inlineStr">
        <is>
          <t>인천공항</t>
        </is>
      </c>
      <c r="E1102" s="46" t="inlineStr">
        <is>
          <t>ICN</t>
        </is>
      </c>
      <c r="F1102" s="48" t="inlineStr">
        <is>
          <t>토론토공항</t>
        </is>
      </c>
      <c r="G1102" s="46" t="inlineStr">
        <is>
          <t>YYZ</t>
        </is>
      </c>
      <c r="H1102" s="47" t="n">
        <v>45854</v>
      </c>
      <c r="I1102" s="52" t="n">
        <v>45857</v>
      </c>
      <c r="J1102" s="52" t="n">
        <v>45856</v>
      </c>
      <c r="K1102" s="53" t="n">
        <v>135</v>
      </c>
    </row>
    <row r="1103" ht="15" customHeight="1" s="32">
      <c r="A1103" s="46" t="inlineStr">
        <is>
          <t>L-HB-1102</t>
        </is>
      </c>
      <c r="B1103" s="46" t="inlineStr">
        <is>
          <t>R-HB-1102</t>
        </is>
      </c>
      <c r="C1103" s="48" t="inlineStr">
        <is>
          <t>항공</t>
        </is>
      </c>
      <c r="D1103" s="48" t="inlineStr">
        <is>
          <t>인천공항</t>
        </is>
      </c>
      <c r="E1103" s="46" t="inlineStr">
        <is>
          <t>ICN</t>
        </is>
      </c>
      <c r="F1103" s="48" t="inlineStr">
        <is>
          <t>델리공항</t>
        </is>
      </c>
      <c r="G1103" s="46" t="inlineStr">
        <is>
          <t>DEL</t>
        </is>
      </c>
      <c r="H1103" s="47" t="n">
        <v>45854</v>
      </c>
      <c r="I1103" s="52" t="n">
        <v>45857</v>
      </c>
      <c r="J1103" s="52" t="n">
        <v>45856</v>
      </c>
      <c r="K1103" s="53" t="n">
        <v>135</v>
      </c>
    </row>
    <row r="1104" ht="15" customHeight="1" s="32">
      <c r="A1104" s="46" t="inlineStr">
        <is>
          <t>L-HB-1103</t>
        </is>
      </c>
      <c r="B1104" s="46" t="inlineStr">
        <is>
          <t>R-HB-1103</t>
        </is>
      </c>
      <c r="C1104" s="48" t="inlineStr">
        <is>
          <t>항공</t>
        </is>
      </c>
      <c r="D1104" s="48" t="inlineStr">
        <is>
          <t>인천공항</t>
        </is>
      </c>
      <c r="E1104" s="46" t="inlineStr">
        <is>
          <t>ICN</t>
        </is>
      </c>
      <c r="F1104" s="48" t="inlineStr">
        <is>
          <t>과달라하라공항</t>
        </is>
      </c>
      <c r="G1104" s="46" t="inlineStr">
        <is>
          <t>GDL</t>
        </is>
      </c>
      <c r="H1104" s="47" t="n">
        <v>45855</v>
      </c>
      <c r="I1104" s="52" t="n">
        <v>45858</v>
      </c>
      <c r="J1104" s="52" t="n">
        <v>45857</v>
      </c>
      <c r="K1104" s="53" t="n">
        <v>135</v>
      </c>
    </row>
    <row r="1105" ht="15" customHeight="1" s="32">
      <c r="A1105" s="46" t="inlineStr">
        <is>
          <t>L-HB-1104</t>
        </is>
      </c>
      <c r="B1105" s="46" t="inlineStr">
        <is>
          <t>R-HB-1104</t>
        </is>
      </c>
      <c r="C1105" s="48" t="inlineStr">
        <is>
          <t>항공</t>
        </is>
      </c>
      <c r="D1105" s="48" t="inlineStr">
        <is>
          <t>인천공항</t>
        </is>
      </c>
      <c r="E1105" s="46" t="inlineStr">
        <is>
          <t>ICN</t>
        </is>
      </c>
      <c r="F1105" s="48" t="inlineStr">
        <is>
          <t>충칭공항</t>
        </is>
      </c>
      <c r="G1105" s="46" t="inlineStr">
        <is>
          <t>CKG</t>
        </is>
      </c>
      <c r="H1105" s="47" t="n">
        <v>45855</v>
      </c>
      <c r="I1105" s="52" t="n">
        <v>45856</v>
      </c>
      <c r="J1105" s="52" t="n">
        <v>45856</v>
      </c>
      <c r="K1105" s="53" t="n">
        <v>135</v>
      </c>
    </row>
    <row r="1106" ht="15" customHeight="1" s="32">
      <c r="A1106" s="46" t="inlineStr">
        <is>
          <t>L-HB-1105</t>
        </is>
      </c>
      <c r="B1106" s="46" t="inlineStr">
        <is>
          <t>R-HB-1105</t>
        </is>
      </c>
      <c r="C1106" s="48" t="inlineStr">
        <is>
          <t>항공</t>
        </is>
      </c>
      <c r="D1106" s="48" t="inlineStr">
        <is>
          <t>인천공항</t>
        </is>
      </c>
      <c r="E1106" s="46" t="inlineStr">
        <is>
          <t>ICN</t>
        </is>
      </c>
      <c r="F1106" s="48" t="inlineStr">
        <is>
          <t>프랑크푸르트공항</t>
        </is>
      </c>
      <c r="G1106" s="46" t="inlineStr">
        <is>
          <t>FRA</t>
        </is>
      </c>
      <c r="H1106" s="47" t="n">
        <v>45856</v>
      </c>
      <c r="I1106" s="52" t="n">
        <v>45860</v>
      </c>
      <c r="J1106" s="52" t="n">
        <v>45860</v>
      </c>
      <c r="K1106" s="53" t="n">
        <v>135</v>
      </c>
    </row>
    <row r="1107" ht="15" customHeight="1" s="32">
      <c r="A1107" s="46" t="inlineStr">
        <is>
          <t>L-HB-1106</t>
        </is>
      </c>
      <c r="B1107" s="46" t="inlineStr">
        <is>
          <t>R-HB-1106</t>
        </is>
      </c>
      <c r="C1107" s="48" t="inlineStr">
        <is>
          <t>항공</t>
        </is>
      </c>
      <c r="D1107" s="48" t="inlineStr">
        <is>
          <t>인천공항</t>
        </is>
      </c>
      <c r="E1107" s="46" t="inlineStr">
        <is>
          <t>ICN</t>
        </is>
      </c>
      <c r="F1107" s="48" t="inlineStr">
        <is>
          <t>하노이공항</t>
        </is>
      </c>
      <c r="G1107" s="46" t="inlineStr">
        <is>
          <t>HAN</t>
        </is>
      </c>
      <c r="H1107" s="47" t="n">
        <v>45856</v>
      </c>
      <c r="I1107" s="52" t="n">
        <v>45859</v>
      </c>
      <c r="J1107" s="52" t="n">
        <v>45863</v>
      </c>
      <c r="K1107" s="53" t="n">
        <v>284.49</v>
      </c>
    </row>
    <row r="1108" ht="15" customHeight="1" s="32">
      <c r="A1108" s="46" t="inlineStr">
        <is>
          <t>L-HB-1107</t>
        </is>
      </c>
      <c r="B1108" s="46" t="inlineStr">
        <is>
          <t>R-HB-1107</t>
        </is>
      </c>
      <c r="C1108" s="48" t="inlineStr">
        <is>
          <t>항공</t>
        </is>
      </c>
      <c r="D1108" s="48" t="inlineStr">
        <is>
          <t>인천공항</t>
        </is>
      </c>
      <c r="E1108" s="46" t="inlineStr">
        <is>
          <t>ICN</t>
        </is>
      </c>
      <c r="F1108" s="48" t="inlineStr">
        <is>
          <t>선전공항</t>
        </is>
      </c>
      <c r="G1108" s="46" t="inlineStr">
        <is>
          <t>SZX</t>
        </is>
      </c>
      <c r="H1108" s="47" t="n">
        <v>45857</v>
      </c>
      <c r="I1108" s="52" t="n">
        <v>45860</v>
      </c>
      <c r="J1108" s="52" t="n">
        <v>45859</v>
      </c>
      <c r="K1108" s="53" t="n">
        <v>135</v>
      </c>
    </row>
    <row r="1109" ht="15" customHeight="1" s="32">
      <c r="A1109" s="46" t="inlineStr">
        <is>
          <t>L-HB-1108</t>
        </is>
      </c>
      <c r="B1109" s="46" t="inlineStr">
        <is>
          <t>R-HB-1108</t>
        </is>
      </c>
      <c r="C1109" s="48" t="inlineStr">
        <is>
          <t>항공</t>
        </is>
      </c>
      <c r="D1109" s="48" t="inlineStr">
        <is>
          <t>인천공항</t>
        </is>
      </c>
      <c r="E1109" s="46" t="inlineStr">
        <is>
          <t>ICN</t>
        </is>
      </c>
      <c r="F1109" s="48" t="inlineStr">
        <is>
          <t>로스앤젤레스공항</t>
        </is>
      </c>
      <c r="G1109" s="46" t="inlineStr">
        <is>
          <t>LAX</t>
        </is>
      </c>
      <c r="H1109" s="47" t="n">
        <v>45858</v>
      </c>
      <c r="I1109" s="52" t="n">
        <v>45860</v>
      </c>
      <c r="J1109" s="52" t="n">
        <v>45860</v>
      </c>
      <c r="K1109" s="53" t="n">
        <v>221.2</v>
      </c>
    </row>
    <row r="1110" ht="15" customHeight="1" s="32">
      <c r="A1110" s="46" t="inlineStr">
        <is>
          <t>L-HB-1109</t>
        </is>
      </c>
      <c r="B1110" s="46" t="inlineStr">
        <is>
          <t>R-HB-1109</t>
        </is>
      </c>
      <c r="C1110" s="48" t="inlineStr">
        <is>
          <t>항공</t>
        </is>
      </c>
      <c r="D1110" s="48" t="inlineStr">
        <is>
          <t>인천공항</t>
        </is>
      </c>
      <c r="E1110" s="46" t="inlineStr">
        <is>
          <t>ICN</t>
        </is>
      </c>
      <c r="F1110" s="48" t="inlineStr">
        <is>
          <t>프랑크푸르트공항</t>
        </is>
      </c>
      <c r="G1110" s="46" t="inlineStr">
        <is>
          <t>FRA</t>
        </is>
      </c>
      <c r="H1110" s="47" t="n">
        <v>45858</v>
      </c>
      <c r="I1110" s="52" t="n">
        <v>45862</v>
      </c>
      <c r="J1110" s="52" t="n">
        <v>45862</v>
      </c>
      <c r="K1110" s="53" t="n">
        <v>196.5</v>
      </c>
    </row>
    <row r="1111" ht="15" customHeight="1" s="32">
      <c r="A1111" s="46" t="inlineStr">
        <is>
          <t>L-HB-1110</t>
        </is>
      </c>
      <c r="B1111" s="46" t="inlineStr">
        <is>
          <t>R-HB-1110</t>
        </is>
      </c>
      <c r="C1111" s="48" t="inlineStr">
        <is>
          <t>항공</t>
        </is>
      </c>
      <c r="D1111" s="48" t="inlineStr">
        <is>
          <t>인천공항</t>
        </is>
      </c>
      <c r="E1111" s="46" t="inlineStr">
        <is>
          <t>ICN</t>
        </is>
      </c>
      <c r="F1111" s="48" t="inlineStr">
        <is>
          <t>로스앤젤레스공항</t>
        </is>
      </c>
      <c r="G1111" s="46" t="inlineStr">
        <is>
          <t>LAX</t>
        </is>
      </c>
      <c r="H1111" s="47" t="n">
        <v>45859</v>
      </c>
      <c r="I1111" s="52" t="n">
        <v>45861</v>
      </c>
      <c r="J1111" s="52" t="n">
        <v>45861</v>
      </c>
      <c r="K1111" s="53" t="n">
        <v>507.35</v>
      </c>
    </row>
    <row r="1112" ht="15" customHeight="1" s="32">
      <c r="A1112" s="46" t="inlineStr">
        <is>
          <t>L-HB-1111</t>
        </is>
      </c>
      <c r="B1112" s="46" t="inlineStr">
        <is>
          <t>R-HB-1111</t>
        </is>
      </c>
      <c r="C1112" s="48" t="inlineStr">
        <is>
          <t>항공</t>
        </is>
      </c>
      <c r="D1112" s="48" t="inlineStr">
        <is>
          <t>인천공항</t>
        </is>
      </c>
      <c r="E1112" s="46" t="inlineStr">
        <is>
          <t>ICN</t>
        </is>
      </c>
      <c r="F1112" s="48" t="inlineStr">
        <is>
          <t>과달라하라공항</t>
        </is>
      </c>
      <c r="G1112" s="46" t="inlineStr">
        <is>
          <t>GDL</t>
        </is>
      </c>
      <c r="H1112" s="47" t="n">
        <v>45861</v>
      </c>
      <c r="I1112" s="52" t="n">
        <v>45864</v>
      </c>
      <c r="J1112" s="52" t="n">
        <v>45866</v>
      </c>
      <c r="K1112" s="53" t="n">
        <v>135</v>
      </c>
    </row>
    <row r="1113" ht="15" customHeight="1" s="32">
      <c r="A1113" s="46" t="inlineStr">
        <is>
          <t>L-HB-1112</t>
        </is>
      </c>
      <c r="B1113" s="46" t="inlineStr">
        <is>
          <t>R-HB-1112</t>
        </is>
      </c>
      <c r="C1113" s="48" t="inlineStr">
        <is>
          <t>항공</t>
        </is>
      </c>
      <c r="D1113" s="48" t="inlineStr">
        <is>
          <t>인천공항</t>
        </is>
      </c>
      <c r="E1113" s="46" t="inlineStr">
        <is>
          <t>ICN</t>
        </is>
      </c>
      <c r="F1113" s="48" t="inlineStr">
        <is>
          <t>토론토공항</t>
        </is>
      </c>
      <c r="G1113" s="46" t="inlineStr">
        <is>
          <t>YYZ</t>
        </is>
      </c>
      <c r="H1113" s="47" t="n">
        <v>45861</v>
      </c>
      <c r="I1113" s="52" t="n">
        <v>45865</v>
      </c>
      <c r="J1113" s="52" t="n">
        <v>45867</v>
      </c>
      <c r="K1113" s="53" t="n">
        <v>135</v>
      </c>
    </row>
    <row r="1114" ht="15" customHeight="1" s="32">
      <c r="A1114" s="46" t="inlineStr">
        <is>
          <t>L-HB-1113</t>
        </is>
      </c>
      <c r="B1114" s="46" t="inlineStr">
        <is>
          <t>R-HB-1113</t>
        </is>
      </c>
      <c r="C1114" s="48" t="inlineStr">
        <is>
          <t>항공</t>
        </is>
      </c>
      <c r="D1114" s="48" t="inlineStr">
        <is>
          <t>인천공항</t>
        </is>
      </c>
      <c r="E1114" s="46" t="inlineStr">
        <is>
          <t>ICN</t>
        </is>
      </c>
      <c r="F1114" s="48" t="inlineStr">
        <is>
          <t>시애틀공항</t>
        </is>
      </c>
      <c r="G1114" s="46" t="inlineStr">
        <is>
          <t>SEA</t>
        </is>
      </c>
      <c r="H1114" s="47" t="n">
        <v>45864</v>
      </c>
      <c r="I1114" s="52" t="n">
        <v>45866</v>
      </c>
      <c r="J1114" s="52" t="n">
        <v>45866</v>
      </c>
      <c r="K1114" s="53" t="n">
        <v>143.53</v>
      </c>
    </row>
    <row r="1115" ht="15" customHeight="1" s="32">
      <c r="A1115" s="46" t="inlineStr">
        <is>
          <t>L-HB-1114</t>
        </is>
      </c>
      <c r="B1115" s="46" t="inlineStr">
        <is>
          <t>R-HB-1114</t>
        </is>
      </c>
      <c r="C1115" s="48" t="inlineStr">
        <is>
          <t>항공</t>
        </is>
      </c>
      <c r="D1115" s="48" t="inlineStr">
        <is>
          <t>인천공항</t>
        </is>
      </c>
      <c r="E1115" s="46" t="inlineStr">
        <is>
          <t>ICN</t>
        </is>
      </c>
      <c r="F1115" s="48" t="inlineStr">
        <is>
          <t>시애틀공항</t>
        </is>
      </c>
      <c r="G1115" s="46" t="inlineStr">
        <is>
          <t>SEA</t>
        </is>
      </c>
      <c r="H1115" s="47" t="n">
        <v>45864</v>
      </c>
      <c r="I1115" s="52" t="n">
        <v>45867</v>
      </c>
      <c r="J1115" s="52" t="n">
        <v>45867</v>
      </c>
      <c r="K1115" s="53" t="n">
        <v>135</v>
      </c>
    </row>
    <row r="1116" ht="15" customHeight="1" s="32">
      <c r="A1116" s="46" t="inlineStr">
        <is>
          <t>L-HB-1115</t>
        </is>
      </c>
      <c r="B1116" s="46" t="inlineStr">
        <is>
          <t>R-HB-1115</t>
        </is>
      </c>
      <c r="C1116" s="48" t="inlineStr">
        <is>
          <t>해상</t>
        </is>
      </c>
      <c r="D1116" s="48" t="inlineStr">
        <is>
          <t>부산항</t>
        </is>
      </c>
      <c r="E1116" s="46" t="inlineStr">
        <is>
          <t>KRPUS</t>
        </is>
      </c>
      <c r="F1116" s="48" t="inlineStr">
        <is>
          <t>상하이항</t>
        </is>
      </c>
      <c r="G1116" s="46" t="inlineStr">
        <is>
          <t>CNSHA</t>
        </is>
      </c>
      <c r="H1116" s="47" t="n">
        <v>45864</v>
      </c>
      <c r="I1116" s="52" t="n">
        <v>45869</v>
      </c>
      <c r="J1116" s="52" t="n">
        <v>45868</v>
      </c>
      <c r="K1116" s="53" t="n">
        <v>530</v>
      </c>
    </row>
    <row r="1117" ht="15" customHeight="1" s="32">
      <c r="A1117" s="46" t="inlineStr">
        <is>
          <t>L-HB-1116</t>
        </is>
      </c>
      <c r="B1117" s="46" t="inlineStr">
        <is>
          <t>R-HB-1116</t>
        </is>
      </c>
      <c r="C1117" s="48" t="inlineStr">
        <is>
          <t>항공</t>
        </is>
      </c>
      <c r="D1117" s="48" t="inlineStr">
        <is>
          <t>인천공항</t>
        </is>
      </c>
      <c r="E1117" s="46" t="inlineStr">
        <is>
          <t>ICN</t>
        </is>
      </c>
      <c r="F1117" s="48" t="inlineStr">
        <is>
          <t>하노이공항</t>
        </is>
      </c>
      <c r="G1117" s="46" t="inlineStr">
        <is>
          <t>HAN</t>
        </is>
      </c>
      <c r="H1117" s="47" t="n">
        <v>45865</v>
      </c>
      <c r="I1117" s="52" t="n">
        <v>45866</v>
      </c>
      <c r="J1117" s="52" t="n">
        <v>45866</v>
      </c>
      <c r="K1117" s="53" t="n">
        <v>135</v>
      </c>
    </row>
    <row r="1118" ht="15" customHeight="1" s="32">
      <c r="A1118" s="46" t="inlineStr">
        <is>
          <t>L-HB-1117</t>
        </is>
      </c>
      <c r="B1118" s="46" t="inlineStr">
        <is>
          <t>R-HB-1117</t>
        </is>
      </c>
      <c r="C1118" s="48" t="inlineStr">
        <is>
          <t>항공</t>
        </is>
      </c>
      <c r="D1118" s="48" t="inlineStr">
        <is>
          <t>인천공항</t>
        </is>
      </c>
      <c r="E1118" s="46" t="inlineStr">
        <is>
          <t>ICN</t>
        </is>
      </c>
      <c r="F1118" s="48" t="inlineStr">
        <is>
          <t>로스앤젤레스공항</t>
        </is>
      </c>
      <c r="G1118" s="46" t="inlineStr">
        <is>
          <t>LAX</t>
        </is>
      </c>
      <c r="H1118" s="47" t="n">
        <v>45872</v>
      </c>
      <c r="I1118" s="52" t="n">
        <v>45876</v>
      </c>
      <c r="J1118" s="52" t="n">
        <v>45876</v>
      </c>
      <c r="K1118" s="53" t="n">
        <v>143.1</v>
      </c>
    </row>
    <row r="1119" ht="15" customHeight="1" s="32">
      <c r="A1119" s="46" t="inlineStr">
        <is>
          <t>L-HB-1118</t>
        </is>
      </c>
      <c r="B1119" s="46" t="inlineStr">
        <is>
          <t>R-HB-1118</t>
        </is>
      </c>
      <c r="C1119" s="48" t="inlineStr">
        <is>
          <t>항공</t>
        </is>
      </c>
      <c r="D1119" s="48" t="inlineStr">
        <is>
          <t>인천공항</t>
        </is>
      </c>
      <c r="E1119" s="46" t="inlineStr">
        <is>
          <t>ICN</t>
        </is>
      </c>
      <c r="F1119" s="48" t="inlineStr">
        <is>
          <t>로스앤젤레스공항</t>
        </is>
      </c>
      <c r="G1119" s="46" t="inlineStr">
        <is>
          <t>LAX</t>
        </is>
      </c>
      <c r="H1119" s="47" t="n">
        <v>45873</v>
      </c>
      <c r="I1119" s="52" t="n">
        <v>45876</v>
      </c>
      <c r="J1119" s="52" t="n">
        <v>45876</v>
      </c>
      <c r="K1119" s="53" t="n">
        <v>135</v>
      </c>
    </row>
    <row r="1120" ht="15" customHeight="1" s="32">
      <c r="A1120" s="46" t="inlineStr">
        <is>
          <t>L-HB-1119</t>
        </is>
      </c>
      <c r="B1120" s="46" t="inlineStr">
        <is>
          <t>R-HB-1119</t>
        </is>
      </c>
      <c r="C1120" s="48" t="inlineStr">
        <is>
          <t>항공</t>
        </is>
      </c>
      <c r="D1120" s="48" t="inlineStr">
        <is>
          <t>인천공항</t>
        </is>
      </c>
      <c r="E1120" s="46" t="inlineStr">
        <is>
          <t>ICN</t>
        </is>
      </c>
      <c r="F1120" s="48" t="inlineStr">
        <is>
          <t>충칭공항</t>
        </is>
      </c>
      <c r="G1120" s="46" t="inlineStr">
        <is>
          <t>CKG</t>
        </is>
      </c>
      <c r="H1120" s="47" t="n">
        <v>45873</v>
      </c>
      <c r="I1120" s="52" t="n">
        <v>45875</v>
      </c>
      <c r="J1120" s="52" t="n">
        <v>45875</v>
      </c>
      <c r="K1120" s="53" t="n">
        <v>135</v>
      </c>
    </row>
    <row r="1121" ht="15" customHeight="1" s="32">
      <c r="A1121" s="46" t="inlineStr">
        <is>
          <t>L-HB-1120</t>
        </is>
      </c>
      <c r="B1121" s="46" t="inlineStr">
        <is>
          <t>R-HB-1120</t>
        </is>
      </c>
      <c r="C1121" s="48" t="inlineStr">
        <is>
          <t>항공</t>
        </is>
      </c>
      <c r="D1121" s="48" t="inlineStr">
        <is>
          <t>인천공항</t>
        </is>
      </c>
      <c r="E1121" s="46" t="inlineStr">
        <is>
          <t>ICN</t>
        </is>
      </c>
      <c r="F1121" s="48" t="inlineStr">
        <is>
          <t>프랑크푸르트공항</t>
        </is>
      </c>
      <c r="G1121" s="46" t="inlineStr">
        <is>
          <t>FRA</t>
        </is>
      </c>
      <c r="H1121" s="47" t="n">
        <v>45874</v>
      </c>
      <c r="I1121" s="52" t="n">
        <v>45878</v>
      </c>
      <c r="J1121" s="52" t="n">
        <v>45881</v>
      </c>
      <c r="K1121" s="53" t="n">
        <v>135</v>
      </c>
    </row>
    <row r="1122" ht="15" customHeight="1" s="32">
      <c r="A1122" s="46" t="inlineStr">
        <is>
          <t>L-HB-1121</t>
        </is>
      </c>
      <c r="B1122" s="46" t="inlineStr">
        <is>
          <t>R-HB-1121</t>
        </is>
      </c>
      <c r="C1122" s="48" t="inlineStr">
        <is>
          <t>항공</t>
        </is>
      </c>
      <c r="D1122" s="48" t="inlineStr">
        <is>
          <t>인천공항</t>
        </is>
      </c>
      <c r="E1122" s="46" t="inlineStr">
        <is>
          <t>ICN</t>
        </is>
      </c>
      <c r="F1122" s="48" t="inlineStr">
        <is>
          <t>델리공항</t>
        </is>
      </c>
      <c r="G1122" s="46" t="inlineStr">
        <is>
          <t>DEL</t>
        </is>
      </c>
      <c r="H1122" s="47" t="n">
        <v>45876</v>
      </c>
      <c r="I1122" s="52" t="n">
        <v>45879</v>
      </c>
      <c r="J1122" s="52" t="n">
        <v>45880</v>
      </c>
      <c r="K1122" s="53" t="n">
        <v>135</v>
      </c>
    </row>
    <row r="1123" ht="15" customHeight="1" s="32">
      <c r="A1123" s="46" t="inlineStr">
        <is>
          <t>L-HB-1122</t>
        </is>
      </c>
      <c r="B1123" s="46" t="inlineStr">
        <is>
          <t>R-HB-1122</t>
        </is>
      </c>
      <c r="C1123" s="48" t="inlineStr">
        <is>
          <t>해상</t>
        </is>
      </c>
      <c r="D1123" s="48" t="inlineStr">
        <is>
          <t>부산항</t>
        </is>
      </c>
      <c r="E1123" s="46" t="inlineStr">
        <is>
          <t>KRPUS</t>
        </is>
      </c>
      <c r="F1123" s="48" t="inlineStr">
        <is>
          <t>서커우항</t>
        </is>
      </c>
      <c r="G1123" s="46" t="inlineStr">
        <is>
          <t>CNSHK</t>
        </is>
      </c>
      <c r="H1123" s="47" t="n">
        <v>45876</v>
      </c>
      <c r="I1123" s="52" t="n">
        <v>45883</v>
      </c>
      <c r="J1123" s="52" t="n">
        <v>45883</v>
      </c>
      <c r="K1123" s="53" t="n">
        <v>530</v>
      </c>
    </row>
    <row r="1124" ht="15" customHeight="1" s="32">
      <c r="A1124" s="46" t="inlineStr">
        <is>
          <t>L-HB-1123</t>
        </is>
      </c>
      <c r="B1124" s="46" t="inlineStr">
        <is>
          <t>R-HB-1123</t>
        </is>
      </c>
      <c r="C1124" s="48" t="inlineStr">
        <is>
          <t>항공</t>
        </is>
      </c>
      <c r="D1124" s="48" t="inlineStr">
        <is>
          <t>인천공항</t>
        </is>
      </c>
      <c r="E1124" s="46" t="inlineStr">
        <is>
          <t>ICN</t>
        </is>
      </c>
      <c r="F1124" s="48" t="inlineStr">
        <is>
          <t>토론토공항</t>
        </is>
      </c>
      <c r="G1124" s="46" t="inlineStr">
        <is>
          <t>YYZ</t>
        </is>
      </c>
      <c r="H1124" s="47" t="n">
        <v>45877</v>
      </c>
      <c r="I1124" s="52" t="n">
        <v>45880</v>
      </c>
      <c r="J1124" s="52" t="n">
        <v>45880</v>
      </c>
      <c r="K1124" s="53" t="n">
        <v>135</v>
      </c>
    </row>
    <row r="1125" ht="15" customHeight="1" s="32">
      <c r="A1125" s="46" t="inlineStr">
        <is>
          <t>L-HB-1124</t>
        </is>
      </c>
      <c r="B1125" s="46" t="inlineStr">
        <is>
          <t>R-HB-1124</t>
        </is>
      </c>
      <c r="C1125" s="48" t="inlineStr">
        <is>
          <t>항공</t>
        </is>
      </c>
      <c r="D1125" s="48" t="inlineStr">
        <is>
          <t>인천공항</t>
        </is>
      </c>
      <c r="E1125" s="46" t="inlineStr">
        <is>
          <t>ICN</t>
        </is>
      </c>
      <c r="F1125" s="48" t="inlineStr">
        <is>
          <t>하노이공항</t>
        </is>
      </c>
      <c r="G1125" s="46" t="inlineStr">
        <is>
          <t>HAN</t>
        </is>
      </c>
      <c r="H1125" s="47" t="n">
        <v>45877</v>
      </c>
      <c r="I1125" s="52" t="n">
        <v>45879</v>
      </c>
      <c r="J1125" s="52" t="n">
        <v>45879</v>
      </c>
      <c r="K1125" s="53" t="n">
        <v>135</v>
      </c>
    </row>
    <row r="1126" ht="15" customHeight="1" s="32">
      <c r="A1126" s="46" t="inlineStr">
        <is>
          <t>L-HB-1125</t>
        </is>
      </c>
      <c r="B1126" s="46" t="inlineStr">
        <is>
          <t>R-HB-1125</t>
        </is>
      </c>
      <c r="C1126" s="48" t="inlineStr">
        <is>
          <t>항공</t>
        </is>
      </c>
      <c r="D1126" s="48" t="inlineStr">
        <is>
          <t>인천공항</t>
        </is>
      </c>
      <c r="E1126" s="46" t="inlineStr">
        <is>
          <t>ICN</t>
        </is>
      </c>
      <c r="F1126" s="48" t="inlineStr">
        <is>
          <t>델리공항</t>
        </is>
      </c>
      <c r="G1126" s="46" t="inlineStr">
        <is>
          <t>DEL</t>
        </is>
      </c>
      <c r="H1126" s="47" t="n">
        <v>45877</v>
      </c>
      <c r="I1126" s="52" t="n">
        <v>45881</v>
      </c>
      <c r="J1126" s="52" t="n">
        <v>45884</v>
      </c>
      <c r="K1126" s="53" t="n">
        <v>226.34</v>
      </c>
    </row>
    <row r="1127" ht="15" customHeight="1" s="32">
      <c r="A1127" s="46" t="inlineStr">
        <is>
          <t>L-HB-1126</t>
        </is>
      </c>
      <c r="B1127" s="46" t="inlineStr">
        <is>
          <t>R-HB-1126</t>
        </is>
      </c>
      <c r="C1127" s="48" t="inlineStr">
        <is>
          <t>항공</t>
        </is>
      </c>
      <c r="D1127" s="48" t="inlineStr">
        <is>
          <t>인천공항</t>
        </is>
      </c>
      <c r="E1127" s="46" t="inlineStr">
        <is>
          <t>ICN</t>
        </is>
      </c>
      <c r="F1127" s="48" t="inlineStr">
        <is>
          <t>과달라하라공항</t>
        </is>
      </c>
      <c r="G1127" s="46" t="inlineStr">
        <is>
          <t>GDL</t>
        </is>
      </c>
      <c r="H1127" s="47" t="n">
        <v>45878</v>
      </c>
      <c r="I1127" s="52" t="n">
        <v>45881</v>
      </c>
      <c r="J1127" s="52" t="n">
        <v>45881</v>
      </c>
      <c r="K1127" s="53" t="n">
        <v>135.45</v>
      </c>
    </row>
    <row r="1128" ht="15" customHeight="1" s="32">
      <c r="A1128" s="46" t="inlineStr">
        <is>
          <t>L-HB-1127</t>
        </is>
      </c>
      <c r="B1128" s="46" t="inlineStr">
        <is>
          <t>R-HB-1127</t>
        </is>
      </c>
      <c r="C1128" s="48" t="inlineStr">
        <is>
          <t>항공</t>
        </is>
      </c>
      <c r="D1128" s="48" t="inlineStr">
        <is>
          <t>인천공항</t>
        </is>
      </c>
      <c r="E1128" s="46" t="inlineStr">
        <is>
          <t>ICN</t>
        </is>
      </c>
      <c r="F1128" s="48" t="inlineStr">
        <is>
          <t>과달라하라공항</t>
        </is>
      </c>
      <c r="G1128" s="46" t="inlineStr">
        <is>
          <t>GDL</t>
        </is>
      </c>
      <c r="H1128" s="47" t="n">
        <v>45878</v>
      </c>
      <c r="I1128" s="52" t="n">
        <v>45883</v>
      </c>
      <c r="J1128" s="52" t="n">
        <v>45883</v>
      </c>
      <c r="K1128" s="53" t="n">
        <v>135</v>
      </c>
    </row>
    <row r="1129" ht="15" customHeight="1" s="32">
      <c r="A1129" s="46" t="inlineStr">
        <is>
          <t>L-HB-1128</t>
        </is>
      </c>
      <c r="B1129" s="46" t="inlineStr">
        <is>
          <t>R-HB-1128</t>
        </is>
      </c>
      <c r="C1129" s="48" t="inlineStr">
        <is>
          <t>항공</t>
        </is>
      </c>
      <c r="D1129" s="48" t="inlineStr">
        <is>
          <t>인천공항</t>
        </is>
      </c>
      <c r="E1129" s="46" t="inlineStr">
        <is>
          <t>ICN</t>
        </is>
      </c>
      <c r="F1129" s="48" t="inlineStr">
        <is>
          <t>과달라하라공항</t>
        </is>
      </c>
      <c r="G1129" s="46" t="inlineStr">
        <is>
          <t>GDL</t>
        </is>
      </c>
      <c r="H1129" s="47" t="n">
        <v>45879</v>
      </c>
      <c r="I1129" s="52" t="n">
        <v>45883</v>
      </c>
      <c r="J1129" s="52" t="n">
        <v>45883</v>
      </c>
      <c r="K1129" s="53" t="n">
        <v>135</v>
      </c>
    </row>
    <row r="1130" ht="15" customHeight="1" s="32">
      <c r="A1130" s="46" t="inlineStr">
        <is>
          <t>L-HB-1129</t>
        </is>
      </c>
      <c r="B1130" s="46" t="inlineStr">
        <is>
          <t>R-HB-1129</t>
        </is>
      </c>
      <c r="C1130" s="48" t="inlineStr">
        <is>
          <t>항공</t>
        </is>
      </c>
      <c r="D1130" s="48" t="inlineStr">
        <is>
          <t>인천공항</t>
        </is>
      </c>
      <c r="E1130" s="46" t="inlineStr">
        <is>
          <t>ICN</t>
        </is>
      </c>
      <c r="F1130" s="48" t="inlineStr">
        <is>
          <t>토론토공항</t>
        </is>
      </c>
      <c r="G1130" s="46" t="inlineStr">
        <is>
          <t>YYZ</t>
        </is>
      </c>
      <c r="H1130" s="47" t="n">
        <v>45879</v>
      </c>
      <c r="I1130" s="52" t="n">
        <v>45883</v>
      </c>
      <c r="J1130" s="52" t="n">
        <v>45882</v>
      </c>
      <c r="K1130" s="53" t="n">
        <v>135</v>
      </c>
    </row>
    <row r="1131" ht="15" customHeight="1" s="32">
      <c r="A1131" s="46" t="inlineStr">
        <is>
          <t>L-HB-1130</t>
        </is>
      </c>
      <c r="B1131" s="46" t="inlineStr">
        <is>
          <t>R-HB-1130</t>
        </is>
      </c>
      <c r="C1131" s="48" t="inlineStr">
        <is>
          <t>항공</t>
        </is>
      </c>
      <c r="D1131" s="48" t="inlineStr">
        <is>
          <t>인천공항</t>
        </is>
      </c>
      <c r="E1131" s="46" t="inlineStr">
        <is>
          <t>ICN</t>
        </is>
      </c>
      <c r="F1131" s="48" t="inlineStr">
        <is>
          <t>프랑크푸르트공항</t>
        </is>
      </c>
      <c r="G1131" s="46" t="inlineStr">
        <is>
          <t>FRA</t>
        </is>
      </c>
      <c r="H1131" s="47" t="n">
        <v>45879</v>
      </c>
      <c r="I1131" s="52" t="n">
        <v>45882</v>
      </c>
      <c r="J1131" s="52" t="n">
        <v>45881</v>
      </c>
      <c r="K1131" s="53" t="n">
        <v>140.43</v>
      </c>
    </row>
    <row r="1132" ht="15" customHeight="1" s="32">
      <c r="A1132" s="46" t="inlineStr">
        <is>
          <t>L-HB-1131</t>
        </is>
      </c>
      <c r="B1132" s="46" t="inlineStr">
        <is>
          <t>R-HB-1131</t>
        </is>
      </c>
      <c r="C1132" s="48" t="inlineStr">
        <is>
          <t>항공</t>
        </is>
      </c>
      <c r="D1132" s="48" t="inlineStr">
        <is>
          <t>인천공항</t>
        </is>
      </c>
      <c r="E1132" s="46" t="inlineStr">
        <is>
          <t>ICN</t>
        </is>
      </c>
      <c r="F1132" s="48" t="inlineStr">
        <is>
          <t>로스앤젤레스공항</t>
        </is>
      </c>
      <c r="G1132" s="46" t="inlineStr">
        <is>
          <t>LAX</t>
        </is>
      </c>
      <c r="H1132" s="47" t="n">
        <v>45880</v>
      </c>
      <c r="I1132" s="52" t="n">
        <v>45883</v>
      </c>
      <c r="J1132" s="52" t="n">
        <v>45883</v>
      </c>
      <c r="K1132" s="53" t="n">
        <v>494.79</v>
      </c>
    </row>
    <row r="1133" ht="15" customHeight="1" s="32">
      <c r="A1133" s="46" t="inlineStr">
        <is>
          <t>L-HB-1132</t>
        </is>
      </c>
      <c r="B1133" s="46" t="inlineStr">
        <is>
          <t>R-HB-1132</t>
        </is>
      </c>
      <c r="C1133" s="48" t="inlineStr">
        <is>
          <t>항공</t>
        </is>
      </c>
      <c r="D1133" s="48" t="inlineStr">
        <is>
          <t>인천공항</t>
        </is>
      </c>
      <c r="E1133" s="46" t="inlineStr">
        <is>
          <t>ICN</t>
        </is>
      </c>
      <c r="F1133" s="48" t="inlineStr">
        <is>
          <t>하노이공항</t>
        </is>
      </c>
      <c r="G1133" s="46" t="inlineStr">
        <is>
          <t>HAN</t>
        </is>
      </c>
      <c r="H1133" s="47" t="n">
        <v>45880</v>
      </c>
      <c r="I1133" s="52" t="n">
        <v>45882</v>
      </c>
      <c r="J1133" s="52" t="n">
        <v>45882</v>
      </c>
      <c r="K1133" s="53" t="n">
        <v>269.31</v>
      </c>
    </row>
    <row r="1134" ht="15" customHeight="1" s="32">
      <c r="A1134" s="46" t="inlineStr">
        <is>
          <t>L-HB-1133</t>
        </is>
      </c>
      <c r="B1134" s="46" t="inlineStr">
        <is>
          <t>R-HB-1133</t>
        </is>
      </c>
      <c r="C1134" s="48" t="inlineStr">
        <is>
          <t>항공</t>
        </is>
      </c>
      <c r="D1134" s="48" t="inlineStr">
        <is>
          <t>인천공항</t>
        </is>
      </c>
      <c r="E1134" s="46" t="inlineStr">
        <is>
          <t>ICN</t>
        </is>
      </c>
      <c r="F1134" s="48" t="inlineStr">
        <is>
          <t>델리공항</t>
        </is>
      </c>
      <c r="G1134" s="46" t="inlineStr">
        <is>
          <t>DEL</t>
        </is>
      </c>
      <c r="H1134" s="47" t="n">
        <v>45880</v>
      </c>
      <c r="I1134" s="52" t="n">
        <v>45883</v>
      </c>
      <c r="J1134" s="52" t="n">
        <v>45883</v>
      </c>
      <c r="K1134" s="53" t="n">
        <v>135</v>
      </c>
    </row>
    <row r="1135" ht="15" customHeight="1" s="32">
      <c r="A1135" s="46" t="inlineStr">
        <is>
          <t>L-HB-1134</t>
        </is>
      </c>
      <c r="B1135" s="46" t="inlineStr">
        <is>
          <t>R-HB-1134</t>
        </is>
      </c>
      <c r="C1135" s="48" t="inlineStr">
        <is>
          <t>항공</t>
        </is>
      </c>
      <c r="D1135" s="48" t="inlineStr">
        <is>
          <t>인천공항</t>
        </is>
      </c>
      <c r="E1135" s="46" t="inlineStr">
        <is>
          <t>ICN</t>
        </is>
      </c>
      <c r="F1135" s="48" t="inlineStr">
        <is>
          <t>토론토공항</t>
        </is>
      </c>
      <c r="G1135" s="46" t="inlineStr">
        <is>
          <t>YYZ</t>
        </is>
      </c>
      <c r="H1135" s="47" t="n">
        <v>45881</v>
      </c>
      <c r="I1135" s="52" t="n">
        <v>45885</v>
      </c>
      <c r="J1135" s="52" t="n">
        <v>45885</v>
      </c>
      <c r="K1135" s="53" t="n">
        <v>135</v>
      </c>
    </row>
    <row r="1136" ht="15" customHeight="1" s="32">
      <c r="A1136" s="46" t="inlineStr">
        <is>
          <t>L-HB-1135</t>
        </is>
      </c>
      <c r="B1136" s="46" t="inlineStr">
        <is>
          <t>R-HB-1135</t>
        </is>
      </c>
      <c r="C1136" s="48" t="inlineStr">
        <is>
          <t>항공</t>
        </is>
      </c>
      <c r="D1136" s="48" t="inlineStr">
        <is>
          <t>인천공항</t>
        </is>
      </c>
      <c r="E1136" s="46" t="inlineStr">
        <is>
          <t>ICN</t>
        </is>
      </c>
      <c r="F1136" s="48" t="inlineStr">
        <is>
          <t>시애틀공항</t>
        </is>
      </c>
      <c r="G1136" s="46" t="inlineStr">
        <is>
          <t>SEA</t>
        </is>
      </c>
      <c r="H1136" s="47" t="n">
        <v>45882</v>
      </c>
      <c r="I1136" s="52" t="n">
        <v>45884</v>
      </c>
      <c r="J1136" s="52" t="n">
        <v>45884</v>
      </c>
      <c r="K1136" s="53" t="n">
        <v>135</v>
      </c>
    </row>
    <row r="1137" ht="15" customHeight="1" s="32">
      <c r="A1137" s="46" t="inlineStr">
        <is>
          <t>L-HB-1136</t>
        </is>
      </c>
      <c r="B1137" s="46" t="inlineStr">
        <is>
          <t>R-HB-1136</t>
        </is>
      </c>
      <c r="C1137" s="48" t="inlineStr">
        <is>
          <t>항공</t>
        </is>
      </c>
      <c r="D1137" s="48" t="inlineStr">
        <is>
          <t>인천공항</t>
        </is>
      </c>
      <c r="E1137" s="46" t="inlineStr">
        <is>
          <t>ICN</t>
        </is>
      </c>
      <c r="F1137" s="48" t="inlineStr">
        <is>
          <t>토론토공항</t>
        </is>
      </c>
      <c r="G1137" s="46" t="inlineStr">
        <is>
          <t>YYZ</t>
        </is>
      </c>
      <c r="H1137" s="47" t="n">
        <v>45882</v>
      </c>
      <c r="I1137" s="52" t="n">
        <v>45886</v>
      </c>
      <c r="J1137" s="52" t="n">
        <v>45886</v>
      </c>
      <c r="K1137" s="53" t="n">
        <v>135</v>
      </c>
    </row>
    <row r="1138" ht="15" customHeight="1" s="32">
      <c r="A1138" s="46" t="inlineStr">
        <is>
          <t>L-HB-1137</t>
        </is>
      </c>
      <c r="B1138" s="46" t="inlineStr">
        <is>
          <t>R-HB-1137</t>
        </is>
      </c>
      <c r="C1138" s="48" t="inlineStr">
        <is>
          <t>해상</t>
        </is>
      </c>
      <c r="D1138" s="48" t="inlineStr">
        <is>
          <t>부산항</t>
        </is>
      </c>
      <c r="E1138" s="46" t="inlineStr">
        <is>
          <t>KRPUS</t>
        </is>
      </c>
      <c r="F1138" s="48" t="inlineStr">
        <is>
          <t>상하이항</t>
        </is>
      </c>
      <c r="G1138" s="46" t="inlineStr">
        <is>
          <t>CNSHA</t>
        </is>
      </c>
      <c r="H1138" s="47" t="n">
        <v>45882</v>
      </c>
      <c r="I1138" s="52" t="n">
        <v>45886</v>
      </c>
      <c r="J1138" s="52" t="n">
        <v>45886</v>
      </c>
      <c r="K1138" s="53" t="n">
        <v>530</v>
      </c>
    </row>
    <row r="1139" ht="15" customHeight="1" s="32">
      <c r="A1139" s="46" t="inlineStr">
        <is>
          <t>L-HB-1138</t>
        </is>
      </c>
      <c r="B1139" s="46" t="inlineStr">
        <is>
          <t>R-HB-1138</t>
        </is>
      </c>
      <c r="C1139" s="48" t="inlineStr">
        <is>
          <t>항공</t>
        </is>
      </c>
      <c r="D1139" s="48" t="inlineStr">
        <is>
          <t>인천공항</t>
        </is>
      </c>
      <c r="E1139" s="46" t="inlineStr">
        <is>
          <t>ICN</t>
        </is>
      </c>
      <c r="F1139" s="48" t="inlineStr">
        <is>
          <t>시애틀공항</t>
        </is>
      </c>
      <c r="G1139" s="46" t="inlineStr">
        <is>
          <t>SEA</t>
        </is>
      </c>
      <c r="H1139" s="47" t="n">
        <v>45886</v>
      </c>
      <c r="I1139" s="52" t="n">
        <v>45888</v>
      </c>
      <c r="J1139" s="52" t="n">
        <v>45888</v>
      </c>
      <c r="K1139" s="53" t="n">
        <v>135</v>
      </c>
    </row>
    <row r="1140" ht="15" customHeight="1" s="32">
      <c r="A1140" s="46" t="inlineStr">
        <is>
          <t>L-HB-1139</t>
        </is>
      </c>
      <c r="B1140" s="46" t="inlineStr">
        <is>
          <t>R-HB-1139</t>
        </is>
      </c>
      <c r="C1140" s="48" t="inlineStr">
        <is>
          <t>항공</t>
        </is>
      </c>
      <c r="D1140" s="48" t="inlineStr">
        <is>
          <t>인천공항</t>
        </is>
      </c>
      <c r="E1140" s="46" t="inlineStr">
        <is>
          <t>ICN</t>
        </is>
      </c>
      <c r="F1140" s="48" t="inlineStr">
        <is>
          <t>프랑크푸르트공항</t>
        </is>
      </c>
      <c r="G1140" s="46" t="inlineStr">
        <is>
          <t>FRA</t>
        </is>
      </c>
      <c r="H1140" s="47" t="n">
        <v>45886</v>
      </c>
      <c r="I1140" s="52" t="n">
        <v>45890</v>
      </c>
      <c r="J1140" s="52" t="n">
        <v>45890</v>
      </c>
      <c r="K1140" s="53" t="n">
        <v>227.87</v>
      </c>
    </row>
    <row r="1141" ht="15" customHeight="1" s="32">
      <c r="A1141" s="46" t="inlineStr">
        <is>
          <t>L-HB-1140</t>
        </is>
      </c>
      <c r="B1141" s="46" t="inlineStr">
        <is>
          <t>R-HB-1140</t>
        </is>
      </c>
      <c r="C1141" s="48" t="inlineStr">
        <is>
          <t>항공</t>
        </is>
      </c>
      <c r="D1141" s="48" t="inlineStr">
        <is>
          <t>인천공항</t>
        </is>
      </c>
      <c r="E1141" s="46" t="inlineStr">
        <is>
          <t>ICN</t>
        </is>
      </c>
      <c r="F1141" s="48" t="inlineStr">
        <is>
          <t>선전공항</t>
        </is>
      </c>
      <c r="G1141" s="46" t="inlineStr">
        <is>
          <t>SZX</t>
        </is>
      </c>
      <c r="H1141" s="47" t="n">
        <v>45886</v>
      </c>
      <c r="I1141" s="52" t="n">
        <v>45888</v>
      </c>
      <c r="J1141" s="52" t="n">
        <v>45888</v>
      </c>
      <c r="K1141" s="53" t="n">
        <v>135</v>
      </c>
    </row>
    <row r="1142" ht="15" customHeight="1" s="32">
      <c r="A1142" s="46" t="inlineStr">
        <is>
          <t>L-HB-1141</t>
        </is>
      </c>
      <c r="B1142" s="46" t="inlineStr">
        <is>
          <t>R-HB-1141</t>
        </is>
      </c>
      <c r="C1142" s="48" t="inlineStr">
        <is>
          <t>항공</t>
        </is>
      </c>
      <c r="D1142" s="48" t="inlineStr">
        <is>
          <t>인천공항</t>
        </is>
      </c>
      <c r="E1142" s="46" t="inlineStr">
        <is>
          <t>ICN</t>
        </is>
      </c>
      <c r="F1142" s="48" t="inlineStr">
        <is>
          <t>충칭공항</t>
        </is>
      </c>
      <c r="G1142" s="46" t="inlineStr">
        <is>
          <t>CKG</t>
        </is>
      </c>
      <c r="H1142" s="47" t="n">
        <v>45886</v>
      </c>
      <c r="I1142" s="52" t="n">
        <v>45888</v>
      </c>
      <c r="J1142" s="52" t="n">
        <v>45888</v>
      </c>
      <c r="K1142" s="53" t="n">
        <v>135</v>
      </c>
    </row>
    <row r="1143" ht="15" customHeight="1" s="32">
      <c r="A1143" s="46" t="inlineStr">
        <is>
          <t>L-HB-1142</t>
        </is>
      </c>
      <c r="B1143" s="46" t="inlineStr">
        <is>
          <t>R-HB-1142</t>
        </is>
      </c>
      <c r="C1143" s="48" t="inlineStr">
        <is>
          <t>해상</t>
        </is>
      </c>
      <c r="D1143" s="48" t="inlineStr">
        <is>
          <t>부산항</t>
        </is>
      </c>
      <c r="E1143" s="46" t="inlineStr">
        <is>
          <t>KRPUS</t>
        </is>
      </c>
      <c r="F1143" s="48" t="inlineStr">
        <is>
          <t>하이퐁항</t>
        </is>
      </c>
      <c r="G1143" s="46" t="inlineStr">
        <is>
          <t>VNHPH</t>
        </is>
      </c>
      <c r="H1143" s="47" t="n">
        <v>45887</v>
      </c>
      <c r="I1143" s="52" t="n">
        <v>45895</v>
      </c>
      <c r="J1143" s="52" t="n">
        <v>45895</v>
      </c>
      <c r="K1143" s="53" t="n">
        <v>530</v>
      </c>
    </row>
    <row r="1144" ht="15" customHeight="1" s="32">
      <c r="A1144" s="46" t="inlineStr">
        <is>
          <t>L-HB-1143</t>
        </is>
      </c>
      <c r="B1144" s="46" t="inlineStr">
        <is>
          <t>R-HB-1143</t>
        </is>
      </c>
      <c r="C1144" s="48" t="inlineStr">
        <is>
          <t>항공</t>
        </is>
      </c>
      <c r="D1144" s="48" t="inlineStr">
        <is>
          <t>인천공항</t>
        </is>
      </c>
      <c r="E1144" s="46" t="inlineStr">
        <is>
          <t>ICN</t>
        </is>
      </c>
      <c r="F1144" s="48" t="inlineStr">
        <is>
          <t>프랑크푸르트공항</t>
        </is>
      </c>
      <c r="G1144" s="46" t="inlineStr">
        <is>
          <t>FRA</t>
        </is>
      </c>
      <c r="H1144" s="47" t="n">
        <v>45888</v>
      </c>
      <c r="I1144" s="52" t="n">
        <v>45893</v>
      </c>
      <c r="J1144" s="52" t="n">
        <v>45893</v>
      </c>
      <c r="K1144" s="53" t="n">
        <v>429.54</v>
      </c>
    </row>
    <row r="1145" ht="15" customHeight="1" s="32">
      <c r="A1145" s="46" t="inlineStr">
        <is>
          <t>L-HB-1144</t>
        </is>
      </c>
      <c r="B1145" s="46" t="inlineStr">
        <is>
          <t>R-HB-1144</t>
        </is>
      </c>
      <c r="C1145" s="48" t="inlineStr">
        <is>
          <t>항공</t>
        </is>
      </c>
      <c r="D1145" s="48" t="inlineStr">
        <is>
          <t>인천공항</t>
        </is>
      </c>
      <c r="E1145" s="46" t="inlineStr">
        <is>
          <t>ICN</t>
        </is>
      </c>
      <c r="F1145" s="48" t="inlineStr">
        <is>
          <t>델리공항</t>
        </is>
      </c>
      <c r="G1145" s="46" t="inlineStr">
        <is>
          <t>DEL</t>
        </is>
      </c>
      <c r="H1145" s="47" t="n">
        <v>45888</v>
      </c>
      <c r="I1145" s="52" t="n">
        <v>45891</v>
      </c>
      <c r="J1145" s="52" t="n">
        <v>45891</v>
      </c>
      <c r="K1145" s="53" t="n">
        <v>135</v>
      </c>
    </row>
    <row r="1146" ht="15" customHeight="1" s="32">
      <c r="A1146" s="46" t="inlineStr">
        <is>
          <t>L-HB-1145</t>
        </is>
      </c>
      <c r="B1146" s="46" t="inlineStr">
        <is>
          <t>R-HB-1145</t>
        </is>
      </c>
      <c r="C1146" s="48" t="inlineStr">
        <is>
          <t>항공</t>
        </is>
      </c>
      <c r="D1146" s="48" t="inlineStr">
        <is>
          <t>인천공항</t>
        </is>
      </c>
      <c r="E1146" s="46" t="inlineStr">
        <is>
          <t>ICN</t>
        </is>
      </c>
      <c r="F1146" s="48" t="inlineStr">
        <is>
          <t>충칭공항</t>
        </is>
      </c>
      <c r="G1146" s="46" t="inlineStr">
        <is>
          <t>CKG</t>
        </is>
      </c>
      <c r="H1146" s="47" t="n">
        <v>45890</v>
      </c>
      <c r="I1146" s="52" t="n">
        <v>45893</v>
      </c>
      <c r="J1146" s="52" t="n">
        <v>45893</v>
      </c>
      <c r="K1146" s="53" t="n">
        <v>299.3</v>
      </c>
    </row>
    <row r="1147" ht="15" customHeight="1" s="32">
      <c r="A1147" s="46" t="inlineStr">
        <is>
          <t>L-HB-1146</t>
        </is>
      </c>
      <c r="B1147" s="46" t="inlineStr">
        <is>
          <t>R-HB-1146</t>
        </is>
      </c>
      <c r="C1147" s="48" t="inlineStr">
        <is>
          <t>항공</t>
        </is>
      </c>
      <c r="D1147" s="48" t="inlineStr">
        <is>
          <t>인천공항</t>
        </is>
      </c>
      <c r="E1147" s="46" t="inlineStr">
        <is>
          <t>ICN</t>
        </is>
      </c>
      <c r="F1147" s="48" t="inlineStr">
        <is>
          <t>하노이공항</t>
        </is>
      </c>
      <c r="G1147" s="46" t="inlineStr">
        <is>
          <t>HAN</t>
        </is>
      </c>
      <c r="H1147" s="47" t="n">
        <v>45891</v>
      </c>
      <c r="I1147" s="52" t="n">
        <v>45893</v>
      </c>
      <c r="J1147" s="52" t="n">
        <v>45892</v>
      </c>
      <c r="K1147" s="53" t="n">
        <v>135</v>
      </c>
    </row>
    <row r="1148" ht="15" customHeight="1" s="32">
      <c r="A1148" s="46" t="inlineStr">
        <is>
          <t>L-HB-1147</t>
        </is>
      </c>
      <c r="B1148" s="46" t="inlineStr">
        <is>
          <t>R-HB-1147</t>
        </is>
      </c>
      <c r="C1148" s="48" t="inlineStr">
        <is>
          <t>항공</t>
        </is>
      </c>
      <c r="D1148" s="48" t="inlineStr">
        <is>
          <t>인천공항</t>
        </is>
      </c>
      <c r="E1148" s="46" t="inlineStr">
        <is>
          <t>ICN</t>
        </is>
      </c>
      <c r="F1148" s="48" t="inlineStr">
        <is>
          <t>시애틀공항</t>
        </is>
      </c>
      <c r="G1148" s="46" t="inlineStr">
        <is>
          <t>SEA</t>
        </is>
      </c>
      <c r="H1148" s="47" t="n">
        <v>45892</v>
      </c>
      <c r="I1148" s="52" t="n">
        <v>45895</v>
      </c>
      <c r="J1148" s="52" t="n">
        <v>45896</v>
      </c>
      <c r="K1148" s="53" t="n">
        <v>287.02</v>
      </c>
    </row>
    <row r="1149" ht="15" customHeight="1" s="32">
      <c r="A1149" s="46" t="inlineStr">
        <is>
          <t>L-HB-1148</t>
        </is>
      </c>
      <c r="B1149" s="46" t="inlineStr">
        <is>
          <t>R-HB-1148</t>
        </is>
      </c>
      <c r="C1149" s="48" t="inlineStr">
        <is>
          <t>항공</t>
        </is>
      </c>
      <c r="D1149" s="48" t="inlineStr">
        <is>
          <t>인천공항</t>
        </is>
      </c>
      <c r="E1149" s="46" t="inlineStr">
        <is>
          <t>ICN</t>
        </is>
      </c>
      <c r="F1149" s="48" t="inlineStr">
        <is>
          <t>시애틀공항</t>
        </is>
      </c>
      <c r="G1149" s="46" t="inlineStr">
        <is>
          <t>SEA</t>
        </is>
      </c>
      <c r="H1149" s="47" t="n">
        <v>45892</v>
      </c>
      <c r="I1149" s="52" t="n">
        <v>45896</v>
      </c>
      <c r="J1149" s="52" t="n">
        <v>45895</v>
      </c>
      <c r="K1149" s="53" t="n">
        <v>139.39</v>
      </c>
    </row>
    <row r="1150" ht="15" customHeight="1" s="32">
      <c r="A1150" s="46" t="inlineStr">
        <is>
          <t>L-HB-1149</t>
        </is>
      </c>
      <c r="B1150" s="46" t="inlineStr">
        <is>
          <t>R-HB-1149</t>
        </is>
      </c>
      <c r="C1150" s="48" t="inlineStr">
        <is>
          <t>항공</t>
        </is>
      </c>
      <c r="D1150" s="48" t="inlineStr">
        <is>
          <t>인천공항</t>
        </is>
      </c>
      <c r="E1150" s="46" t="inlineStr">
        <is>
          <t>ICN</t>
        </is>
      </c>
      <c r="F1150" s="48" t="inlineStr">
        <is>
          <t>선전공항</t>
        </is>
      </c>
      <c r="G1150" s="46" t="inlineStr">
        <is>
          <t>SZX</t>
        </is>
      </c>
      <c r="H1150" s="47" t="n">
        <v>45892</v>
      </c>
      <c r="I1150" s="52" t="n">
        <v>45895</v>
      </c>
      <c r="J1150" s="52" t="n">
        <v>45895</v>
      </c>
      <c r="K1150" s="53" t="n">
        <v>135</v>
      </c>
    </row>
    <row r="1151" ht="15" customHeight="1" s="32">
      <c r="A1151" s="46" t="inlineStr">
        <is>
          <t>L-HB-1150</t>
        </is>
      </c>
      <c r="B1151" s="46" t="inlineStr">
        <is>
          <t>R-HB-1150</t>
        </is>
      </c>
      <c r="C1151" s="48" t="inlineStr">
        <is>
          <t>항공</t>
        </is>
      </c>
      <c r="D1151" s="48" t="inlineStr">
        <is>
          <t>인천공항</t>
        </is>
      </c>
      <c r="E1151" s="46" t="inlineStr">
        <is>
          <t>ICN</t>
        </is>
      </c>
      <c r="F1151" s="48" t="inlineStr">
        <is>
          <t>로스앤젤레스공항</t>
        </is>
      </c>
      <c r="G1151" s="46" t="inlineStr">
        <is>
          <t>LAX</t>
        </is>
      </c>
      <c r="H1151" s="47" t="n">
        <v>45893</v>
      </c>
      <c r="I1151" s="52" t="n">
        <v>45896</v>
      </c>
      <c r="J1151" s="52" t="n">
        <v>45896</v>
      </c>
      <c r="K1151" s="53" t="n">
        <v>204.1</v>
      </c>
    </row>
    <row r="1152" ht="15" customHeight="1" s="32">
      <c r="A1152" s="46" t="inlineStr">
        <is>
          <t>L-HB-1151</t>
        </is>
      </c>
      <c r="B1152" s="46" t="inlineStr">
        <is>
          <t>R-HB-1151</t>
        </is>
      </c>
      <c r="C1152" s="48" t="inlineStr">
        <is>
          <t>항공</t>
        </is>
      </c>
      <c r="D1152" s="48" t="inlineStr">
        <is>
          <t>인천공항</t>
        </is>
      </c>
      <c r="E1152" s="46" t="inlineStr">
        <is>
          <t>ICN</t>
        </is>
      </c>
      <c r="F1152" s="48" t="inlineStr">
        <is>
          <t>선전공항</t>
        </is>
      </c>
      <c r="G1152" s="46" t="inlineStr">
        <is>
          <t>SZX</t>
        </is>
      </c>
      <c r="H1152" s="47" t="n">
        <v>45893</v>
      </c>
      <c r="I1152" s="52" t="n">
        <v>45895</v>
      </c>
      <c r="J1152" s="52" t="n">
        <v>45895</v>
      </c>
      <c r="K1152" s="53" t="n">
        <v>410.29</v>
      </c>
    </row>
    <row r="1153" ht="15" customHeight="1" s="32">
      <c r="A1153" s="46" t="inlineStr">
        <is>
          <t>L-HB-1152</t>
        </is>
      </c>
      <c r="B1153" s="46" t="inlineStr">
        <is>
          <t>R-HB-1152</t>
        </is>
      </c>
      <c r="C1153" s="48" t="inlineStr">
        <is>
          <t>항공</t>
        </is>
      </c>
      <c r="D1153" s="48" t="inlineStr">
        <is>
          <t>인천공항</t>
        </is>
      </c>
      <c r="E1153" s="46" t="inlineStr">
        <is>
          <t>ICN</t>
        </is>
      </c>
      <c r="F1153" s="48" t="inlineStr">
        <is>
          <t>과달라하라공항</t>
        </is>
      </c>
      <c r="G1153" s="46" t="inlineStr">
        <is>
          <t>GDL</t>
        </is>
      </c>
      <c r="H1153" s="47" t="n">
        <v>45894</v>
      </c>
      <c r="I1153" s="52" t="n">
        <v>45898</v>
      </c>
      <c r="J1153" s="52" t="n">
        <v>45898</v>
      </c>
      <c r="K1153" s="53" t="n">
        <v>135</v>
      </c>
    </row>
    <row r="1154" ht="15" customHeight="1" s="32">
      <c r="A1154" s="46" t="inlineStr">
        <is>
          <t>L-HB-1153</t>
        </is>
      </c>
      <c r="B1154" s="46" t="inlineStr">
        <is>
          <t>R-HB-1153</t>
        </is>
      </c>
      <c r="C1154" s="48" t="inlineStr">
        <is>
          <t>항공</t>
        </is>
      </c>
      <c r="D1154" s="48" t="inlineStr">
        <is>
          <t>인천공항</t>
        </is>
      </c>
      <c r="E1154" s="46" t="inlineStr">
        <is>
          <t>ICN</t>
        </is>
      </c>
      <c r="F1154" s="48" t="inlineStr">
        <is>
          <t>시애틀공항</t>
        </is>
      </c>
      <c r="G1154" s="46" t="inlineStr">
        <is>
          <t>SEA</t>
        </is>
      </c>
      <c r="H1154" s="47" t="n">
        <v>45904</v>
      </c>
      <c r="I1154" s="52" t="n">
        <v>45908</v>
      </c>
      <c r="J1154" s="52" t="n">
        <v>45908</v>
      </c>
      <c r="K1154" s="53" t="n">
        <v>276.06</v>
      </c>
    </row>
    <row r="1155" ht="15" customHeight="1" s="32">
      <c r="A1155" s="46" t="inlineStr">
        <is>
          <t>L-HB-1154</t>
        </is>
      </c>
      <c r="B1155" s="46" t="inlineStr">
        <is>
          <t>R-HB-1154</t>
        </is>
      </c>
      <c r="C1155" s="48" t="inlineStr">
        <is>
          <t>항공</t>
        </is>
      </c>
      <c r="D1155" s="48" t="inlineStr">
        <is>
          <t>인천공항</t>
        </is>
      </c>
      <c r="E1155" s="46" t="inlineStr">
        <is>
          <t>ICN</t>
        </is>
      </c>
      <c r="F1155" s="48" t="inlineStr">
        <is>
          <t>과달라하라공항</t>
        </is>
      </c>
      <c r="G1155" s="46" t="inlineStr">
        <is>
          <t>GDL</t>
        </is>
      </c>
      <c r="H1155" s="47" t="n">
        <v>45904</v>
      </c>
      <c r="I1155" s="52" t="n">
        <v>45908</v>
      </c>
      <c r="J1155" s="52" t="n">
        <v>45912</v>
      </c>
      <c r="K1155" s="53" t="n">
        <v>135</v>
      </c>
    </row>
    <row r="1156" ht="15" customHeight="1" s="32">
      <c r="A1156" s="46" t="inlineStr">
        <is>
          <t>L-HB-1155</t>
        </is>
      </c>
      <c r="B1156" s="46" t="inlineStr">
        <is>
          <t>R-HB-1155</t>
        </is>
      </c>
      <c r="C1156" s="48" t="inlineStr">
        <is>
          <t>항공</t>
        </is>
      </c>
      <c r="D1156" s="48" t="inlineStr">
        <is>
          <t>인천공항</t>
        </is>
      </c>
      <c r="E1156" s="46" t="inlineStr">
        <is>
          <t>ICN</t>
        </is>
      </c>
      <c r="F1156" s="48" t="inlineStr">
        <is>
          <t>델리공항</t>
        </is>
      </c>
      <c r="G1156" s="46" t="inlineStr">
        <is>
          <t>DEL</t>
        </is>
      </c>
      <c r="H1156" s="47" t="n">
        <v>45904</v>
      </c>
      <c r="I1156" s="52" t="n">
        <v>45907</v>
      </c>
      <c r="J1156" s="52" t="n">
        <v>45907</v>
      </c>
      <c r="K1156" s="53" t="n">
        <v>135</v>
      </c>
    </row>
    <row r="1157" ht="15" customHeight="1" s="32">
      <c r="A1157" s="46" t="inlineStr">
        <is>
          <t>L-HB-1156</t>
        </is>
      </c>
      <c r="B1157" s="46" t="inlineStr">
        <is>
          <t>R-HB-1156</t>
        </is>
      </c>
      <c r="C1157" s="48" t="inlineStr">
        <is>
          <t>항공</t>
        </is>
      </c>
      <c r="D1157" s="48" t="inlineStr">
        <is>
          <t>인천공항</t>
        </is>
      </c>
      <c r="E1157" s="46" t="inlineStr">
        <is>
          <t>ICN</t>
        </is>
      </c>
      <c r="F1157" s="48" t="inlineStr">
        <is>
          <t>선전공항</t>
        </is>
      </c>
      <c r="G1157" s="46" t="inlineStr">
        <is>
          <t>SZX</t>
        </is>
      </c>
      <c r="H1157" s="47" t="n">
        <v>45904</v>
      </c>
      <c r="I1157" s="52" t="n">
        <v>45906</v>
      </c>
      <c r="J1157" s="52" t="n">
        <v>45906</v>
      </c>
      <c r="K1157" s="53" t="n">
        <v>135</v>
      </c>
    </row>
    <row r="1158" ht="15" customHeight="1" s="32">
      <c r="A1158" s="46" t="inlineStr">
        <is>
          <t>L-HB-1157</t>
        </is>
      </c>
      <c r="B1158" s="46" t="inlineStr">
        <is>
          <t>R-HB-1157</t>
        </is>
      </c>
      <c r="C1158" s="48" t="inlineStr">
        <is>
          <t>항공</t>
        </is>
      </c>
      <c r="D1158" s="48" t="inlineStr">
        <is>
          <t>인천공항</t>
        </is>
      </c>
      <c r="E1158" s="46" t="inlineStr">
        <is>
          <t>ICN</t>
        </is>
      </c>
      <c r="F1158" s="48" t="inlineStr">
        <is>
          <t>시애틀공항</t>
        </is>
      </c>
      <c r="G1158" s="46" t="inlineStr">
        <is>
          <t>SEA</t>
        </is>
      </c>
      <c r="H1158" s="47" t="n">
        <v>45905</v>
      </c>
      <c r="I1158" s="52" t="n">
        <v>45908</v>
      </c>
      <c r="J1158" s="52" t="n">
        <v>45908</v>
      </c>
      <c r="K1158" s="53" t="n">
        <v>135</v>
      </c>
    </row>
    <row r="1159" ht="15" customHeight="1" s="32">
      <c r="A1159" s="46" t="inlineStr">
        <is>
          <t>L-HB-1158</t>
        </is>
      </c>
      <c r="B1159" s="46" t="inlineStr">
        <is>
          <t>R-HB-1158</t>
        </is>
      </c>
      <c r="C1159" s="48" t="inlineStr">
        <is>
          <t>항공</t>
        </is>
      </c>
      <c r="D1159" s="48" t="inlineStr">
        <is>
          <t>인천공항</t>
        </is>
      </c>
      <c r="E1159" s="46" t="inlineStr">
        <is>
          <t>ICN</t>
        </is>
      </c>
      <c r="F1159" s="48" t="inlineStr">
        <is>
          <t>프랑크푸르트공항</t>
        </is>
      </c>
      <c r="G1159" s="46" t="inlineStr">
        <is>
          <t>FRA</t>
        </is>
      </c>
      <c r="H1159" s="47" t="n">
        <v>45905</v>
      </c>
      <c r="I1159" s="52" t="n">
        <v>45910</v>
      </c>
      <c r="J1159" s="52" t="n">
        <v>45909</v>
      </c>
      <c r="K1159" s="53" t="n">
        <v>201.99</v>
      </c>
    </row>
    <row r="1160" ht="15" customHeight="1" s="32">
      <c r="A1160" s="46" t="inlineStr">
        <is>
          <t>L-HB-1159</t>
        </is>
      </c>
      <c r="B1160" s="46" t="inlineStr">
        <is>
          <t>R-HB-1159</t>
        </is>
      </c>
      <c r="C1160" s="48" t="inlineStr">
        <is>
          <t>항공</t>
        </is>
      </c>
      <c r="D1160" s="48" t="inlineStr">
        <is>
          <t>인천공항</t>
        </is>
      </c>
      <c r="E1160" s="46" t="inlineStr">
        <is>
          <t>ICN</t>
        </is>
      </c>
      <c r="F1160" s="48" t="inlineStr">
        <is>
          <t>델리공항</t>
        </is>
      </c>
      <c r="G1160" s="46" t="inlineStr">
        <is>
          <t>DEL</t>
        </is>
      </c>
      <c r="H1160" s="47" t="n">
        <v>45906</v>
      </c>
      <c r="I1160" s="52" t="n">
        <v>45910</v>
      </c>
      <c r="J1160" s="52" t="n">
        <v>45911</v>
      </c>
      <c r="K1160" s="53" t="n">
        <v>226.11</v>
      </c>
    </row>
    <row r="1161" ht="15" customHeight="1" s="32">
      <c r="A1161" s="46" t="inlineStr">
        <is>
          <t>L-HB-1160</t>
        </is>
      </c>
      <c r="B1161" s="46" t="inlineStr">
        <is>
          <t>R-HB-1160</t>
        </is>
      </c>
      <c r="C1161" s="48" t="inlineStr">
        <is>
          <t>항공</t>
        </is>
      </c>
      <c r="D1161" s="48" t="inlineStr">
        <is>
          <t>인천공항</t>
        </is>
      </c>
      <c r="E1161" s="46" t="inlineStr">
        <is>
          <t>ICN</t>
        </is>
      </c>
      <c r="F1161" s="48" t="inlineStr">
        <is>
          <t>델리공항</t>
        </is>
      </c>
      <c r="G1161" s="46" t="inlineStr">
        <is>
          <t>DEL</t>
        </is>
      </c>
      <c r="H1161" s="47" t="n">
        <v>45906</v>
      </c>
      <c r="I1161" s="52" t="n">
        <v>45908</v>
      </c>
      <c r="J1161" s="52" t="n">
        <v>45908</v>
      </c>
      <c r="K1161" s="53" t="n">
        <v>135</v>
      </c>
    </row>
    <row r="1162" ht="15" customHeight="1" s="32">
      <c r="A1162" s="46" t="inlineStr">
        <is>
          <t>L-HB-1161</t>
        </is>
      </c>
      <c r="B1162" s="46" t="inlineStr">
        <is>
          <t>R-HB-1161</t>
        </is>
      </c>
      <c r="C1162" s="48" t="inlineStr">
        <is>
          <t>항공</t>
        </is>
      </c>
      <c r="D1162" s="48" t="inlineStr">
        <is>
          <t>인천공항</t>
        </is>
      </c>
      <c r="E1162" s="46" t="inlineStr">
        <is>
          <t>ICN</t>
        </is>
      </c>
      <c r="F1162" s="48" t="inlineStr">
        <is>
          <t>프랑크푸르트공항</t>
        </is>
      </c>
      <c r="G1162" s="46" t="inlineStr">
        <is>
          <t>FRA</t>
        </is>
      </c>
      <c r="H1162" s="47" t="n">
        <v>45909</v>
      </c>
      <c r="I1162" s="52" t="n">
        <v>45914</v>
      </c>
      <c r="J1162" s="52" t="n">
        <v>45914</v>
      </c>
      <c r="K1162" s="53" t="n">
        <v>473.92</v>
      </c>
    </row>
    <row r="1163" ht="15" customHeight="1" s="32">
      <c r="A1163" s="46" t="inlineStr">
        <is>
          <t>L-HB-1162</t>
        </is>
      </c>
      <c r="B1163" s="46" t="inlineStr">
        <is>
          <t>R-HB-1162</t>
        </is>
      </c>
      <c r="C1163" s="48" t="inlineStr">
        <is>
          <t>항공</t>
        </is>
      </c>
      <c r="D1163" s="48" t="inlineStr">
        <is>
          <t>인천공항</t>
        </is>
      </c>
      <c r="E1163" s="46" t="inlineStr">
        <is>
          <t>ICN</t>
        </is>
      </c>
      <c r="F1163" s="48" t="inlineStr">
        <is>
          <t>과달라하라공항</t>
        </is>
      </c>
      <c r="G1163" s="46" t="inlineStr">
        <is>
          <t>GDL</t>
        </is>
      </c>
      <c r="H1163" s="47" t="n">
        <v>45910</v>
      </c>
      <c r="I1163" s="52" t="n">
        <v>45914</v>
      </c>
      <c r="J1163" s="52" t="n">
        <v>45913</v>
      </c>
      <c r="K1163" s="53" t="n">
        <v>135</v>
      </c>
    </row>
    <row r="1164" ht="15" customHeight="1" s="32">
      <c r="A1164" s="46" t="inlineStr">
        <is>
          <t>L-HB-1163</t>
        </is>
      </c>
      <c r="B1164" s="46" t="inlineStr">
        <is>
          <t>R-HB-1163</t>
        </is>
      </c>
      <c r="C1164" s="48" t="inlineStr">
        <is>
          <t>항공</t>
        </is>
      </c>
      <c r="D1164" s="48" t="inlineStr">
        <is>
          <t>인천공항</t>
        </is>
      </c>
      <c r="E1164" s="46" t="inlineStr">
        <is>
          <t>ICN</t>
        </is>
      </c>
      <c r="F1164" s="48" t="inlineStr">
        <is>
          <t>선전공항</t>
        </is>
      </c>
      <c r="G1164" s="46" t="inlineStr">
        <is>
          <t>SZX</t>
        </is>
      </c>
      <c r="H1164" s="47" t="n">
        <v>45910</v>
      </c>
      <c r="I1164" s="52" t="n">
        <v>45911</v>
      </c>
      <c r="J1164" s="52" t="n">
        <v>45911</v>
      </c>
      <c r="K1164" s="53" t="n">
        <v>135</v>
      </c>
    </row>
    <row r="1165" ht="15" customHeight="1" s="32">
      <c r="A1165" s="46" t="inlineStr">
        <is>
          <t>L-HB-1164</t>
        </is>
      </c>
      <c r="B1165" s="46" t="inlineStr">
        <is>
          <t>R-HB-1164</t>
        </is>
      </c>
      <c r="C1165" s="48" t="inlineStr">
        <is>
          <t>항공</t>
        </is>
      </c>
      <c r="D1165" s="48" t="inlineStr">
        <is>
          <t>인천공항</t>
        </is>
      </c>
      <c r="E1165" s="46" t="inlineStr">
        <is>
          <t>ICN</t>
        </is>
      </c>
      <c r="F1165" s="48" t="inlineStr">
        <is>
          <t>로스앤젤레스공항</t>
        </is>
      </c>
      <c r="G1165" s="46" t="inlineStr">
        <is>
          <t>LAX</t>
        </is>
      </c>
      <c r="H1165" s="47" t="n">
        <v>45912</v>
      </c>
      <c r="I1165" s="52" t="n">
        <v>45914</v>
      </c>
      <c r="J1165" s="52" t="n">
        <v>45914</v>
      </c>
      <c r="K1165" s="53" t="n">
        <v>135</v>
      </c>
    </row>
    <row r="1166" ht="15" customHeight="1" s="32">
      <c r="A1166" s="46" t="inlineStr">
        <is>
          <t>L-HB-1165</t>
        </is>
      </c>
      <c r="B1166" s="46" t="inlineStr">
        <is>
          <t>R-HB-1165</t>
        </is>
      </c>
      <c r="C1166" s="48" t="inlineStr">
        <is>
          <t>항공</t>
        </is>
      </c>
      <c r="D1166" s="48" t="inlineStr">
        <is>
          <t>인천공항</t>
        </is>
      </c>
      <c r="E1166" s="46" t="inlineStr">
        <is>
          <t>ICN</t>
        </is>
      </c>
      <c r="F1166" s="48" t="inlineStr">
        <is>
          <t>시애틀공항</t>
        </is>
      </c>
      <c r="G1166" s="46" t="inlineStr">
        <is>
          <t>SEA</t>
        </is>
      </c>
      <c r="H1166" s="47" t="n">
        <v>45912</v>
      </c>
      <c r="I1166" s="52" t="n">
        <v>45914</v>
      </c>
      <c r="J1166" s="52" t="n">
        <v>45916</v>
      </c>
      <c r="K1166" s="53" t="n">
        <v>135</v>
      </c>
    </row>
    <row r="1167" ht="15" customHeight="1" s="32">
      <c r="A1167" s="46" t="inlineStr">
        <is>
          <t>L-HB-1166</t>
        </is>
      </c>
      <c r="B1167" s="46" t="inlineStr">
        <is>
          <t>R-HB-1166</t>
        </is>
      </c>
      <c r="C1167" s="48" t="inlineStr">
        <is>
          <t>항공</t>
        </is>
      </c>
      <c r="D1167" s="48" t="inlineStr">
        <is>
          <t>인천공항</t>
        </is>
      </c>
      <c r="E1167" s="46" t="inlineStr">
        <is>
          <t>ICN</t>
        </is>
      </c>
      <c r="F1167" s="48" t="inlineStr">
        <is>
          <t>프랑크푸르트공항</t>
        </is>
      </c>
      <c r="G1167" s="46" t="inlineStr">
        <is>
          <t>FRA</t>
        </is>
      </c>
      <c r="H1167" s="47" t="n">
        <v>45913</v>
      </c>
      <c r="I1167" s="52" t="n">
        <v>45918</v>
      </c>
      <c r="J1167" s="52" t="n">
        <v>45918</v>
      </c>
      <c r="K1167" s="53" t="n">
        <v>158</v>
      </c>
    </row>
    <row r="1168" ht="15" customHeight="1" s="32">
      <c r="A1168" s="46" t="inlineStr">
        <is>
          <t>L-HB-1167</t>
        </is>
      </c>
      <c r="B1168" s="46" t="inlineStr">
        <is>
          <t>R-HB-1167</t>
        </is>
      </c>
      <c r="C1168" s="48" t="inlineStr">
        <is>
          <t>항공</t>
        </is>
      </c>
      <c r="D1168" s="48" t="inlineStr">
        <is>
          <t>인천공항</t>
        </is>
      </c>
      <c r="E1168" s="46" t="inlineStr">
        <is>
          <t>ICN</t>
        </is>
      </c>
      <c r="F1168" s="48" t="inlineStr">
        <is>
          <t>과달라하라공항</t>
        </is>
      </c>
      <c r="G1168" s="46" t="inlineStr">
        <is>
          <t>GDL</t>
        </is>
      </c>
      <c r="H1168" s="47" t="n">
        <v>45914</v>
      </c>
      <c r="I1168" s="52" t="n">
        <v>45918</v>
      </c>
      <c r="J1168" s="52" t="n">
        <v>45918</v>
      </c>
      <c r="K1168" s="53" t="n">
        <v>135.97</v>
      </c>
    </row>
    <row r="1169" ht="15" customHeight="1" s="32">
      <c r="A1169" s="46" t="inlineStr">
        <is>
          <t>L-HB-1168</t>
        </is>
      </c>
      <c r="B1169" s="46" t="inlineStr">
        <is>
          <t>R-HB-1168</t>
        </is>
      </c>
      <c r="C1169" s="48" t="inlineStr">
        <is>
          <t>항공</t>
        </is>
      </c>
      <c r="D1169" s="48" t="inlineStr">
        <is>
          <t>인천공항</t>
        </is>
      </c>
      <c r="E1169" s="46" t="inlineStr">
        <is>
          <t>ICN</t>
        </is>
      </c>
      <c r="F1169" s="48" t="inlineStr">
        <is>
          <t>토론토공항</t>
        </is>
      </c>
      <c r="G1169" s="46" t="inlineStr">
        <is>
          <t>YYZ</t>
        </is>
      </c>
      <c r="H1169" s="47" t="n">
        <v>45915</v>
      </c>
      <c r="I1169" s="52" t="n">
        <v>45918</v>
      </c>
      <c r="J1169" s="52" t="n">
        <v>45918</v>
      </c>
      <c r="K1169" s="53" t="n">
        <v>135</v>
      </c>
    </row>
    <row r="1170" ht="15" customHeight="1" s="32">
      <c r="A1170" s="46" t="inlineStr">
        <is>
          <t>L-HB-1169</t>
        </is>
      </c>
      <c r="B1170" s="46" t="inlineStr">
        <is>
          <t>R-HB-1169</t>
        </is>
      </c>
      <c r="C1170" s="48" t="inlineStr">
        <is>
          <t>항공</t>
        </is>
      </c>
      <c r="D1170" s="48" t="inlineStr">
        <is>
          <t>인천공항</t>
        </is>
      </c>
      <c r="E1170" s="46" t="inlineStr">
        <is>
          <t>ICN</t>
        </is>
      </c>
      <c r="F1170" s="48" t="inlineStr">
        <is>
          <t>하노이공항</t>
        </is>
      </c>
      <c r="G1170" s="46" t="inlineStr">
        <is>
          <t>HAN</t>
        </is>
      </c>
      <c r="H1170" s="47" t="n">
        <v>45915</v>
      </c>
      <c r="I1170" s="52" t="n">
        <v>45917</v>
      </c>
      <c r="J1170" s="52" t="n">
        <v>45917</v>
      </c>
      <c r="K1170" s="53" t="n">
        <v>135</v>
      </c>
    </row>
    <row r="1171" ht="15" customHeight="1" s="32">
      <c r="A1171" s="46" t="inlineStr">
        <is>
          <t>L-HB-1170</t>
        </is>
      </c>
      <c r="B1171" s="46" t="inlineStr">
        <is>
          <t>R-HB-1170</t>
        </is>
      </c>
      <c r="C1171" s="48" t="inlineStr">
        <is>
          <t>항공</t>
        </is>
      </c>
      <c r="D1171" s="48" t="inlineStr">
        <is>
          <t>인천공항</t>
        </is>
      </c>
      <c r="E1171" s="46" t="inlineStr">
        <is>
          <t>ICN</t>
        </is>
      </c>
      <c r="F1171" s="48" t="inlineStr">
        <is>
          <t>로스앤젤레스공항</t>
        </is>
      </c>
      <c r="G1171" s="46" t="inlineStr">
        <is>
          <t>LAX</t>
        </is>
      </c>
      <c r="H1171" s="47" t="n">
        <v>45916</v>
      </c>
      <c r="I1171" s="52" t="n">
        <v>45918</v>
      </c>
      <c r="J1171" s="52" t="n">
        <v>45918</v>
      </c>
      <c r="K1171" s="53" t="n">
        <v>153.35</v>
      </c>
    </row>
    <row r="1172" ht="15" customHeight="1" s="32">
      <c r="A1172" s="46" t="inlineStr">
        <is>
          <t>L-HB-1171</t>
        </is>
      </c>
      <c r="B1172" s="46" t="inlineStr">
        <is>
          <t>R-HB-1171</t>
        </is>
      </c>
      <c r="C1172" s="48" t="inlineStr">
        <is>
          <t>항공</t>
        </is>
      </c>
      <c r="D1172" s="48" t="inlineStr">
        <is>
          <t>인천공항</t>
        </is>
      </c>
      <c r="E1172" s="46" t="inlineStr">
        <is>
          <t>ICN</t>
        </is>
      </c>
      <c r="F1172" s="48" t="inlineStr">
        <is>
          <t>하노이공항</t>
        </is>
      </c>
      <c r="G1172" s="46" t="inlineStr">
        <is>
          <t>HAN</t>
        </is>
      </c>
      <c r="H1172" s="47" t="n">
        <v>45916</v>
      </c>
      <c r="I1172" s="52" t="n">
        <v>45918</v>
      </c>
      <c r="J1172" s="52" t="n">
        <v>45918</v>
      </c>
      <c r="K1172" s="53" t="n">
        <v>135</v>
      </c>
    </row>
    <row r="1173" ht="15" customHeight="1" s="32">
      <c r="A1173" s="46" t="inlineStr">
        <is>
          <t>L-HB-1172</t>
        </is>
      </c>
      <c r="B1173" s="46" t="inlineStr">
        <is>
          <t>R-HB-1172</t>
        </is>
      </c>
      <c r="C1173" s="48" t="inlineStr">
        <is>
          <t>항공</t>
        </is>
      </c>
      <c r="D1173" s="48" t="inlineStr">
        <is>
          <t>인천공항</t>
        </is>
      </c>
      <c r="E1173" s="46" t="inlineStr">
        <is>
          <t>ICN</t>
        </is>
      </c>
      <c r="F1173" s="48" t="inlineStr">
        <is>
          <t>토론토공항</t>
        </is>
      </c>
      <c r="G1173" s="46" t="inlineStr">
        <is>
          <t>YYZ</t>
        </is>
      </c>
      <c r="H1173" s="47" t="n">
        <v>45917</v>
      </c>
      <c r="I1173" s="52" t="n">
        <v>45921</v>
      </c>
      <c r="J1173" s="52" t="n">
        <v>45920</v>
      </c>
      <c r="K1173" s="53" t="n">
        <v>135</v>
      </c>
    </row>
    <row r="1174" ht="15" customHeight="1" s="32">
      <c r="A1174" s="46" t="inlineStr">
        <is>
          <t>L-HB-1173</t>
        </is>
      </c>
      <c r="B1174" s="46" t="inlineStr">
        <is>
          <t>R-HB-1173</t>
        </is>
      </c>
      <c r="C1174" s="48" t="inlineStr">
        <is>
          <t>항공</t>
        </is>
      </c>
      <c r="D1174" s="48" t="inlineStr">
        <is>
          <t>인천공항</t>
        </is>
      </c>
      <c r="E1174" s="46" t="inlineStr">
        <is>
          <t>ICN</t>
        </is>
      </c>
      <c r="F1174" s="48" t="inlineStr">
        <is>
          <t>토론토공항</t>
        </is>
      </c>
      <c r="G1174" s="46" t="inlineStr">
        <is>
          <t>YYZ</t>
        </is>
      </c>
      <c r="H1174" s="47" t="n">
        <v>45918</v>
      </c>
      <c r="I1174" s="52" t="n">
        <v>45922</v>
      </c>
      <c r="J1174" s="52" t="n">
        <v>45922</v>
      </c>
      <c r="K1174" s="53" t="n">
        <v>135</v>
      </c>
    </row>
    <row r="1175" ht="15" customHeight="1" s="32">
      <c r="A1175" s="46" t="inlineStr">
        <is>
          <t>L-HB-1174</t>
        </is>
      </c>
      <c r="B1175" s="46" t="inlineStr">
        <is>
          <t>R-HB-1174</t>
        </is>
      </c>
      <c r="C1175" s="48" t="inlineStr">
        <is>
          <t>항공</t>
        </is>
      </c>
      <c r="D1175" s="48" t="inlineStr">
        <is>
          <t>인천공항</t>
        </is>
      </c>
      <c r="E1175" s="46" t="inlineStr">
        <is>
          <t>ICN</t>
        </is>
      </c>
      <c r="F1175" s="48" t="inlineStr">
        <is>
          <t>하노이공항</t>
        </is>
      </c>
      <c r="G1175" s="46" t="inlineStr">
        <is>
          <t>HAN</t>
        </is>
      </c>
      <c r="H1175" s="47" t="n">
        <v>45918</v>
      </c>
      <c r="I1175" s="52" t="n">
        <v>45920</v>
      </c>
      <c r="J1175" s="52" t="n">
        <v>45920</v>
      </c>
      <c r="K1175" s="53" t="n">
        <v>274.98</v>
      </c>
    </row>
    <row r="1176" ht="15" customHeight="1" s="32">
      <c r="A1176" s="46" t="inlineStr">
        <is>
          <t>L-HB-1175</t>
        </is>
      </c>
      <c r="B1176" s="46" t="inlineStr">
        <is>
          <t>R-HB-1175</t>
        </is>
      </c>
      <c r="C1176" s="48" t="inlineStr">
        <is>
          <t>항공</t>
        </is>
      </c>
      <c r="D1176" s="48" t="inlineStr">
        <is>
          <t>인천공항</t>
        </is>
      </c>
      <c r="E1176" s="46" t="inlineStr">
        <is>
          <t>ICN</t>
        </is>
      </c>
      <c r="F1176" s="48" t="inlineStr">
        <is>
          <t>로스앤젤레스공항</t>
        </is>
      </c>
      <c r="G1176" s="46" t="inlineStr">
        <is>
          <t>LAX</t>
        </is>
      </c>
      <c r="H1176" s="47" t="n">
        <v>45919</v>
      </c>
      <c r="I1176" s="52" t="n">
        <v>45922</v>
      </c>
      <c r="J1176" s="52" t="n">
        <v>45921</v>
      </c>
      <c r="K1176" s="53" t="n">
        <v>229.35</v>
      </c>
    </row>
    <row r="1177" ht="15" customHeight="1" s="32">
      <c r="A1177" s="46" t="inlineStr">
        <is>
          <t>L-HB-1176</t>
        </is>
      </c>
      <c r="B1177" s="46" t="inlineStr">
        <is>
          <t>R-HB-1176</t>
        </is>
      </c>
      <c r="C1177" s="48" t="inlineStr">
        <is>
          <t>해상</t>
        </is>
      </c>
      <c r="D1177" s="48" t="inlineStr">
        <is>
          <t>부산항</t>
        </is>
      </c>
      <c r="E1177" s="46" t="inlineStr">
        <is>
          <t>KRPUS</t>
        </is>
      </c>
      <c r="F1177" s="48" t="inlineStr">
        <is>
          <t>서커우항</t>
        </is>
      </c>
      <c r="G1177" s="46" t="inlineStr">
        <is>
          <t>CNSHK</t>
        </is>
      </c>
      <c r="H1177" s="47" t="n">
        <v>45919</v>
      </c>
      <c r="I1177" s="52" t="n">
        <v>45925</v>
      </c>
      <c r="J1177" s="52" t="n">
        <v>45924</v>
      </c>
      <c r="K1177" s="53" t="n">
        <v>530</v>
      </c>
    </row>
    <row r="1178" ht="15" customHeight="1" s="32">
      <c r="A1178" s="46" t="inlineStr">
        <is>
          <t>L-HB-1177</t>
        </is>
      </c>
      <c r="B1178" s="46" t="inlineStr">
        <is>
          <t>R-HB-1177</t>
        </is>
      </c>
      <c r="C1178" s="48" t="inlineStr">
        <is>
          <t>항공</t>
        </is>
      </c>
      <c r="D1178" s="48" t="inlineStr">
        <is>
          <t>인천공항</t>
        </is>
      </c>
      <c r="E1178" s="46" t="inlineStr">
        <is>
          <t>ICN</t>
        </is>
      </c>
      <c r="F1178" s="48" t="inlineStr">
        <is>
          <t>충칭공항</t>
        </is>
      </c>
      <c r="G1178" s="46" t="inlineStr">
        <is>
          <t>CKG</t>
        </is>
      </c>
      <c r="H1178" s="47" t="n">
        <v>45920</v>
      </c>
      <c r="I1178" s="52" t="n">
        <v>45923</v>
      </c>
      <c r="J1178" s="52" t="n">
        <v>45923</v>
      </c>
      <c r="K1178" s="53" t="n">
        <v>267.46</v>
      </c>
    </row>
    <row r="1179" ht="15" customHeight="1" s="32">
      <c r="A1179" s="46" t="inlineStr">
        <is>
          <t>L-HB-1178</t>
        </is>
      </c>
      <c r="B1179" s="46" t="inlineStr">
        <is>
          <t>R-HB-1178</t>
        </is>
      </c>
      <c r="C1179" s="48" t="inlineStr">
        <is>
          <t>항공</t>
        </is>
      </c>
      <c r="D1179" s="48" t="inlineStr">
        <is>
          <t>인천공항</t>
        </is>
      </c>
      <c r="E1179" s="46" t="inlineStr">
        <is>
          <t>ICN</t>
        </is>
      </c>
      <c r="F1179" s="48" t="inlineStr">
        <is>
          <t>토론토공항</t>
        </is>
      </c>
      <c r="G1179" s="46" t="inlineStr">
        <is>
          <t>YYZ</t>
        </is>
      </c>
      <c r="H1179" s="47" t="n">
        <v>45921</v>
      </c>
      <c r="I1179" s="52" t="n">
        <v>45924</v>
      </c>
      <c r="J1179" s="52" t="n">
        <v>45924</v>
      </c>
      <c r="K1179" s="53" t="n">
        <v>135</v>
      </c>
    </row>
    <row r="1180" ht="15" customHeight="1" s="32">
      <c r="A1180" s="46" t="inlineStr">
        <is>
          <t>L-HB-1179</t>
        </is>
      </c>
      <c r="B1180" s="46" t="inlineStr">
        <is>
          <t>R-HB-1179</t>
        </is>
      </c>
      <c r="C1180" s="48" t="inlineStr">
        <is>
          <t>항공</t>
        </is>
      </c>
      <c r="D1180" s="48" t="inlineStr">
        <is>
          <t>인천공항</t>
        </is>
      </c>
      <c r="E1180" s="46" t="inlineStr">
        <is>
          <t>ICN</t>
        </is>
      </c>
      <c r="F1180" s="48" t="inlineStr">
        <is>
          <t>로스앤젤레스공항</t>
        </is>
      </c>
      <c r="G1180" s="46" t="inlineStr">
        <is>
          <t>LAX</t>
        </is>
      </c>
      <c r="H1180" s="47" t="n">
        <v>45922</v>
      </c>
      <c r="I1180" s="52" t="n">
        <v>45925</v>
      </c>
      <c r="J1180" s="52" t="n">
        <v>45925</v>
      </c>
      <c r="K1180" s="53" t="n">
        <v>468.06</v>
      </c>
    </row>
    <row r="1181" ht="15" customHeight="1" s="32">
      <c r="A1181" s="46" t="inlineStr">
        <is>
          <t>L-HB-1180</t>
        </is>
      </c>
      <c r="B1181" s="46" t="inlineStr">
        <is>
          <t>R-HB-1180</t>
        </is>
      </c>
      <c r="C1181" s="48" t="inlineStr">
        <is>
          <t>항공</t>
        </is>
      </c>
      <c r="D1181" s="48" t="inlineStr">
        <is>
          <t>인천공항</t>
        </is>
      </c>
      <c r="E1181" s="46" t="inlineStr">
        <is>
          <t>ICN</t>
        </is>
      </c>
      <c r="F1181" s="48" t="inlineStr">
        <is>
          <t>충칭공항</t>
        </is>
      </c>
      <c r="G1181" s="46" t="inlineStr">
        <is>
          <t>CKG</t>
        </is>
      </c>
      <c r="H1181" s="47" t="n">
        <v>45922</v>
      </c>
      <c r="I1181" s="52" t="n">
        <v>45924</v>
      </c>
      <c r="J1181" s="52" t="n">
        <v>45924</v>
      </c>
      <c r="K1181" s="53" t="n">
        <v>135</v>
      </c>
    </row>
    <row r="1182" ht="15" customHeight="1" s="32">
      <c r="A1182" s="46" t="inlineStr">
        <is>
          <t>L-HB-1181</t>
        </is>
      </c>
      <c r="B1182" s="46" t="inlineStr">
        <is>
          <t>R-HB-1181</t>
        </is>
      </c>
      <c r="C1182" s="48" t="inlineStr">
        <is>
          <t>항공</t>
        </is>
      </c>
      <c r="D1182" s="48" t="inlineStr">
        <is>
          <t>인천공항</t>
        </is>
      </c>
      <c r="E1182" s="46" t="inlineStr">
        <is>
          <t>ICN</t>
        </is>
      </c>
      <c r="F1182" s="48" t="inlineStr">
        <is>
          <t>과달라하라공항</t>
        </is>
      </c>
      <c r="G1182" s="46" t="inlineStr">
        <is>
          <t>GDL</t>
        </is>
      </c>
      <c r="H1182" s="47" t="n">
        <v>45923</v>
      </c>
      <c r="I1182" s="52" t="n">
        <v>45926</v>
      </c>
      <c r="J1182" s="52" t="n">
        <v>45926</v>
      </c>
      <c r="K1182" s="53" t="n">
        <v>135</v>
      </c>
    </row>
    <row r="1183" ht="15" customHeight="1" s="32">
      <c r="A1183" s="46" t="inlineStr">
        <is>
          <t>L-HB-1182</t>
        </is>
      </c>
      <c r="B1183" s="46" t="inlineStr">
        <is>
          <t>R-HB-1182</t>
        </is>
      </c>
      <c r="C1183" s="48" t="inlineStr">
        <is>
          <t>해상</t>
        </is>
      </c>
      <c r="D1183" s="48" t="inlineStr">
        <is>
          <t>부산항</t>
        </is>
      </c>
      <c r="E1183" s="46" t="inlineStr">
        <is>
          <t>KRPUS</t>
        </is>
      </c>
      <c r="F1183" s="48" t="inlineStr">
        <is>
          <t>하이퐁항</t>
        </is>
      </c>
      <c r="G1183" s="46" t="inlineStr">
        <is>
          <t>VNHPH</t>
        </is>
      </c>
      <c r="H1183" s="47" t="n">
        <v>45923</v>
      </c>
      <c r="I1183" s="52" t="n">
        <v>45931</v>
      </c>
      <c r="J1183" s="52" t="n">
        <v>45931</v>
      </c>
      <c r="K1183" s="53" t="n">
        <v>530</v>
      </c>
    </row>
    <row r="1184" ht="15" customHeight="1" s="32">
      <c r="A1184" s="46" t="inlineStr">
        <is>
          <t>L-HB-1183</t>
        </is>
      </c>
      <c r="B1184" s="46" t="inlineStr">
        <is>
          <t>R-HB-1183</t>
        </is>
      </c>
      <c r="C1184" s="48" t="inlineStr">
        <is>
          <t>항공</t>
        </is>
      </c>
      <c r="D1184" s="48" t="inlineStr">
        <is>
          <t>인천공항</t>
        </is>
      </c>
      <c r="E1184" s="46" t="inlineStr">
        <is>
          <t>ICN</t>
        </is>
      </c>
      <c r="F1184" s="48" t="inlineStr">
        <is>
          <t>델리공항</t>
        </is>
      </c>
      <c r="G1184" s="46" t="inlineStr">
        <is>
          <t>DEL</t>
        </is>
      </c>
      <c r="H1184" s="47" t="n">
        <v>45924</v>
      </c>
      <c r="I1184" s="52" t="n">
        <v>45927</v>
      </c>
      <c r="J1184" s="52" t="n">
        <v>45927</v>
      </c>
      <c r="K1184" s="53" t="n">
        <v>135</v>
      </c>
    </row>
    <row r="1185" ht="15" customHeight="1" s="32">
      <c r="A1185" s="46" t="inlineStr">
        <is>
          <t>L-HB-1184</t>
        </is>
      </c>
      <c r="B1185" s="46" t="inlineStr">
        <is>
          <t>R-HB-1184</t>
        </is>
      </c>
      <c r="C1185" s="48" t="inlineStr">
        <is>
          <t>항공</t>
        </is>
      </c>
      <c r="D1185" s="48" t="inlineStr">
        <is>
          <t>인천공항</t>
        </is>
      </c>
      <c r="E1185" s="46" t="inlineStr">
        <is>
          <t>ICN</t>
        </is>
      </c>
      <c r="F1185" s="48" t="inlineStr">
        <is>
          <t>충칭공항</t>
        </is>
      </c>
      <c r="G1185" s="46" t="inlineStr">
        <is>
          <t>CKG</t>
        </is>
      </c>
      <c r="H1185" s="47" t="n">
        <v>45925</v>
      </c>
      <c r="I1185" s="52" t="n">
        <v>45926</v>
      </c>
      <c r="J1185" s="52" t="n">
        <v>45930</v>
      </c>
      <c r="K1185" s="53" t="n">
        <v>135</v>
      </c>
    </row>
    <row r="1186" ht="15" customHeight="1" s="32">
      <c r="A1186" s="46" t="inlineStr">
        <is>
          <t>L-HB-1185</t>
        </is>
      </c>
      <c r="B1186" s="46" t="inlineStr">
        <is>
          <t>R-HB-1185</t>
        </is>
      </c>
      <c r="C1186" s="48" t="inlineStr">
        <is>
          <t>항공</t>
        </is>
      </c>
      <c r="D1186" s="48" t="inlineStr">
        <is>
          <t>인천공항</t>
        </is>
      </c>
      <c r="E1186" s="46" t="inlineStr">
        <is>
          <t>ICN</t>
        </is>
      </c>
      <c r="F1186" s="48" t="inlineStr">
        <is>
          <t>프랑크푸르트공항</t>
        </is>
      </c>
      <c r="G1186" s="46" t="inlineStr">
        <is>
          <t>FRA</t>
        </is>
      </c>
      <c r="H1186" s="47" t="n">
        <v>45926</v>
      </c>
      <c r="I1186" s="52" t="n">
        <v>45931</v>
      </c>
      <c r="J1186" s="52" t="n">
        <v>45932</v>
      </c>
      <c r="K1186" s="53" t="n">
        <v>135</v>
      </c>
    </row>
    <row r="1187" ht="15" customHeight="1" s="32">
      <c r="A1187" s="46" t="inlineStr">
        <is>
          <t>L-HB-1186</t>
        </is>
      </c>
      <c r="B1187" s="46" t="inlineStr">
        <is>
          <t>R-HB-1186</t>
        </is>
      </c>
      <c r="C1187" s="48" t="inlineStr">
        <is>
          <t>항공</t>
        </is>
      </c>
      <c r="D1187" s="48" t="inlineStr">
        <is>
          <t>인천공항</t>
        </is>
      </c>
      <c r="E1187" s="46" t="inlineStr">
        <is>
          <t>ICN</t>
        </is>
      </c>
      <c r="F1187" s="48" t="inlineStr">
        <is>
          <t>시애틀공항</t>
        </is>
      </c>
      <c r="G1187" s="46" t="inlineStr">
        <is>
          <t>SEA</t>
        </is>
      </c>
      <c r="H1187" s="47" t="n">
        <v>45927</v>
      </c>
      <c r="I1187" s="52" t="n">
        <v>45929</v>
      </c>
      <c r="J1187" s="52" t="n">
        <v>45929</v>
      </c>
      <c r="K1187" s="53" t="n">
        <v>135</v>
      </c>
    </row>
    <row r="1188" ht="15" customHeight="1" s="32">
      <c r="A1188" s="46" t="inlineStr">
        <is>
          <t>L-HB-1187</t>
        </is>
      </c>
      <c r="B1188" s="46" t="inlineStr">
        <is>
          <t>R-HB-1187</t>
        </is>
      </c>
      <c r="C1188" s="48" t="inlineStr">
        <is>
          <t>항공</t>
        </is>
      </c>
      <c r="D1188" s="48" t="inlineStr">
        <is>
          <t>인천공항</t>
        </is>
      </c>
      <c r="E1188" s="46" t="inlineStr">
        <is>
          <t>ICN</t>
        </is>
      </c>
      <c r="F1188" s="48" t="inlineStr">
        <is>
          <t>선전공항</t>
        </is>
      </c>
      <c r="G1188" s="46" t="inlineStr">
        <is>
          <t>SZX</t>
        </is>
      </c>
      <c r="H1188" s="47" t="n">
        <v>45927</v>
      </c>
      <c r="I1188" s="52" t="n">
        <v>45930</v>
      </c>
      <c r="J1188" s="52" t="n">
        <v>45930</v>
      </c>
      <c r="K1188" s="53" t="n">
        <v>365.61</v>
      </c>
    </row>
    <row r="1189" ht="15" customHeight="1" s="32">
      <c r="A1189" s="46" t="inlineStr">
        <is>
          <t>L-HB-1188</t>
        </is>
      </c>
      <c r="B1189" s="46" t="inlineStr">
        <is>
          <t>R-HB-1188</t>
        </is>
      </c>
      <c r="C1189" s="48" t="inlineStr">
        <is>
          <t>해상</t>
        </is>
      </c>
      <c r="D1189" s="48" t="inlineStr">
        <is>
          <t>부산항</t>
        </is>
      </c>
      <c r="E1189" s="46" t="inlineStr">
        <is>
          <t>KRPUS</t>
        </is>
      </c>
      <c r="F1189" s="48" t="inlineStr">
        <is>
          <t>상하이항</t>
        </is>
      </c>
      <c r="G1189" s="46" t="inlineStr">
        <is>
          <t>CNSHA</t>
        </is>
      </c>
      <c r="H1189" s="47" t="n">
        <v>45927</v>
      </c>
      <c r="I1189" s="52" t="n">
        <v>45932</v>
      </c>
      <c r="J1189" s="52" t="n">
        <v>45934</v>
      </c>
      <c r="K1189" s="53" t="n">
        <v>530</v>
      </c>
    </row>
    <row r="1190" ht="15" customHeight="1" s="32">
      <c r="A1190" s="46" t="inlineStr">
        <is>
          <t>L-HB-1189</t>
        </is>
      </c>
      <c r="B1190" s="46" t="inlineStr">
        <is>
          <t>R-HB-1189</t>
        </is>
      </c>
      <c r="C1190" s="48" t="inlineStr">
        <is>
          <t>항공</t>
        </is>
      </c>
      <c r="D1190" s="48" t="inlineStr">
        <is>
          <t>인천공항</t>
        </is>
      </c>
      <c r="E1190" s="46" t="inlineStr">
        <is>
          <t>ICN</t>
        </is>
      </c>
      <c r="F1190" s="48" t="inlineStr">
        <is>
          <t>시애틀공항</t>
        </is>
      </c>
      <c r="G1190" s="46" t="inlineStr">
        <is>
          <t>SEA</t>
        </is>
      </c>
      <c r="H1190" s="47" t="n">
        <v>45933</v>
      </c>
      <c r="I1190" s="52" t="n">
        <v>45936</v>
      </c>
      <c r="J1190" s="52" t="n">
        <v>45936</v>
      </c>
      <c r="K1190" s="53" t="n">
        <v>135</v>
      </c>
    </row>
    <row r="1191" ht="15" customHeight="1" s="32">
      <c r="A1191" s="46" t="inlineStr">
        <is>
          <t>L-HB-1190</t>
        </is>
      </c>
      <c r="B1191" s="46" t="inlineStr">
        <is>
          <t>R-HB-1190</t>
        </is>
      </c>
      <c r="C1191" s="48" t="inlineStr">
        <is>
          <t>항공</t>
        </is>
      </c>
      <c r="D1191" s="48" t="inlineStr">
        <is>
          <t>인천공항</t>
        </is>
      </c>
      <c r="E1191" s="46" t="inlineStr">
        <is>
          <t>ICN</t>
        </is>
      </c>
      <c r="F1191" s="48" t="inlineStr">
        <is>
          <t>선전공항</t>
        </is>
      </c>
      <c r="G1191" s="46" t="inlineStr">
        <is>
          <t>SZX</t>
        </is>
      </c>
      <c r="H1191" s="47" t="n">
        <v>45933</v>
      </c>
      <c r="I1191" s="52" t="n">
        <v>45935</v>
      </c>
      <c r="J1191" s="52" t="n">
        <v>45935</v>
      </c>
      <c r="K1191" s="53" t="n">
        <v>371.17</v>
      </c>
    </row>
    <row r="1192" ht="15" customHeight="1" s="32">
      <c r="A1192" s="46" t="inlineStr">
        <is>
          <t>L-HB-1191</t>
        </is>
      </c>
      <c r="B1192" s="46" t="inlineStr">
        <is>
          <t>R-HB-1191</t>
        </is>
      </c>
      <c r="C1192" s="48" t="inlineStr">
        <is>
          <t>항공</t>
        </is>
      </c>
      <c r="D1192" s="48" t="inlineStr">
        <is>
          <t>인천공항</t>
        </is>
      </c>
      <c r="E1192" s="46" t="inlineStr">
        <is>
          <t>ICN</t>
        </is>
      </c>
      <c r="F1192" s="48" t="inlineStr">
        <is>
          <t>델리공항</t>
        </is>
      </c>
      <c r="G1192" s="46" t="inlineStr">
        <is>
          <t>DEL</t>
        </is>
      </c>
      <c r="H1192" s="47" t="n">
        <v>45934</v>
      </c>
      <c r="I1192" s="52" t="n">
        <v>45937</v>
      </c>
      <c r="J1192" s="52" t="n">
        <v>45937</v>
      </c>
      <c r="K1192" s="53" t="n">
        <v>208.8</v>
      </c>
    </row>
    <row r="1193" ht="15" customHeight="1" s="32">
      <c r="A1193" s="46" t="inlineStr">
        <is>
          <t>L-HB-1192</t>
        </is>
      </c>
      <c r="B1193" s="46" t="inlineStr">
        <is>
          <t>R-HB-1192</t>
        </is>
      </c>
      <c r="C1193" s="48" t="inlineStr">
        <is>
          <t>항공</t>
        </is>
      </c>
      <c r="D1193" s="48" t="inlineStr">
        <is>
          <t>인천공항</t>
        </is>
      </c>
      <c r="E1193" s="46" t="inlineStr">
        <is>
          <t>ICN</t>
        </is>
      </c>
      <c r="F1193" s="48" t="inlineStr">
        <is>
          <t>토론토공항</t>
        </is>
      </c>
      <c r="G1193" s="46" t="inlineStr">
        <is>
          <t>YYZ</t>
        </is>
      </c>
      <c r="H1193" s="47" t="n">
        <v>45935</v>
      </c>
      <c r="I1193" s="52" t="n">
        <v>45938</v>
      </c>
      <c r="J1193" s="52" t="n">
        <v>45938</v>
      </c>
      <c r="K1193" s="53" t="n">
        <v>135</v>
      </c>
    </row>
    <row r="1194" ht="15" customHeight="1" s="32">
      <c r="A1194" s="46" t="inlineStr">
        <is>
          <t>L-HB-1193</t>
        </is>
      </c>
      <c r="B1194" s="46" t="inlineStr">
        <is>
          <t>R-HB-1193</t>
        </is>
      </c>
      <c r="C1194" s="48" t="inlineStr">
        <is>
          <t>항공</t>
        </is>
      </c>
      <c r="D1194" s="48" t="inlineStr">
        <is>
          <t>인천공항</t>
        </is>
      </c>
      <c r="E1194" s="46" t="inlineStr">
        <is>
          <t>ICN</t>
        </is>
      </c>
      <c r="F1194" s="48" t="inlineStr">
        <is>
          <t>프랑크푸르트공항</t>
        </is>
      </c>
      <c r="G1194" s="46" t="inlineStr">
        <is>
          <t>FRA</t>
        </is>
      </c>
      <c r="H1194" s="47" t="n">
        <v>45936</v>
      </c>
      <c r="I1194" s="52" t="n">
        <v>45940</v>
      </c>
      <c r="J1194" s="52" t="n">
        <v>45940</v>
      </c>
      <c r="K1194" s="53" t="n">
        <v>500.22</v>
      </c>
    </row>
    <row r="1195" ht="15" customHeight="1" s="32">
      <c r="A1195" s="46" t="inlineStr">
        <is>
          <t>L-HB-1194</t>
        </is>
      </c>
      <c r="B1195" s="46" t="inlineStr">
        <is>
          <t>R-HB-1194</t>
        </is>
      </c>
      <c r="C1195" s="48" t="inlineStr">
        <is>
          <t>항공</t>
        </is>
      </c>
      <c r="D1195" s="48" t="inlineStr">
        <is>
          <t>인천공항</t>
        </is>
      </c>
      <c r="E1195" s="46" t="inlineStr">
        <is>
          <t>ICN</t>
        </is>
      </c>
      <c r="F1195" s="48" t="inlineStr">
        <is>
          <t>프랑크푸르트공항</t>
        </is>
      </c>
      <c r="G1195" s="46" t="inlineStr">
        <is>
          <t>FRA</t>
        </is>
      </c>
      <c r="H1195" s="47" t="n">
        <v>45936</v>
      </c>
      <c r="I1195" s="52" t="n">
        <v>45939</v>
      </c>
      <c r="J1195" s="52" t="n">
        <v>45939</v>
      </c>
      <c r="K1195" s="53" t="n">
        <v>135</v>
      </c>
    </row>
    <row r="1196" ht="15" customHeight="1" s="32">
      <c r="A1196" s="46" t="inlineStr">
        <is>
          <t>L-HB-1195</t>
        </is>
      </c>
      <c r="B1196" s="46" t="inlineStr">
        <is>
          <t>R-HB-1195</t>
        </is>
      </c>
      <c r="C1196" s="48" t="inlineStr">
        <is>
          <t>해상</t>
        </is>
      </c>
      <c r="D1196" s="48" t="inlineStr">
        <is>
          <t>부산항</t>
        </is>
      </c>
      <c r="E1196" s="46" t="inlineStr">
        <is>
          <t>KRPUS</t>
        </is>
      </c>
      <c r="F1196" s="48" t="inlineStr">
        <is>
          <t>하이퐁항</t>
        </is>
      </c>
      <c r="G1196" s="46" t="inlineStr">
        <is>
          <t>VNHPH</t>
        </is>
      </c>
      <c r="H1196" s="47" t="n">
        <v>45936</v>
      </c>
      <c r="I1196" s="52" t="n">
        <v>45947</v>
      </c>
      <c r="J1196" s="52" t="n">
        <v>45945</v>
      </c>
      <c r="K1196" s="53" t="n">
        <v>530</v>
      </c>
    </row>
    <row r="1197" ht="15" customHeight="1" s="32">
      <c r="A1197" s="46" t="inlineStr">
        <is>
          <t>L-HB-1196</t>
        </is>
      </c>
      <c r="B1197" s="46" t="inlineStr">
        <is>
          <t>R-HB-1196</t>
        </is>
      </c>
      <c r="C1197" s="48" t="inlineStr">
        <is>
          <t>항공</t>
        </is>
      </c>
      <c r="D1197" s="48" t="inlineStr">
        <is>
          <t>인천공항</t>
        </is>
      </c>
      <c r="E1197" s="46" t="inlineStr">
        <is>
          <t>ICN</t>
        </is>
      </c>
      <c r="F1197" s="48" t="inlineStr">
        <is>
          <t>토론토공항</t>
        </is>
      </c>
      <c r="G1197" s="46" t="inlineStr">
        <is>
          <t>YYZ</t>
        </is>
      </c>
      <c r="H1197" s="47" t="n">
        <v>45937</v>
      </c>
      <c r="I1197" s="52" t="n">
        <v>45940</v>
      </c>
      <c r="J1197" s="52" t="n">
        <v>45939</v>
      </c>
      <c r="K1197" s="53" t="n">
        <v>135</v>
      </c>
    </row>
    <row r="1198" ht="15" customHeight="1" s="32">
      <c r="A1198" s="46" t="inlineStr">
        <is>
          <t>L-HB-1197</t>
        </is>
      </c>
      <c r="B1198" s="46" t="inlineStr">
        <is>
          <t>R-HB-1197</t>
        </is>
      </c>
      <c r="C1198" s="48" t="inlineStr">
        <is>
          <t>항공</t>
        </is>
      </c>
      <c r="D1198" s="48" t="inlineStr">
        <is>
          <t>인천공항</t>
        </is>
      </c>
      <c r="E1198" s="46" t="inlineStr">
        <is>
          <t>ICN</t>
        </is>
      </c>
      <c r="F1198" s="48" t="inlineStr">
        <is>
          <t>하노이공항</t>
        </is>
      </c>
      <c r="G1198" s="46" t="inlineStr">
        <is>
          <t>HAN</t>
        </is>
      </c>
      <c r="H1198" s="47" t="n">
        <v>45938</v>
      </c>
      <c r="I1198" s="52" t="n">
        <v>45939</v>
      </c>
      <c r="J1198" s="52" t="n">
        <v>45939</v>
      </c>
      <c r="K1198" s="53" t="n">
        <v>135</v>
      </c>
    </row>
    <row r="1199" ht="15" customHeight="1" s="32">
      <c r="A1199" s="46" t="inlineStr">
        <is>
          <t>L-HB-1198</t>
        </is>
      </c>
      <c r="B1199" s="46" t="inlineStr">
        <is>
          <t>R-HB-1198</t>
        </is>
      </c>
      <c r="C1199" s="48" t="inlineStr">
        <is>
          <t>항공</t>
        </is>
      </c>
      <c r="D1199" s="48" t="inlineStr">
        <is>
          <t>인천공항</t>
        </is>
      </c>
      <c r="E1199" s="46" t="inlineStr">
        <is>
          <t>ICN</t>
        </is>
      </c>
      <c r="F1199" s="48" t="inlineStr">
        <is>
          <t>하노이공항</t>
        </is>
      </c>
      <c r="G1199" s="46" t="inlineStr">
        <is>
          <t>HAN</t>
        </is>
      </c>
      <c r="H1199" s="47" t="n">
        <v>45938</v>
      </c>
      <c r="I1199" s="52" t="n">
        <v>45939</v>
      </c>
      <c r="J1199" s="52" t="n">
        <v>45939</v>
      </c>
      <c r="K1199" s="53" t="n">
        <v>135</v>
      </c>
    </row>
    <row r="1200" ht="15" customHeight="1" s="32">
      <c r="A1200" s="46" t="inlineStr">
        <is>
          <t>L-HB-1199</t>
        </is>
      </c>
      <c r="B1200" s="46" t="inlineStr">
        <is>
          <t>R-HB-1199</t>
        </is>
      </c>
      <c r="C1200" s="48" t="inlineStr">
        <is>
          <t>항공</t>
        </is>
      </c>
      <c r="D1200" s="48" t="inlineStr">
        <is>
          <t>인천공항</t>
        </is>
      </c>
      <c r="E1200" s="46" t="inlineStr">
        <is>
          <t>ICN</t>
        </is>
      </c>
      <c r="F1200" s="48" t="inlineStr">
        <is>
          <t>델리공항</t>
        </is>
      </c>
      <c r="G1200" s="46" t="inlineStr">
        <is>
          <t>DEL</t>
        </is>
      </c>
      <c r="H1200" s="47" t="n">
        <v>45938</v>
      </c>
      <c r="I1200" s="52" t="n">
        <v>45940</v>
      </c>
      <c r="J1200" s="52" t="n">
        <v>45940</v>
      </c>
      <c r="K1200" s="53" t="n">
        <v>135</v>
      </c>
    </row>
    <row r="1201" ht="15" customHeight="1" s="32">
      <c r="A1201" s="46" t="inlineStr">
        <is>
          <t>L-HB-1200</t>
        </is>
      </c>
      <c r="B1201" s="46" t="inlineStr">
        <is>
          <t>R-HB-1200</t>
        </is>
      </c>
      <c r="C1201" s="48" t="inlineStr">
        <is>
          <t>항공</t>
        </is>
      </c>
      <c r="D1201" s="48" t="inlineStr">
        <is>
          <t>인천공항</t>
        </is>
      </c>
      <c r="E1201" s="46" t="inlineStr">
        <is>
          <t>ICN</t>
        </is>
      </c>
      <c r="F1201" s="48" t="inlineStr">
        <is>
          <t>시애틀공항</t>
        </is>
      </c>
      <c r="G1201" s="46" t="inlineStr">
        <is>
          <t>SEA</t>
        </is>
      </c>
      <c r="H1201" s="47" t="n">
        <v>45939</v>
      </c>
      <c r="I1201" s="52" t="n">
        <v>45942</v>
      </c>
      <c r="J1201" s="52" t="n">
        <v>45941</v>
      </c>
      <c r="K1201" s="53" t="n">
        <v>135</v>
      </c>
    </row>
    <row r="1202" ht="15" customHeight="1" s="32">
      <c r="A1202" s="46" t="inlineStr">
        <is>
          <t>L-HB-1201</t>
        </is>
      </c>
      <c r="B1202" s="46" t="inlineStr">
        <is>
          <t>R-HB-1201</t>
        </is>
      </c>
      <c r="C1202" s="48" t="inlineStr">
        <is>
          <t>항공</t>
        </is>
      </c>
      <c r="D1202" s="48" t="inlineStr">
        <is>
          <t>인천공항</t>
        </is>
      </c>
      <c r="E1202" s="46" t="inlineStr">
        <is>
          <t>ICN</t>
        </is>
      </c>
      <c r="F1202" s="48" t="inlineStr">
        <is>
          <t>충칭공항</t>
        </is>
      </c>
      <c r="G1202" s="46" t="inlineStr">
        <is>
          <t>CKG</t>
        </is>
      </c>
      <c r="H1202" s="47" t="n">
        <v>45940</v>
      </c>
      <c r="I1202" s="52" t="n">
        <v>45942</v>
      </c>
      <c r="J1202" s="52" t="n">
        <v>45946</v>
      </c>
      <c r="K1202" s="53" t="n">
        <v>268.61</v>
      </c>
    </row>
    <row r="1203" ht="15" customHeight="1" s="32">
      <c r="A1203" s="46" t="inlineStr">
        <is>
          <t>L-HB-1202</t>
        </is>
      </c>
      <c r="B1203" s="46" t="inlineStr">
        <is>
          <t>R-HB-1202</t>
        </is>
      </c>
      <c r="C1203" s="48" t="inlineStr">
        <is>
          <t>항공</t>
        </is>
      </c>
      <c r="D1203" s="48" t="inlineStr">
        <is>
          <t>인천공항</t>
        </is>
      </c>
      <c r="E1203" s="46" t="inlineStr">
        <is>
          <t>ICN</t>
        </is>
      </c>
      <c r="F1203" s="48" t="inlineStr">
        <is>
          <t>충칭공항</t>
        </is>
      </c>
      <c r="G1203" s="46" t="inlineStr">
        <is>
          <t>CKG</t>
        </is>
      </c>
      <c r="H1203" s="47" t="n">
        <v>45940</v>
      </c>
      <c r="I1203" s="52" t="n">
        <v>45943</v>
      </c>
      <c r="J1203" s="52" t="n">
        <v>45943</v>
      </c>
      <c r="K1203" s="53" t="n">
        <v>135</v>
      </c>
    </row>
    <row r="1204" ht="15" customHeight="1" s="32">
      <c r="A1204" s="46" t="inlineStr">
        <is>
          <t>L-HB-1203</t>
        </is>
      </c>
      <c r="B1204" s="46" t="inlineStr">
        <is>
          <t>R-HB-1203</t>
        </is>
      </c>
      <c r="C1204" s="48" t="inlineStr">
        <is>
          <t>해상</t>
        </is>
      </c>
      <c r="D1204" s="48" t="inlineStr">
        <is>
          <t>부산항</t>
        </is>
      </c>
      <c r="E1204" s="46" t="inlineStr">
        <is>
          <t>KRPUS</t>
        </is>
      </c>
      <c r="F1204" s="48" t="inlineStr">
        <is>
          <t>서커우항</t>
        </is>
      </c>
      <c r="G1204" s="46" t="inlineStr">
        <is>
          <t>CNSHK</t>
        </is>
      </c>
      <c r="H1204" s="47" t="n">
        <v>45941</v>
      </c>
      <c r="I1204" s="52" t="n">
        <v>45947</v>
      </c>
      <c r="J1204" s="52" t="n">
        <v>45947</v>
      </c>
      <c r="K1204" s="53" t="n">
        <v>530</v>
      </c>
    </row>
    <row r="1205" ht="15" customHeight="1" s="32">
      <c r="A1205" s="46" t="inlineStr">
        <is>
          <t>L-HB-1204</t>
        </is>
      </c>
      <c r="B1205" s="46" t="inlineStr">
        <is>
          <t>R-HB-1204</t>
        </is>
      </c>
      <c r="C1205" s="48" t="inlineStr">
        <is>
          <t>항공</t>
        </is>
      </c>
      <c r="D1205" s="48" t="inlineStr">
        <is>
          <t>인천공항</t>
        </is>
      </c>
      <c r="E1205" s="46" t="inlineStr">
        <is>
          <t>ICN</t>
        </is>
      </c>
      <c r="F1205" s="48" t="inlineStr">
        <is>
          <t>충칭공항</t>
        </is>
      </c>
      <c r="G1205" s="46" t="inlineStr">
        <is>
          <t>CKG</t>
        </is>
      </c>
      <c r="H1205" s="47" t="n">
        <v>45941</v>
      </c>
      <c r="I1205" s="52" t="n">
        <v>45944</v>
      </c>
      <c r="J1205" s="52" t="n">
        <v>45948</v>
      </c>
      <c r="K1205" s="53" t="n">
        <v>135</v>
      </c>
    </row>
    <row r="1206" ht="15" customHeight="1" s="32">
      <c r="A1206" s="46" t="inlineStr">
        <is>
          <t>L-HB-1205</t>
        </is>
      </c>
      <c r="B1206" s="46" t="inlineStr">
        <is>
          <t>R-HB-1205</t>
        </is>
      </c>
      <c r="C1206" s="48" t="inlineStr">
        <is>
          <t>항공</t>
        </is>
      </c>
      <c r="D1206" s="48" t="inlineStr">
        <is>
          <t>인천공항</t>
        </is>
      </c>
      <c r="E1206" s="46" t="inlineStr">
        <is>
          <t>ICN</t>
        </is>
      </c>
      <c r="F1206" s="48" t="inlineStr">
        <is>
          <t>선전공항</t>
        </is>
      </c>
      <c r="G1206" s="46" t="inlineStr">
        <is>
          <t>SZX</t>
        </is>
      </c>
      <c r="H1206" s="47" t="n">
        <v>45942</v>
      </c>
      <c r="I1206" s="52" t="n">
        <v>45943</v>
      </c>
      <c r="J1206" s="52" t="n">
        <v>45943</v>
      </c>
      <c r="K1206" s="53" t="n">
        <v>135</v>
      </c>
    </row>
    <row r="1207" ht="15" customHeight="1" s="32">
      <c r="A1207" s="46" t="inlineStr">
        <is>
          <t>L-HB-1206</t>
        </is>
      </c>
      <c r="B1207" s="46" t="inlineStr">
        <is>
          <t>R-HB-1206</t>
        </is>
      </c>
      <c r="C1207" s="48" t="inlineStr">
        <is>
          <t>항공</t>
        </is>
      </c>
      <c r="D1207" s="48" t="inlineStr">
        <is>
          <t>인천공항</t>
        </is>
      </c>
      <c r="E1207" s="46" t="inlineStr">
        <is>
          <t>ICN</t>
        </is>
      </c>
      <c r="F1207" s="48" t="inlineStr">
        <is>
          <t>과달라하라공항</t>
        </is>
      </c>
      <c r="G1207" s="46" t="inlineStr">
        <is>
          <t>GDL</t>
        </is>
      </c>
      <c r="H1207" s="47" t="n">
        <v>45943</v>
      </c>
      <c r="I1207" s="52" t="n">
        <v>45946</v>
      </c>
      <c r="J1207" s="52" t="n">
        <v>45946</v>
      </c>
      <c r="K1207" s="53" t="n">
        <v>135</v>
      </c>
    </row>
    <row r="1208" ht="15" customHeight="1" s="32">
      <c r="A1208" s="46" t="inlineStr">
        <is>
          <t>L-HB-1207</t>
        </is>
      </c>
      <c r="B1208" s="46" t="inlineStr">
        <is>
          <t>R-HB-1207</t>
        </is>
      </c>
      <c r="C1208" s="48" t="inlineStr">
        <is>
          <t>항공</t>
        </is>
      </c>
      <c r="D1208" s="48" t="inlineStr">
        <is>
          <t>인천공항</t>
        </is>
      </c>
      <c r="E1208" s="46" t="inlineStr">
        <is>
          <t>ICN</t>
        </is>
      </c>
      <c r="F1208" s="48" t="inlineStr">
        <is>
          <t>과달라하라공항</t>
        </is>
      </c>
      <c r="G1208" s="46" t="inlineStr">
        <is>
          <t>GDL</t>
        </is>
      </c>
      <c r="H1208" s="47" t="n">
        <v>45945</v>
      </c>
      <c r="I1208" s="52" t="n">
        <v>45949</v>
      </c>
      <c r="J1208" s="52" t="n">
        <v>45949</v>
      </c>
      <c r="K1208" s="53" t="n">
        <v>138.67</v>
      </c>
    </row>
    <row r="1209" ht="15" customHeight="1" s="32">
      <c r="A1209" s="46" t="inlineStr">
        <is>
          <t>L-HB-1208</t>
        </is>
      </c>
      <c r="B1209" s="46" t="inlineStr">
        <is>
          <t>R-HB-1208</t>
        </is>
      </c>
      <c r="C1209" s="48" t="inlineStr">
        <is>
          <t>항공</t>
        </is>
      </c>
      <c r="D1209" s="48" t="inlineStr">
        <is>
          <t>인천공항</t>
        </is>
      </c>
      <c r="E1209" s="46" t="inlineStr">
        <is>
          <t>ICN</t>
        </is>
      </c>
      <c r="F1209" s="48" t="inlineStr">
        <is>
          <t>시애틀공항</t>
        </is>
      </c>
      <c r="G1209" s="46" t="inlineStr">
        <is>
          <t>SEA</t>
        </is>
      </c>
      <c r="H1209" s="47" t="n">
        <v>45946</v>
      </c>
      <c r="I1209" s="52" t="n">
        <v>45948</v>
      </c>
      <c r="J1209" s="52" t="n">
        <v>45948</v>
      </c>
      <c r="K1209" s="53" t="n">
        <v>255.64</v>
      </c>
    </row>
    <row r="1210" ht="15" customHeight="1" s="32">
      <c r="A1210" s="46" t="inlineStr">
        <is>
          <t>L-HB-1209</t>
        </is>
      </c>
      <c r="B1210" s="46" t="inlineStr">
        <is>
          <t>R-HB-1209</t>
        </is>
      </c>
      <c r="C1210" s="48" t="inlineStr">
        <is>
          <t>항공</t>
        </is>
      </c>
      <c r="D1210" s="48" t="inlineStr">
        <is>
          <t>인천공항</t>
        </is>
      </c>
      <c r="E1210" s="46" t="inlineStr">
        <is>
          <t>ICN</t>
        </is>
      </c>
      <c r="F1210" s="48" t="inlineStr">
        <is>
          <t>토론토공항</t>
        </is>
      </c>
      <c r="G1210" s="46" t="inlineStr">
        <is>
          <t>YYZ</t>
        </is>
      </c>
      <c r="H1210" s="47" t="n">
        <v>45947</v>
      </c>
      <c r="I1210" s="52" t="n">
        <v>45951</v>
      </c>
      <c r="J1210" s="52" t="n">
        <v>45951</v>
      </c>
      <c r="K1210" s="53" t="n">
        <v>135</v>
      </c>
    </row>
    <row r="1211" ht="15" customHeight="1" s="32">
      <c r="A1211" s="46" t="inlineStr">
        <is>
          <t>L-HB-1210</t>
        </is>
      </c>
      <c r="B1211" s="46" t="inlineStr">
        <is>
          <t>R-HB-1210</t>
        </is>
      </c>
      <c r="C1211" s="48" t="inlineStr">
        <is>
          <t>항공</t>
        </is>
      </c>
      <c r="D1211" s="48" t="inlineStr">
        <is>
          <t>인천공항</t>
        </is>
      </c>
      <c r="E1211" s="46" t="inlineStr">
        <is>
          <t>ICN</t>
        </is>
      </c>
      <c r="F1211" s="48" t="inlineStr">
        <is>
          <t>로스앤젤레스공항</t>
        </is>
      </c>
      <c r="G1211" s="46" t="inlineStr">
        <is>
          <t>LAX</t>
        </is>
      </c>
      <c r="H1211" s="47" t="n">
        <v>45948</v>
      </c>
      <c r="I1211" s="52" t="n">
        <v>45950</v>
      </c>
      <c r="J1211" s="52" t="n">
        <v>45950</v>
      </c>
      <c r="K1211" s="53" t="n">
        <v>452.81</v>
      </c>
    </row>
    <row r="1212" ht="15" customHeight="1" s="32">
      <c r="A1212" s="46" t="inlineStr">
        <is>
          <t>L-HB-1211</t>
        </is>
      </c>
      <c r="B1212" s="46" t="inlineStr">
        <is>
          <t>R-HB-1211</t>
        </is>
      </c>
      <c r="C1212" s="48" t="inlineStr">
        <is>
          <t>항공</t>
        </is>
      </c>
      <c r="D1212" s="48" t="inlineStr">
        <is>
          <t>인천공항</t>
        </is>
      </c>
      <c r="E1212" s="46" t="inlineStr">
        <is>
          <t>ICN</t>
        </is>
      </c>
      <c r="F1212" s="48" t="inlineStr">
        <is>
          <t>선전공항</t>
        </is>
      </c>
      <c r="G1212" s="46" t="inlineStr">
        <is>
          <t>SZX</t>
        </is>
      </c>
      <c r="H1212" s="47" t="n">
        <v>45949</v>
      </c>
      <c r="I1212" s="52" t="n">
        <v>45950</v>
      </c>
      <c r="J1212" s="52" t="n">
        <v>45952</v>
      </c>
      <c r="K1212" s="53" t="n">
        <v>135</v>
      </c>
    </row>
    <row r="1213" ht="15" customHeight="1" s="32">
      <c r="A1213" s="46" t="inlineStr">
        <is>
          <t>L-HB-1212</t>
        </is>
      </c>
      <c r="B1213" s="46" t="inlineStr">
        <is>
          <t>R-HB-1212</t>
        </is>
      </c>
      <c r="C1213" s="48" t="inlineStr">
        <is>
          <t>항공</t>
        </is>
      </c>
      <c r="D1213" s="48" t="inlineStr">
        <is>
          <t>인천공항</t>
        </is>
      </c>
      <c r="E1213" s="46" t="inlineStr">
        <is>
          <t>ICN</t>
        </is>
      </c>
      <c r="F1213" s="48" t="inlineStr">
        <is>
          <t>토론토공항</t>
        </is>
      </c>
      <c r="G1213" s="46" t="inlineStr">
        <is>
          <t>YYZ</t>
        </is>
      </c>
      <c r="H1213" s="47" t="n">
        <v>45950</v>
      </c>
      <c r="I1213" s="52" t="n">
        <v>45953</v>
      </c>
      <c r="J1213" s="52" t="n">
        <v>45953</v>
      </c>
      <c r="K1213" s="53" t="n">
        <v>135</v>
      </c>
    </row>
    <row r="1214" ht="15" customHeight="1" s="32">
      <c r="A1214" s="46" t="inlineStr">
        <is>
          <t>L-HB-1213</t>
        </is>
      </c>
      <c r="B1214" s="46" t="inlineStr">
        <is>
          <t>R-HB-1213</t>
        </is>
      </c>
      <c r="C1214" s="48" t="inlineStr">
        <is>
          <t>항공</t>
        </is>
      </c>
      <c r="D1214" s="48" t="inlineStr">
        <is>
          <t>인천공항</t>
        </is>
      </c>
      <c r="E1214" s="46" t="inlineStr">
        <is>
          <t>ICN</t>
        </is>
      </c>
      <c r="F1214" s="48" t="inlineStr">
        <is>
          <t>프랑크푸르트공항</t>
        </is>
      </c>
      <c r="G1214" s="46" t="inlineStr">
        <is>
          <t>FRA</t>
        </is>
      </c>
      <c r="H1214" s="47" t="n">
        <v>45951</v>
      </c>
      <c r="I1214" s="52" t="n">
        <v>45955</v>
      </c>
      <c r="J1214" s="52" t="n">
        <v>45955</v>
      </c>
      <c r="K1214" s="53" t="n">
        <v>198.36</v>
      </c>
    </row>
    <row r="1215" ht="15" customHeight="1" s="32">
      <c r="A1215" s="46" t="inlineStr">
        <is>
          <t>L-HB-1214</t>
        </is>
      </c>
      <c r="B1215" s="46" t="inlineStr">
        <is>
          <t>R-HB-1214</t>
        </is>
      </c>
      <c r="C1215" s="48" t="inlineStr">
        <is>
          <t>해상</t>
        </is>
      </c>
      <c r="D1215" s="48" t="inlineStr">
        <is>
          <t>부산항</t>
        </is>
      </c>
      <c r="E1215" s="46" t="inlineStr">
        <is>
          <t>KRPUS</t>
        </is>
      </c>
      <c r="F1215" s="48" t="inlineStr">
        <is>
          <t>상하이항</t>
        </is>
      </c>
      <c r="G1215" s="46" t="inlineStr">
        <is>
          <t>CNSHA</t>
        </is>
      </c>
      <c r="H1215" s="47" t="n">
        <v>45951</v>
      </c>
      <c r="I1215" s="52" t="n">
        <v>45957</v>
      </c>
      <c r="J1215" s="52" t="n">
        <v>45956</v>
      </c>
      <c r="K1215" s="53" t="n">
        <v>530</v>
      </c>
    </row>
    <row r="1216" ht="15" customHeight="1" s="32">
      <c r="A1216" s="46" t="inlineStr">
        <is>
          <t>L-HB-1215</t>
        </is>
      </c>
      <c r="B1216" s="46" t="inlineStr">
        <is>
          <t>R-HB-1215</t>
        </is>
      </c>
      <c r="C1216" s="48" t="inlineStr">
        <is>
          <t>항공</t>
        </is>
      </c>
      <c r="D1216" s="48" t="inlineStr">
        <is>
          <t>인천공항</t>
        </is>
      </c>
      <c r="E1216" s="46" t="inlineStr">
        <is>
          <t>ICN</t>
        </is>
      </c>
      <c r="F1216" s="48" t="inlineStr">
        <is>
          <t>로스앤젤레스공항</t>
        </is>
      </c>
      <c r="G1216" s="46" t="inlineStr">
        <is>
          <t>LAX</t>
        </is>
      </c>
      <c r="H1216" s="47" t="n">
        <v>45954</v>
      </c>
      <c r="I1216" s="52" t="n">
        <v>45957</v>
      </c>
      <c r="J1216" s="52" t="n">
        <v>45956</v>
      </c>
      <c r="K1216" s="53" t="n">
        <v>135</v>
      </c>
    </row>
    <row r="1217" ht="15" customHeight="1" s="32">
      <c r="A1217" s="46" t="inlineStr">
        <is>
          <t>L-HB-1216</t>
        </is>
      </c>
      <c r="B1217" s="46" t="inlineStr">
        <is>
          <t>R-HB-1216</t>
        </is>
      </c>
      <c r="C1217" s="48" t="inlineStr">
        <is>
          <t>항공</t>
        </is>
      </c>
      <c r="D1217" s="48" t="inlineStr">
        <is>
          <t>인천공항</t>
        </is>
      </c>
      <c r="E1217" s="46" t="inlineStr">
        <is>
          <t>ICN</t>
        </is>
      </c>
      <c r="F1217" s="48" t="inlineStr">
        <is>
          <t>과달라하라공항</t>
        </is>
      </c>
      <c r="G1217" s="46" t="inlineStr">
        <is>
          <t>GDL</t>
        </is>
      </c>
      <c r="H1217" s="47" t="n">
        <v>45954</v>
      </c>
      <c r="I1217" s="52" t="n">
        <v>45959</v>
      </c>
      <c r="J1217" s="52" t="n">
        <v>45959</v>
      </c>
      <c r="K1217" s="53" t="n">
        <v>135</v>
      </c>
    </row>
    <row r="1218" ht="15" customHeight="1" s="32">
      <c r="A1218" s="46" t="inlineStr">
        <is>
          <t>L-HB-1217</t>
        </is>
      </c>
      <c r="B1218" s="46" t="inlineStr">
        <is>
          <t>R-HB-1217</t>
        </is>
      </c>
      <c r="C1218" s="48" t="inlineStr">
        <is>
          <t>항공</t>
        </is>
      </c>
      <c r="D1218" s="48" t="inlineStr">
        <is>
          <t>인천공항</t>
        </is>
      </c>
      <c r="E1218" s="46" t="inlineStr">
        <is>
          <t>ICN</t>
        </is>
      </c>
      <c r="F1218" s="48" t="inlineStr">
        <is>
          <t>로스앤젤레스공항</t>
        </is>
      </c>
      <c r="G1218" s="46" t="inlineStr">
        <is>
          <t>LAX</t>
        </is>
      </c>
      <c r="H1218" s="47" t="n">
        <v>45955</v>
      </c>
      <c r="I1218" s="52" t="n">
        <v>45957</v>
      </c>
      <c r="J1218" s="52" t="n">
        <v>45956</v>
      </c>
      <c r="K1218" s="53" t="n">
        <v>242.31</v>
      </c>
    </row>
    <row r="1219" ht="15" customHeight="1" s="32">
      <c r="A1219" s="46" t="inlineStr">
        <is>
          <t>L-HB-1218</t>
        </is>
      </c>
      <c r="B1219" s="46" t="inlineStr">
        <is>
          <t>R-HB-1218</t>
        </is>
      </c>
      <c r="C1219" s="48" t="inlineStr">
        <is>
          <t>항공</t>
        </is>
      </c>
      <c r="D1219" s="48" t="inlineStr">
        <is>
          <t>인천공항</t>
        </is>
      </c>
      <c r="E1219" s="46" t="inlineStr">
        <is>
          <t>ICN</t>
        </is>
      </c>
      <c r="F1219" s="48" t="inlineStr">
        <is>
          <t>시애틀공항</t>
        </is>
      </c>
      <c r="G1219" s="46" t="inlineStr">
        <is>
          <t>SEA</t>
        </is>
      </c>
      <c r="H1219" s="47" t="n">
        <v>45955</v>
      </c>
      <c r="I1219" s="52" t="n">
        <v>45957</v>
      </c>
      <c r="J1219" s="52" t="n">
        <v>45957</v>
      </c>
      <c r="K1219" s="53" t="n">
        <v>135</v>
      </c>
    </row>
    <row r="1220" ht="15" customHeight="1" s="32">
      <c r="A1220" s="46" t="inlineStr">
        <is>
          <t>L-HB-1219</t>
        </is>
      </c>
      <c r="B1220" s="46" t="inlineStr">
        <is>
          <t>R-HB-1219</t>
        </is>
      </c>
      <c r="C1220" s="48" t="inlineStr">
        <is>
          <t>항공</t>
        </is>
      </c>
      <c r="D1220" s="48" t="inlineStr">
        <is>
          <t>인천공항</t>
        </is>
      </c>
      <c r="E1220" s="46" t="inlineStr">
        <is>
          <t>ICN</t>
        </is>
      </c>
      <c r="F1220" s="48" t="inlineStr">
        <is>
          <t>델리공항</t>
        </is>
      </c>
      <c r="G1220" s="46" t="inlineStr">
        <is>
          <t>DEL</t>
        </is>
      </c>
      <c r="H1220" s="47" t="n">
        <v>45955</v>
      </c>
      <c r="I1220" s="52" t="n">
        <v>45959</v>
      </c>
      <c r="J1220" s="52" t="n">
        <v>45958</v>
      </c>
      <c r="K1220" s="53" t="n">
        <v>135</v>
      </c>
    </row>
    <row r="1221" ht="15" customHeight="1" s="32">
      <c r="A1221" s="46" t="inlineStr">
        <is>
          <t>L-HB-1220</t>
        </is>
      </c>
      <c r="B1221" s="46" t="inlineStr">
        <is>
          <t>R-HB-1220</t>
        </is>
      </c>
      <c r="C1221" s="48" t="inlineStr">
        <is>
          <t>항공</t>
        </is>
      </c>
      <c r="D1221" s="48" t="inlineStr">
        <is>
          <t>인천공항</t>
        </is>
      </c>
      <c r="E1221" s="46" t="inlineStr">
        <is>
          <t>ICN</t>
        </is>
      </c>
      <c r="F1221" s="48" t="inlineStr">
        <is>
          <t>과달라하라공항</t>
        </is>
      </c>
      <c r="G1221" s="46" t="inlineStr">
        <is>
          <t>GDL</t>
        </is>
      </c>
      <c r="H1221" s="47" t="n">
        <v>45956</v>
      </c>
      <c r="I1221" s="52" t="n">
        <v>45960</v>
      </c>
      <c r="J1221" s="52" t="n">
        <v>45960</v>
      </c>
      <c r="K1221" s="53" t="n">
        <v>135</v>
      </c>
    </row>
    <row r="1222" ht="15" customHeight="1" s="32">
      <c r="A1222" s="46" t="inlineStr">
        <is>
          <t>L-HB-1221</t>
        </is>
      </c>
      <c r="B1222" s="46" t="inlineStr">
        <is>
          <t>R-HB-1221</t>
        </is>
      </c>
      <c r="C1222" s="48" t="inlineStr">
        <is>
          <t>항공</t>
        </is>
      </c>
      <c r="D1222" s="48" t="inlineStr">
        <is>
          <t>인천공항</t>
        </is>
      </c>
      <c r="E1222" s="46" t="inlineStr">
        <is>
          <t>ICN</t>
        </is>
      </c>
      <c r="F1222" s="48" t="inlineStr">
        <is>
          <t>로스앤젤레스공항</t>
        </is>
      </c>
      <c r="G1222" s="46" t="inlineStr">
        <is>
          <t>LAX</t>
        </is>
      </c>
      <c r="H1222" s="47" t="n">
        <v>45957</v>
      </c>
      <c r="I1222" s="52" t="n">
        <v>45960</v>
      </c>
      <c r="J1222" s="52" t="n">
        <v>45960</v>
      </c>
      <c r="K1222" s="53" t="n">
        <v>151.71</v>
      </c>
    </row>
    <row r="1223" ht="15" customHeight="1" s="32">
      <c r="A1223" s="46" t="inlineStr">
        <is>
          <t>L-HB-1222</t>
        </is>
      </c>
      <c r="B1223" s="46" t="inlineStr">
        <is>
          <t>R-HB-1222</t>
        </is>
      </c>
      <c r="C1223" s="48" t="inlineStr">
        <is>
          <t>항공</t>
        </is>
      </c>
      <c r="D1223" s="48" t="inlineStr">
        <is>
          <t>인천공항</t>
        </is>
      </c>
      <c r="E1223" s="46" t="inlineStr">
        <is>
          <t>ICN</t>
        </is>
      </c>
      <c r="F1223" s="48" t="inlineStr">
        <is>
          <t>프랑크푸르트공항</t>
        </is>
      </c>
      <c r="G1223" s="46" t="inlineStr">
        <is>
          <t>FRA</t>
        </is>
      </c>
      <c r="H1223" s="47" t="n">
        <v>45957</v>
      </c>
      <c r="I1223" s="52" t="n">
        <v>45961</v>
      </c>
      <c r="J1223" s="52" t="n">
        <v>45961</v>
      </c>
      <c r="K1223" s="53" t="n">
        <v>138.2</v>
      </c>
    </row>
    <row r="1224" ht="15" customHeight="1" s="32">
      <c r="A1224" s="46" t="inlineStr">
        <is>
          <t>L-HB-1223</t>
        </is>
      </c>
      <c r="B1224" s="46" t="inlineStr">
        <is>
          <t>R-HB-1223</t>
        </is>
      </c>
      <c r="C1224" s="48" t="inlineStr">
        <is>
          <t>항공</t>
        </is>
      </c>
      <c r="D1224" s="48" t="inlineStr">
        <is>
          <t>인천공항</t>
        </is>
      </c>
      <c r="E1224" s="46" t="inlineStr">
        <is>
          <t>ICN</t>
        </is>
      </c>
      <c r="F1224" s="48" t="inlineStr">
        <is>
          <t>하노이공항</t>
        </is>
      </c>
      <c r="G1224" s="46" t="inlineStr">
        <is>
          <t>HAN</t>
        </is>
      </c>
      <c r="H1224" s="47" t="n">
        <v>45957</v>
      </c>
      <c r="I1224" s="52" t="n">
        <v>45959</v>
      </c>
      <c r="J1224" s="52" t="n">
        <v>45959</v>
      </c>
      <c r="K1224" s="53" t="n">
        <v>254.41</v>
      </c>
    </row>
    <row r="1225" ht="15" customHeight="1" s="32">
      <c r="A1225" s="46" t="inlineStr">
        <is>
          <t>L-HB-1224</t>
        </is>
      </c>
      <c r="B1225" s="46" t="inlineStr">
        <is>
          <t>R-HB-1224</t>
        </is>
      </c>
      <c r="C1225" s="48" t="inlineStr">
        <is>
          <t>항공</t>
        </is>
      </c>
      <c r="D1225" s="48" t="inlineStr">
        <is>
          <t>인천공항</t>
        </is>
      </c>
      <c r="E1225" s="46" t="inlineStr">
        <is>
          <t>ICN</t>
        </is>
      </c>
      <c r="F1225" s="48" t="inlineStr">
        <is>
          <t>델리공항</t>
        </is>
      </c>
      <c r="G1225" s="46" t="inlineStr">
        <is>
          <t>DEL</t>
        </is>
      </c>
      <c r="H1225" s="47" t="n">
        <v>45957</v>
      </c>
      <c r="I1225" s="52" t="n">
        <v>45961</v>
      </c>
      <c r="J1225" s="52" t="n">
        <v>45963</v>
      </c>
      <c r="K1225" s="53" t="n">
        <v>135</v>
      </c>
    </row>
    <row r="1226" ht="15" customHeight="1" s="32">
      <c r="A1226" s="46" t="inlineStr">
        <is>
          <t>L-HB-1225</t>
        </is>
      </c>
      <c r="B1226" s="46" t="inlineStr">
        <is>
          <t>R-HB-1225</t>
        </is>
      </c>
      <c r="C1226" s="48" t="inlineStr">
        <is>
          <t>항공</t>
        </is>
      </c>
      <c r="D1226" s="48" t="inlineStr">
        <is>
          <t>인천공항</t>
        </is>
      </c>
      <c r="E1226" s="46" t="inlineStr">
        <is>
          <t>ICN</t>
        </is>
      </c>
      <c r="F1226" s="48" t="inlineStr">
        <is>
          <t>하노이공항</t>
        </is>
      </c>
      <c r="G1226" s="46" t="inlineStr">
        <is>
          <t>HAN</t>
        </is>
      </c>
      <c r="H1226" s="47" t="n">
        <v>45966</v>
      </c>
      <c r="I1226" s="52" t="n">
        <v>45967</v>
      </c>
      <c r="J1226" s="52" t="n">
        <v>45967</v>
      </c>
      <c r="K1226" s="53" t="n">
        <v>135</v>
      </c>
    </row>
    <row r="1227" ht="15" customHeight="1" s="32">
      <c r="A1227" s="46" t="inlineStr">
        <is>
          <t>L-HB-1226</t>
        </is>
      </c>
      <c r="B1227" s="46" t="inlineStr">
        <is>
          <t>R-HB-1226</t>
        </is>
      </c>
      <c r="C1227" s="48" t="inlineStr">
        <is>
          <t>항공</t>
        </is>
      </c>
      <c r="D1227" s="48" t="inlineStr">
        <is>
          <t>인천공항</t>
        </is>
      </c>
      <c r="E1227" s="46" t="inlineStr">
        <is>
          <t>ICN</t>
        </is>
      </c>
      <c r="F1227" s="48" t="inlineStr">
        <is>
          <t>델리공항</t>
        </is>
      </c>
      <c r="G1227" s="46" t="inlineStr">
        <is>
          <t>DEL</t>
        </is>
      </c>
      <c r="H1227" s="47" t="n">
        <v>45967</v>
      </c>
      <c r="I1227" s="52" t="n">
        <v>45971</v>
      </c>
      <c r="J1227" s="52" t="n">
        <v>45971</v>
      </c>
      <c r="K1227" s="53" t="n">
        <v>135</v>
      </c>
    </row>
    <row r="1228" ht="15" customHeight="1" s="32">
      <c r="A1228" s="46" t="inlineStr">
        <is>
          <t>L-HB-1227</t>
        </is>
      </c>
      <c r="B1228" s="46" t="inlineStr">
        <is>
          <t>R-HB-1227</t>
        </is>
      </c>
      <c r="C1228" s="48" t="inlineStr">
        <is>
          <t>해상</t>
        </is>
      </c>
      <c r="D1228" s="48" t="inlineStr">
        <is>
          <t>부산항</t>
        </is>
      </c>
      <c r="E1228" s="46" t="inlineStr">
        <is>
          <t>KRPUS</t>
        </is>
      </c>
      <c r="F1228" s="48" t="inlineStr">
        <is>
          <t>서커우항</t>
        </is>
      </c>
      <c r="G1228" s="46" t="inlineStr">
        <is>
          <t>CNSHK</t>
        </is>
      </c>
      <c r="H1228" s="47" t="n">
        <v>45968</v>
      </c>
      <c r="I1228" s="52" t="n">
        <v>45973</v>
      </c>
      <c r="J1228" s="52" t="n">
        <v>45972</v>
      </c>
      <c r="K1228" s="53" t="n">
        <v>530</v>
      </c>
    </row>
    <row r="1229" ht="15" customHeight="1" s="32">
      <c r="A1229" s="46" t="inlineStr">
        <is>
          <t>L-HB-1228</t>
        </is>
      </c>
      <c r="B1229" s="46" t="inlineStr">
        <is>
          <t>R-HB-1228</t>
        </is>
      </c>
      <c r="C1229" s="48" t="inlineStr">
        <is>
          <t>항공</t>
        </is>
      </c>
      <c r="D1229" s="48" t="inlineStr">
        <is>
          <t>인천공항</t>
        </is>
      </c>
      <c r="E1229" s="46" t="inlineStr">
        <is>
          <t>ICN</t>
        </is>
      </c>
      <c r="F1229" s="48" t="inlineStr">
        <is>
          <t>충칭공항</t>
        </is>
      </c>
      <c r="G1229" s="46" t="inlineStr">
        <is>
          <t>CKG</t>
        </is>
      </c>
      <c r="H1229" s="47" t="n">
        <v>45968</v>
      </c>
      <c r="I1229" s="52" t="n">
        <v>45971</v>
      </c>
      <c r="J1229" s="52" t="n">
        <v>45971</v>
      </c>
      <c r="K1229" s="53" t="n">
        <v>135</v>
      </c>
    </row>
    <row r="1230" ht="15" customHeight="1" s="32">
      <c r="A1230" s="46" t="inlineStr">
        <is>
          <t>L-HB-1229</t>
        </is>
      </c>
      <c r="B1230" s="46" t="inlineStr">
        <is>
          <t>R-HB-1229</t>
        </is>
      </c>
      <c r="C1230" s="48" t="inlineStr">
        <is>
          <t>항공</t>
        </is>
      </c>
      <c r="D1230" s="48" t="inlineStr">
        <is>
          <t>인천공항</t>
        </is>
      </c>
      <c r="E1230" s="46" t="inlineStr">
        <is>
          <t>ICN</t>
        </is>
      </c>
      <c r="F1230" s="48" t="inlineStr">
        <is>
          <t>로스앤젤레스공항</t>
        </is>
      </c>
      <c r="G1230" s="46" t="inlineStr">
        <is>
          <t>LAX</t>
        </is>
      </c>
      <c r="H1230" s="47" t="n">
        <v>45969</v>
      </c>
      <c r="I1230" s="52" t="n">
        <v>45971</v>
      </c>
      <c r="J1230" s="52" t="n">
        <v>45971</v>
      </c>
      <c r="K1230" s="53" t="n">
        <v>442.11</v>
      </c>
    </row>
    <row r="1231" ht="15" customHeight="1" s="32">
      <c r="A1231" s="46" t="inlineStr">
        <is>
          <t>L-HB-1230</t>
        </is>
      </c>
      <c r="B1231" s="46" t="inlineStr">
        <is>
          <t>R-HB-1230</t>
        </is>
      </c>
      <c r="C1231" s="48" t="inlineStr">
        <is>
          <t>항공</t>
        </is>
      </c>
      <c r="D1231" s="48" t="inlineStr">
        <is>
          <t>인천공항</t>
        </is>
      </c>
      <c r="E1231" s="46" t="inlineStr">
        <is>
          <t>ICN</t>
        </is>
      </c>
      <c r="F1231" s="48" t="inlineStr">
        <is>
          <t>프랑크푸르트공항</t>
        </is>
      </c>
      <c r="G1231" s="46" t="inlineStr">
        <is>
          <t>FRA</t>
        </is>
      </c>
      <c r="H1231" s="47" t="n">
        <v>45969</v>
      </c>
      <c r="I1231" s="52" t="n">
        <v>45974</v>
      </c>
      <c r="J1231" s="52" t="n">
        <v>45974</v>
      </c>
      <c r="K1231" s="53" t="n">
        <v>139.71</v>
      </c>
    </row>
    <row r="1232" ht="15" customHeight="1" s="32">
      <c r="A1232" s="46" t="inlineStr">
        <is>
          <t>L-HB-1231</t>
        </is>
      </c>
      <c r="B1232" s="46" t="inlineStr">
        <is>
          <t>R-HB-1231</t>
        </is>
      </c>
      <c r="C1232" s="48" t="inlineStr">
        <is>
          <t>항공</t>
        </is>
      </c>
      <c r="D1232" s="48" t="inlineStr">
        <is>
          <t>인천공항</t>
        </is>
      </c>
      <c r="E1232" s="46" t="inlineStr">
        <is>
          <t>ICN</t>
        </is>
      </c>
      <c r="F1232" s="48" t="inlineStr">
        <is>
          <t>과달라하라공항</t>
        </is>
      </c>
      <c r="G1232" s="46" t="inlineStr">
        <is>
          <t>GDL</t>
        </is>
      </c>
      <c r="H1232" s="47" t="n">
        <v>45970</v>
      </c>
      <c r="I1232" s="52" t="n">
        <v>45974</v>
      </c>
      <c r="J1232" s="52" t="n">
        <v>45974</v>
      </c>
      <c r="K1232" s="53" t="n">
        <v>135</v>
      </c>
    </row>
    <row r="1233" ht="15" customHeight="1" s="32">
      <c r="A1233" s="46" t="inlineStr">
        <is>
          <t>L-HB-1232</t>
        </is>
      </c>
      <c r="B1233" s="46" t="inlineStr">
        <is>
          <t>R-HB-1232</t>
        </is>
      </c>
      <c r="C1233" s="48" t="inlineStr">
        <is>
          <t>항공</t>
        </is>
      </c>
      <c r="D1233" s="48" t="inlineStr">
        <is>
          <t>인천공항</t>
        </is>
      </c>
      <c r="E1233" s="46" t="inlineStr">
        <is>
          <t>ICN</t>
        </is>
      </c>
      <c r="F1233" s="48" t="inlineStr">
        <is>
          <t>시애틀공항</t>
        </is>
      </c>
      <c r="G1233" s="46" t="inlineStr">
        <is>
          <t>SEA</t>
        </is>
      </c>
      <c r="H1233" s="47" t="n">
        <v>45972</v>
      </c>
      <c r="I1233" s="52" t="n">
        <v>45975</v>
      </c>
      <c r="J1233" s="52" t="n">
        <v>45975</v>
      </c>
      <c r="K1233" s="53" t="n">
        <v>135</v>
      </c>
    </row>
    <row r="1234" ht="15" customHeight="1" s="32">
      <c r="A1234" s="46" t="inlineStr">
        <is>
          <t>L-HB-1233</t>
        </is>
      </c>
      <c r="B1234" s="46" t="inlineStr">
        <is>
          <t>R-HB-1233</t>
        </is>
      </c>
      <c r="C1234" s="48" t="inlineStr">
        <is>
          <t>항공</t>
        </is>
      </c>
      <c r="D1234" s="48" t="inlineStr">
        <is>
          <t>인천공항</t>
        </is>
      </c>
      <c r="E1234" s="46" t="inlineStr">
        <is>
          <t>ICN</t>
        </is>
      </c>
      <c r="F1234" s="48" t="inlineStr">
        <is>
          <t>시애틀공항</t>
        </is>
      </c>
      <c r="G1234" s="46" t="inlineStr">
        <is>
          <t>SEA</t>
        </is>
      </c>
      <c r="H1234" s="47" t="n">
        <v>45973</v>
      </c>
      <c r="I1234" s="52" t="n">
        <v>45976</v>
      </c>
      <c r="J1234" s="52" t="n">
        <v>45976</v>
      </c>
      <c r="K1234" s="53" t="n">
        <v>135</v>
      </c>
    </row>
    <row r="1235" ht="15" customHeight="1" s="32">
      <c r="A1235" s="46" t="inlineStr">
        <is>
          <t>L-HB-1234</t>
        </is>
      </c>
      <c r="B1235" s="46" t="inlineStr">
        <is>
          <t>R-HB-1234</t>
        </is>
      </c>
      <c r="C1235" s="48" t="inlineStr">
        <is>
          <t>항공</t>
        </is>
      </c>
      <c r="D1235" s="48" t="inlineStr">
        <is>
          <t>인천공항</t>
        </is>
      </c>
      <c r="E1235" s="46" t="inlineStr">
        <is>
          <t>ICN</t>
        </is>
      </c>
      <c r="F1235" s="48" t="inlineStr">
        <is>
          <t>과달라하라공항</t>
        </is>
      </c>
      <c r="G1235" s="46" t="inlineStr">
        <is>
          <t>GDL</t>
        </is>
      </c>
      <c r="H1235" s="47" t="n">
        <v>45973</v>
      </c>
      <c r="I1235" s="52" t="n">
        <v>45977</v>
      </c>
      <c r="J1235" s="52" t="n">
        <v>45977</v>
      </c>
      <c r="K1235" s="53" t="n">
        <v>135</v>
      </c>
    </row>
    <row r="1236" ht="15" customHeight="1" s="32">
      <c r="A1236" s="46" t="inlineStr">
        <is>
          <t>L-HB-1235</t>
        </is>
      </c>
      <c r="B1236" s="46" t="inlineStr">
        <is>
          <t>R-HB-1235</t>
        </is>
      </c>
      <c r="C1236" s="48" t="inlineStr">
        <is>
          <t>항공</t>
        </is>
      </c>
      <c r="D1236" s="48" t="inlineStr">
        <is>
          <t>인천공항</t>
        </is>
      </c>
      <c r="E1236" s="46" t="inlineStr">
        <is>
          <t>ICN</t>
        </is>
      </c>
      <c r="F1236" s="48" t="inlineStr">
        <is>
          <t>프랑크푸르트공항</t>
        </is>
      </c>
      <c r="G1236" s="46" t="inlineStr">
        <is>
          <t>FRA</t>
        </is>
      </c>
      <c r="H1236" s="47" t="n">
        <v>45973</v>
      </c>
      <c r="I1236" s="52" t="n">
        <v>45976</v>
      </c>
      <c r="J1236" s="52" t="n">
        <v>45976</v>
      </c>
      <c r="K1236" s="53" t="n">
        <v>215.82</v>
      </c>
    </row>
    <row r="1237" ht="15" customHeight="1" s="32">
      <c r="A1237" s="46" t="inlineStr">
        <is>
          <t>L-HB-1236</t>
        </is>
      </c>
      <c r="B1237" s="46" t="inlineStr">
        <is>
          <t>R-HB-1236</t>
        </is>
      </c>
      <c r="C1237" s="48" t="inlineStr">
        <is>
          <t>항공</t>
        </is>
      </c>
      <c r="D1237" s="48" t="inlineStr">
        <is>
          <t>인천공항</t>
        </is>
      </c>
      <c r="E1237" s="46" t="inlineStr">
        <is>
          <t>ICN</t>
        </is>
      </c>
      <c r="F1237" s="48" t="inlineStr">
        <is>
          <t>하노이공항</t>
        </is>
      </c>
      <c r="G1237" s="46" t="inlineStr">
        <is>
          <t>HAN</t>
        </is>
      </c>
      <c r="H1237" s="47" t="n">
        <v>45973</v>
      </c>
      <c r="I1237" s="52" t="n">
        <v>45976</v>
      </c>
      <c r="J1237" s="52" t="n">
        <v>45976</v>
      </c>
      <c r="K1237" s="53" t="n">
        <v>249.64</v>
      </c>
    </row>
    <row r="1238" ht="15" customHeight="1" s="32">
      <c r="A1238" s="46" t="inlineStr">
        <is>
          <t>L-HB-1237</t>
        </is>
      </c>
      <c r="B1238" s="46" t="inlineStr">
        <is>
          <t>R-HB-1237</t>
        </is>
      </c>
      <c r="C1238" s="48" t="inlineStr">
        <is>
          <t>해상</t>
        </is>
      </c>
      <c r="D1238" s="48" t="inlineStr">
        <is>
          <t>부산항</t>
        </is>
      </c>
      <c r="E1238" s="46" t="inlineStr">
        <is>
          <t>KRPUS</t>
        </is>
      </c>
      <c r="F1238" s="48" t="inlineStr">
        <is>
          <t>하이퐁항</t>
        </is>
      </c>
      <c r="G1238" s="46" t="inlineStr">
        <is>
          <t>VNHPH</t>
        </is>
      </c>
      <c r="H1238" s="47" t="n">
        <v>45973</v>
      </c>
      <c r="I1238" s="52" t="n">
        <v>45982</v>
      </c>
      <c r="J1238" s="52" t="n">
        <v>45981</v>
      </c>
      <c r="K1238" s="53" t="n">
        <v>530</v>
      </c>
    </row>
    <row r="1239" ht="15" customHeight="1" s="32">
      <c r="A1239" s="46" t="inlineStr">
        <is>
          <t>L-HB-1238</t>
        </is>
      </c>
      <c r="B1239" s="46" t="inlineStr">
        <is>
          <t>R-HB-1238</t>
        </is>
      </c>
      <c r="C1239" s="48" t="inlineStr">
        <is>
          <t>항공</t>
        </is>
      </c>
      <c r="D1239" s="48" t="inlineStr">
        <is>
          <t>인천공항</t>
        </is>
      </c>
      <c r="E1239" s="46" t="inlineStr">
        <is>
          <t>ICN</t>
        </is>
      </c>
      <c r="F1239" s="48" t="inlineStr">
        <is>
          <t>충칭공항</t>
        </is>
      </c>
      <c r="G1239" s="46" t="inlineStr">
        <is>
          <t>CKG</t>
        </is>
      </c>
      <c r="H1239" s="47" t="n">
        <v>45973</v>
      </c>
      <c r="I1239" s="52" t="n">
        <v>45976</v>
      </c>
      <c r="J1239" s="52" t="n">
        <v>45976</v>
      </c>
      <c r="K1239" s="53" t="n">
        <v>234.64</v>
      </c>
    </row>
    <row r="1240" ht="15" customHeight="1" s="32">
      <c r="A1240" s="46" t="inlineStr">
        <is>
          <t>L-HB-1239</t>
        </is>
      </c>
      <c r="B1240" s="46" t="inlineStr">
        <is>
          <t>R-HB-1239</t>
        </is>
      </c>
      <c r="C1240" s="48" t="inlineStr">
        <is>
          <t>항공</t>
        </is>
      </c>
      <c r="D1240" s="48" t="inlineStr">
        <is>
          <t>인천공항</t>
        </is>
      </c>
      <c r="E1240" s="46" t="inlineStr">
        <is>
          <t>ICN</t>
        </is>
      </c>
      <c r="F1240" s="48" t="inlineStr">
        <is>
          <t>델리공항</t>
        </is>
      </c>
      <c r="G1240" s="46" t="inlineStr">
        <is>
          <t>DEL</t>
        </is>
      </c>
      <c r="H1240" s="47" t="n">
        <v>45974</v>
      </c>
      <c r="I1240" s="52" t="n">
        <v>45977</v>
      </c>
      <c r="J1240" s="52" t="n">
        <v>45977</v>
      </c>
      <c r="K1240" s="53" t="n">
        <v>135</v>
      </c>
    </row>
    <row r="1241" ht="15" customHeight="1" s="32">
      <c r="A1241" s="46" t="inlineStr">
        <is>
          <t>L-HB-1240</t>
        </is>
      </c>
      <c r="B1241" s="46" t="inlineStr">
        <is>
          <t>R-HB-1240</t>
        </is>
      </c>
      <c r="C1241" s="48" t="inlineStr">
        <is>
          <t>항공</t>
        </is>
      </c>
      <c r="D1241" s="48" t="inlineStr">
        <is>
          <t>인천공항</t>
        </is>
      </c>
      <c r="E1241" s="46" t="inlineStr">
        <is>
          <t>ICN</t>
        </is>
      </c>
      <c r="F1241" s="48" t="inlineStr">
        <is>
          <t>선전공항</t>
        </is>
      </c>
      <c r="G1241" s="46" t="inlineStr">
        <is>
          <t>SZX</t>
        </is>
      </c>
      <c r="H1241" s="47" t="n">
        <v>45974</v>
      </c>
      <c r="I1241" s="52" t="n">
        <v>45976</v>
      </c>
      <c r="J1241" s="52" t="n">
        <v>45976</v>
      </c>
      <c r="K1241" s="53" t="n">
        <v>375.46</v>
      </c>
    </row>
    <row r="1242" ht="15" customHeight="1" s="32">
      <c r="A1242" s="46" t="inlineStr">
        <is>
          <t>L-HB-1241</t>
        </is>
      </c>
      <c r="B1242" s="46" t="inlineStr">
        <is>
          <t>R-HB-1241</t>
        </is>
      </c>
      <c r="C1242" s="48" t="inlineStr">
        <is>
          <t>항공</t>
        </is>
      </c>
      <c r="D1242" s="48" t="inlineStr">
        <is>
          <t>인천공항</t>
        </is>
      </c>
      <c r="E1242" s="46" t="inlineStr">
        <is>
          <t>ICN</t>
        </is>
      </c>
      <c r="F1242" s="48" t="inlineStr">
        <is>
          <t>충칭공항</t>
        </is>
      </c>
      <c r="G1242" s="46" t="inlineStr">
        <is>
          <t>CKG</t>
        </is>
      </c>
      <c r="H1242" s="47" t="n">
        <v>45975</v>
      </c>
      <c r="I1242" s="52" t="n">
        <v>45978</v>
      </c>
      <c r="J1242" s="52" t="n">
        <v>45978</v>
      </c>
      <c r="K1242" s="53" t="n">
        <v>135</v>
      </c>
    </row>
    <row r="1243" ht="15" customHeight="1" s="32">
      <c r="A1243" s="46" t="inlineStr">
        <is>
          <t>L-HB-1242</t>
        </is>
      </c>
      <c r="B1243" s="46" t="inlineStr">
        <is>
          <t>R-HB-1242</t>
        </is>
      </c>
      <c r="C1243" s="48" t="inlineStr">
        <is>
          <t>항공</t>
        </is>
      </c>
      <c r="D1243" s="48" t="inlineStr">
        <is>
          <t>인천공항</t>
        </is>
      </c>
      <c r="E1243" s="46" t="inlineStr">
        <is>
          <t>ICN</t>
        </is>
      </c>
      <c r="F1243" s="48" t="inlineStr">
        <is>
          <t>로스앤젤레스공항</t>
        </is>
      </c>
      <c r="G1243" s="46" t="inlineStr">
        <is>
          <t>LAX</t>
        </is>
      </c>
      <c r="H1243" s="47" t="n">
        <v>45976</v>
      </c>
      <c r="I1243" s="52" t="n">
        <v>45980</v>
      </c>
      <c r="J1243" s="52" t="n">
        <v>45980</v>
      </c>
      <c r="K1243" s="53" t="n">
        <v>219.41</v>
      </c>
    </row>
    <row r="1244" ht="15" customHeight="1" s="32">
      <c r="A1244" s="46" t="inlineStr">
        <is>
          <t>L-HB-1243</t>
        </is>
      </c>
      <c r="B1244" s="46" t="inlineStr">
        <is>
          <t>R-HB-1243</t>
        </is>
      </c>
      <c r="C1244" s="48" t="inlineStr">
        <is>
          <t>항공</t>
        </is>
      </c>
      <c r="D1244" s="48" t="inlineStr">
        <is>
          <t>인천공항</t>
        </is>
      </c>
      <c r="E1244" s="46" t="inlineStr">
        <is>
          <t>ICN</t>
        </is>
      </c>
      <c r="F1244" s="48" t="inlineStr">
        <is>
          <t>하노이공항</t>
        </is>
      </c>
      <c r="G1244" s="46" t="inlineStr">
        <is>
          <t>HAN</t>
        </is>
      </c>
      <c r="H1244" s="47" t="n">
        <v>45976</v>
      </c>
      <c r="I1244" s="52" t="n">
        <v>45977</v>
      </c>
      <c r="J1244" s="52" t="n">
        <v>45977</v>
      </c>
      <c r="K1244" s="53" t="n">
        <v>135</v>
      </c>
    </row>
    <row r="1245" ht="15" customHeight="1" s="32">
      <c r="A1245" s="46" t="inlineStr">
        <is>
          <t>L-HB-1244</t>
        </is>
      </c>
      <c r="B1245" s="46" t="inlineStr">
        <is>
          <t>R-HB-1244</t>
        </is>
      </c>
      <c r="C1245" s="48" t="inlineStr">
        <is>
          <t>해상</t>
        </is>
      </c>
      <c r="D1245" s="48" t="inlineStr">
        <is>
          <t>부산항</t>
        </is>
      </c>
      <c r="E1245" s="46" t="inlineStr">
        <is>
          <t>KRPUS</t>
        </is>
      </c>
      <c r="F1245" s="48" t="inlineStr">
        <is>
          <t>상하이항</t>
        </is>
      </c>
      <c r="G1245" s="46" t="inlineStr">
        <is>
          <t>CNSHA</t>
        </is>
      </c>
      <c r="H1245" s="47" t="n">
        <v>45977</v>
      </c>
      <c r="I1245" s="52" t="n">
        <v>45984</v>
      </c>
      <c r="J1245" s="52" t="n">
        <v>45984</v>
      </c>
      <c r="K1245" s="53" t="n">
        <v>530</v>
      </c>
    </row>
    <row r="1246" ht="15" customHeight="1" s="32">
      <c r="A1246" s="46" t="inlineStr">
        <is>
          <t>L-HB-1245</t>
        </is>
      </c>
      <c r="B1246" s="46" t="inlineStr">
        <is>
          <t>R-HB-1245</t>
        </is>
      </c>
      <c r="C1246" s="48" t="inlineStr">
        <is>
          <t>항공</t>
        </is>
      </c>
      <c r="D1246" s="48" t="inlineStr">
        <is>
          <t>인천공항</t>
        </is>
      </c>
      <c r="E1246" s="46" t="inlineStr">
        <is>
          <t>ICN</t>
        </is>
      </c>
      <c r="F1246" s="48" t="inlineStr">
        <is>
          <t>토론토공항</t>
        </is>
      </c>
      <c r="G1246" s="46" t="inlineStr">
        <is>
          <t>YYZ</t>
        </is>
      </c>
      <c r="H1246" s="47" t="n">
        <v>45978</v>
      </c>
      <c r="I1246" s="52" t="n">
        <v>45983</v>
      </c>
      <c r="J1246" s="52" t="n">
        <v>45983</v>
      </c>
      <c r="K1246" s="53" t="n">
        <v>135</v>
      </c>
    </row>
    <row r="1247" ht="15" customHeight="1" s="32">
      <c r="A1247" s="46" t="inlineStr">
        <is>
          <t>L-HB-1246</t>
        </is>
      </c>
      <c r="B1247" s="46" t="inlineStr">
        <is>
          <t>R-HB-1246</t>
        </is>
      </c>
      <c r="C1247" s="48" t="inlineStr">
        <is>
          <t>항공</t>
        </is>
      </c>
      <c r="D1247" s="48" t="inlineStr">
        <is>
          <t>인천공항</t>
        </is>
      </c>
      <c r="E1247" s="46" t="inlineStr">
        <is>
          <t>ICN</t>
        </is>
      </c>
      <c r="F1247" s="48" t="inlineStr">
        <is>
          <t>토론토공항</t>
        </is>
      </c>
      <c r="G1247" s="46" t="inlineStr">
        <is>
          <t>YYZ</t>
        </is>
      </c>
      <c r="H1247" s="47" t="n">
        <v>45980</v>
      </c>
      <c r="I1247" s="52" t="n">
        <v>45985</v>
      </c>
      <c r="J1247" s="52" t="n">
        <v>45985</v>
      </c>
      <c r="K1247" s="53" t="n">
        <v>135</v>
      </c>
    </row>
    <row r="1248" ht="15" customHeight="1" s="32">
      <c r="A1248" s="46" t="inlineStr">
        <is>
          <t>L-HB-1247</t>
        </is>
      </c>
      <c r="B1248" s="46" t="inlineStr">
        <is>
          <t>R-HB-1247</t>
        </is>
      </c>
      <c r="C1248" s="48" t="inlineStr">
        <is>
          <t>항공</t>
        </is>
      </c>
      <c r="D1248" s="48" t="inlineStr">
        <is>
          <t>인천공항</t>
        </is>
      </c>
      <c r="E1248" s="46" t="inlineStr">
        <is>
          <t>ICN</t>
        </is>
      </c>
      <c r="F1248" s="48" t="inlineStr">
        <is>
          <t>과달라하라공항</t>
        </is>
      </c>
      <c r="G1248" s="46" t="inlineStr">
        <is>
          <t>GDL</t>
        </is>
      </c>
      <c r="H1248" s="47" t="n">
        <v>45981</v>
      </c>
      <c r="I1248" s="52" t="n">
        <v>45985</v>
      </c>
      <c r="J1248" s="52" t="n">
        <v>45985</v>
      </c>
      <c r="K1248" s="53" t="n">
        <v>135.76</v>
      </c>
    </row>
    <row r="1249" ht="15" customHeight="1" s="32">
      <c r="A1249" s="46" t="inlineStr">
        <is>
          <t>L-HB-1248</t>
        </is>
      </c>
      <c r="B1249" s="46" t="inlineStr">
        <is>
          <t>R-HB-1248</t>
        </is>
      </c>
      <c r="C1249" s="48" t="inlineStr">
        <is>
          <t>항공</t>
        </is>
      </c>
      <c r="D1249" s="48" t="inlineStr">
        <is>
          <t>인천공항</t>
        </is>
      </c>
      <c r="E1249" s="46" t="inlineStr">
        <is>
          <t>ICN</t>
        </is>
      </c>
      <c r="F1249" s="48" t="inlineStr">
        <is>
          <t>프랑크푸르트공항</t>
        </is>
      </c>
      <c r="G1249" s="46" t="inlineStr">
        <is>
          <t>FRA</t>
        </is>
      </c>
      <c r="H1249" s="47" t="n">
        <v>45981</v>
      </c>
      <c r="I1249" s="52" t="n">
        <v>45985</v>
      </c>
      <c r="J1249" s="52" t="n">
        <v>45985</v>
      </c>
      <c r="K1249" s="53" t="n">
        <v>135</v>
      </c>
    </row>
    <row r="1250" ht="15" customHeight="1" s="32">
      <c r="A1250" s="46" t="inlineStr">
        <is>
          <t>L-HB-1249</t>
        </is>
      </c>
      <c r="B1250" s="46" t="inlineStr">
        <is>
          <t>R-HB-1249</t>
        </is>
      </c>
      <c r="C1250" s="48" t="inlineStr">
        <is>
          <t>항공</t>
        </is>
      </c>
      <c r="D1250" s="48" t="inlineStr">
        <is>
          <t>인천공항</t>
        </is>
      </c>
      <c r="E1250" s="46" t="inlineStr">
        <is>
          <t>ICN</t>
        </is>
      </c>
      <c r="F1250" s="48" t="inlineStr">
        <is>
          <t>로스앤젤레스공항</t>
        </is>
      </c>
      <c r="G1250" s="46" t="inlineStr">
        <is>
          <t>LAX</t>
        </is>
      </c>
      <c r="H1250" s="47" t="n">
        <v>45982</v>
      </c>
      <c r="I1250" s="52" t="n">
        <v>45986</v>
      </c>
      <c r="J1250" s="52" t="n">
        <v>45986</v>
      </c>
      <c r="K1250" s="53" t="n">
        <v>141.76</v>
      </c>
    </row>
    <row r="1251" ht="15" customHeight="1" s="32">
      <c r="A1251" s="46" t="inlineStr">
        <is>
          <t>L-HB-1250</t>
        </is>
      </c>
      <c r="B1251" s="46" t="inlineStr">
        <is>
          <t>R-HB-1250</t>
        </is>
      </c>
      <c r="C1251" s="48" t="inlineStr">
        <is>
          <t>항공</t>
        </is>
      </c>
      <c r="D1251" s="48" t="inlineStr">
        <is>
          <t>인천공항</t>
        </is>
      </c>
      <c r="E1251" s="46" t="inlineStr">
        <is>
          <t>ICN</t>
        </is>
      </c>
      <c r="F1251" s="48" t="inlineStr">
        <is>
          <t>델리공항</t>
        </is>
      </c>
      <c r="G1251" s="46" t="inlineStr">
        <is>
          <t>DEL</t>
        </is>
      </c>
      <c r="H1251" s="47" t="n">
        <v>45982</v>
      </c>
      <c r="I1251" s="52" t="n">
        <v>45984</v>
      </c>
      <c r="J1251" s="52" t="n">
        <v>45984</v>
      </c>
      <c r="K1251" s="53" t="n">
        <v>221.74</v>
      </c>
    </row>
    <row r="1252" ht="15" customHeight="1" s="32">
      <c r="A1252" s="46" t="inlineStr">
        <is>
          <t>L-HB-1251</t>
        </is>
      </c>
      <c r="B1252" s="46" t="inlineStr">
        <is>
          <t>R-HB-1251</t>
        </is>
      </c>
      <c r="C1252" s="48" t="inlineStr">
        <is>
          <t>항공</t>
        </is>
      </c>
      <c r="D1252" s="48" t="inlineStr">
        <is>
          <t>인천공항</t>
        </is>
      </c>
      <c r="E1252" s="46" t="inlineStr">
        <is>
          <t>ICN</t>
        </is>
      </c>
      <c r="F1252" s="48" t="inlineStr">
        <is>
          <t>시애틀공항</t>
        </is>
      </c>
      <c r="G1252" s="46" t="inlineStr">
        <is>
          <t>SEA</t>
        </is>
      </c>
      <c r="H1252" s="47" t="n">
        <v>45983</v>
      </c>
      <c r="I1252" s="52" t="n">
        <v>45985</v>
      </c>
      <c r="J1252" s="52" t="n">
        <v>45985</v>
      </c>
      <c r="K1252" s="53" t="n">
        <v>135</v>
      </c>
    </row>
    <row r="1253" ht="15" customHeight="1" s="32">
      <c r="A1253" s="46" t="inlineStr">
        <is>
          <t>L-HB-1252</t>
        </is>
      </c>
      <c r="B1253" s="46" t="inlineStr">
        <is>
          <t>R-HB-1252</t>
        </is>
      </c>
      <c r="C1253" s="48" t="inlineStr">
        <is>
          <t>항공</t>
        </is>
      </c>
      <c r="D1253" s="48" t="inlineStr">
        <is>
          <t>인천공항</t>
        </is>
      </c>
      <c r="E1253" s="46" t="inlineStr">
        <is>
          <t>ICN</t>
        </is>
      </c>
      <c r="F1253" s="48" t="inlineStr">
        <is>
          <t>토론토공항</t>
        </is>
      </c>
      <c r="G1253" s="46" t="inlineStr">
        <is>
          <t>YYZ</t>
        </is>
      </c>
      <c r="H1253" s="47" t="n">
        <v>45983</v>
      </c>
      <c r="I1253" s="52" t="n">
        <v>45986</v>
      </c>
      <c r="J1253" s="52" t="n">
        <v>45986</v>
      </c>
      <c r="K1253" s="53" t="n">
        <v>135</v>
      </c>
    </row>
    <row r="1254" ht="15" customHeight="1" s="32">
      <c r="A1254" s="46" t="inlineStr">
        <is>
          <t>L-HB-1253</t>
        </is>
      </c>
      <c r="B1254" s="46" t="inlineStr">
        <is>
          <t>R-HB-1253</t>
        </is>
      </c>
      <c r="C1254" s="48" t="inlineStr">
        <is>
          <t>항공</t>
        </is>
      </c>
      <c r="D1254" s="48" t="inlineStr">
        <is>
          <t>인천공항</t>
        </is>
      </c>
      <c r="E1254" s="46" t="inlineStr">
        <is>
          <t>ICN</t>
        </is>
      </c>
      <c r="F1254" s="48" t="inlineStr">
        <is>
          <t>프랑크푸르트공항</t>
        </is>
      </c>
      <c r="G1254" s="46" t="inlineStr">
        <is>
          <t>FRA</t>
        </is>
      </c>
      <c r="H1254" s="47" t="n">
        <v>45983</v>
      </c>
      <c r="I1254" s="52" t="n">
        <v>45987</v>
      </c>
      <c r="J1254" s="52" t="n">
        <v>45987</v>
      </c>
      <c r="K1254" s="53" t="n">
        <v>433.71</v>
      </c>
    </row>
    <row r="1255" ht="15" customHeight="1" s="32">
      <c r="A1255" s="46" t="inlineStr">
        <is>
          <t>L-HB-1254</t>
        </is>
      </c>
      <c r="B1255" s="46" t="inlineStr">
        <is>
          <t>R-HB-1254</t>
        </is>
      </c>
      <c r="C1255" s="48" t="inlineStr">
        <is>
          <t>항공</t>
        </is>
      </c>
      <c r="D1255" s="48" t="inlineStr">
        <is>
          <t>인천공항</t>
        </is>
      </c>
      <c r="E1255" s="46" t="inlineStr">
        <is>
          <t>ICN</t>
        </is>
      </c>
      <c r="F1255" s="48" t="inlineStr">
        <is>
          <t>선전공항</t>
        </is>
      </c>
      <c r="G1255" s="46" t="inlineStr">
        <is>
          <t>SZX</t>
        </is>
      </c>
      <c r="H1255" s="47" t="n">
        <v>45983</v>
      </c>
      <c r="I1255" s="52" t="n">
        <v>45985</v>
      </c>
      <c r="J1255" s="52" t="n">
        <v>45985</v>
      </c>
      <c r="K1255" s="53" t="n">
        <v>135</v>
      </c>
    </row>
    <row r="1256" ht="15" customHeight="1" s="32">
      <c r="A1256" s="46" t="inlineStr">
        <is>
          <t>L-HB-1255</t>
        </is>
      </c>
      <c r="B1256" s="46" t="inlineStr">
        <is>
          <t>R-HB-1255</t>
        </is>
      </c>
      <c r="C1256" s="48" t="inlineStr">
        <is>
          <t>항공</t>
        </is>
      </c>
      <c r="D1256" s="48" t="inlineStr">
        <is>
          <t>인천공항</t>
        </is>
      </c>
      <c r="E1256" s="46" t="inlineStr">
        <is>
          <t>ICN</t>
        </is>
      </c>
      <c r="F1256" s="48" t="inlineStr">
        <is>
          <t>과달라하라공항</t>
        </is>
      </c>
      <c r="G1256" s="46" t="inlineStr">
        <is>
          <t>GDL</t>
        </is>
      </c>
      <c r="H1256" s="47" t="n">
        <v>45984</v>
      </c>
      <c r="I1256" s="52" t="n">
        <v>45987</v>
      </c>
      <c r="J1256" s="52" t="n">
        <v>45987</v>
      </c>
      <c r="K1256" s="53" t="n">
        <v>135</v>
      </c>
    </row>
    <row r="1257" ht="15" customHeight="1" s="32">
      <c r="A1257" s="46" t="inlineStr">
        <is>
          <t>L-HB-1256</t>
        </is>
      </c>
      <c r="B1257" s="46" t="inlineStr">
        <is>
          <t>R-HB-1256</t>
        </is>
      </c>
      <c r="C1257" s="48" t="inlineStr">
        <is>
          <t>항공</t>
        </is>
      </c>
      <c r="D1257" s="48" t="inlineStr">
        <is>
          <t>인천공항</t>
        </is>
      </c>
      <c r="E1257" s="46" t="inlineStr">
        <is>
          <t>ICN</t>
        </is>
      </c>
      <c r="F1257" s="48" t="inlineStr">
        <is>
          <t>토론토공항</t>
        </is>
      </c>
      <c r="G1257" s="46" t="inlineStr">
        <is>
          <t>YYZ</t>
        </is>
      </c>
      <c r="H1257" s="47" t="n">
        <v>45984</v>
      </c>
      <c r="I1257" s="52" t="n">
        <v>45987</v>
      </c>
      <c r="J1257" s="52" t="n">
        <v>45988</v>
      </c>
      <c r="K1257" s="53" t="n">
        <v>135</v>
      </c>
    </row>
    <row r="1258" ht="15" customHeight="1" s="32">
      <c r="A1258" s="46" t="inlineStr">
        <is>
          <t>L-HB-1257</t>
        </is>
      </c>
      <c r="B1258" s="46" t="inlineStr">
        <is>
          <t>R-HB-1257</t>
        </is>
      </c>
      <c r="C1258" s="48" t="inlineStr">
        <is>
          <t>항공</t>
        </is>
      </c>
      <c r="D1258" s="48" t="inlineStr">
        <is>
          <t>인천공항</t>
        </is>
      </c>
      <c r="E1258" s="46" t="inlineStr">
        <is>
          <t>ICN</t>
        </is>
      </c>
      <c r="F1258" s="48" t="inlineStr">
        <is>
          <t>델리공항</t>
        </is>
      </c>
      <c r="G1258" s="46" t="inlineStr">
        <is>
          <t>DEL</t>
        </is>
      </c>
      <c r="H1258" s="47" t="n">
        <v>45984</v>
      </c>
      <c r="I1258" s="52" t="n">
        <v>45986</v>
      </c>
      <c r="J1258" s="52" t="n">
        <v>45986</v>
      </c>
      <c r="K1258" s="53" t="n">
        <v>135</v>
      </c>
    </row>
    <row r="1259" ht="15" customHeight="1" s="32">
      <c r="A1259" s="46" t="inlineStr">
        <is>
          <t>L-HB-1258</t>
        </is>
      </c>
      <c r="B1259" s="46" t="inlineStr">
        <is>
          <t>R-HB-1258</t>
        </is>
      </c>
      <c r="C1259" s="48" t="inlineStr">
        <is>
          <t>항공</t>
        </is>
      </c>
      <c r="D1259" s="48" t="inlineStr">
        <is>
          <t>인천공항</t>
        </is>
      </c>
      <c r="E1259" s="46" t="inlineStr">
        <is>
          <t>ICN</t>
        </is>
      </c>
      <c r="F1259" s="48" t="inlineStr">
        <is>
          <t>로스앤젤레스공항</t>
        </is>
      </c>
      <c r="G1259" s="46" t="inlineStr">
        <is>
          <t>LAX</t>
        </is>
      </c>
      <c r="H1259" s="47" t="n">
        <v>45985</v>
      </c>
      <c r="I1259" s="52" t="n">
        <v>45987</v>
      </c>
      <c r="J1259" s="52" t="n">
        <v>45987</v>
      </c>
      <c r="K1259" s="53" t="n">
        <v>135</v>
      </c>
    </row>
    <row r="1260" ht="15" customHeight="1" s="32">
      <c r="A1260" s="46" t="inlineStr">
        <is>
          <t>L-HB-1259</t>
        </is>
      </c>
      <c r="B1260" s="46" t="inlineStr">
        <is>
          <t>R-HB-1259</t>
        </is>
      </c>
      <c r="C1260" s="48" t="inlineStr">
        <is>
          <t>항공</t>
        </is>
      </c>
      <c r="D1260" s="48" t="inlineStr">
        <is>
          <t>인천공항</t>
        </is>
      </c>
      <c r="E1260" s="46" t="inlineStr">
        <is>
          <t>ICN</t>
        </is>
      </c>
      <c r="F1260" s="48" t="inlineStr">
        <is>
          <t>시애틀공항</t>
        </is>
      </c>
      <c r="G1260" s="46" t="inlineStr">
        <is>
          <t>SEA</t>
        </is>
      </c>
      <c r="H1260" s="47" t="n">
        <v>45985</v>
      </c>
      <c r="I1260" s="52" t="n">
        <v>45987</v>
      </c>
      <c r="J1260" s="52" t="n">
        <v>45987</v>
      </c>
      <c r="K1260" s="53" t="n">
        <v>254.83</v>
      </c>
    </row>
    <row r="1261" ht="15" customHeight="1" s="32">
      <c r="A1261" s="46" t="inlineStr">
        <is>
          <t>L-HB-1260</t>
        </is>
      </c>
      <c r="B1261" s="46" t="inlineStr">
        <is>
          <t>R-HB-1260</t>
        </is>
      </c>
      <c r="C1261" s="48" t="inlineStr">
        <is>
          <t>항공</t>
        </is>
      </c>
      <c r="D1261" s="48" t="inlineStr">
        <is>
          <t>인천공항</t>
        </is>
      </c>
      <c r="E1261" s="46" t="inlineStr">
        <is>
          <t>ICN</t>
        </is>
      </c>
      <c r="F1261" s="48" t="inlineStr">
        <is>
          <t>선전공항</t>
        </is>
      </c>
      <c r="G1261" s="46" t="inlineStr">
        <is>
          <t>SZX</t>
        </is>
      </c>
      <c r="H1261" s="47" t="n">
        <v>45986</v>
      </c>
      <c r="I1261" s="52" t="n">
        <v>45987</v>
      </c>
      <c r="J1261" s="52" t="n">
        <v>45987</v>
      </c>
      <c r="K1261" s="53" t="n">
        <v>135</v>
      </c>
    </row>
    <row r="1262" ht="15" customHeight="1" s="32">
      <c r="A1262" s="46" t="inlineStr">
        <is>
          <t>L-HB-1261</t>
        </is>
      </c>
      <c r="B1262" s="46" t="inlineStr">
        <is>
          <t>R-HB-1261</t>
        </is>
      </c>
      <c r="C1262" s="48" t="inlineStr">
        <is>
          <t>항공</t>
        </is>
      </c>
      <c r="D1262" s="48" t="inlineStr">
        <is>
          <t>인천공항</t>
        </is>
      </c>
      <c r="E1262" s="46" t="inlineStr">
        <is>
          <t>ICN</t>
        </is>
      </c>
      <c r="F1262" s="48" t="inlineStr">
        <is>
          <t>과달라하라공항</t>
        </is>
      </c>
      <c r="G1262" s="46" t="inlineStr">
        <is>
          <t>GDL</t>
        </is>
      </c>
      <c r="H1262" s="47" t="n">
        <v>45994</v>
      </c>
      <c r="I1262" s="52" t="n">
        <v>45997</v>
      </c>
      <c r="J1262" s="52" t="n">
        <v>45996</v>
      </c>
      <c r="K1262" s="53" t="n">
        <v>135</v>
      </c>
    </row>
    <row r="1263" ht="15" customHeight="1" s="32">
      <c r="A1263" s="46" t="inlineStr">
        <is>
          <t>L-HB-1262</t>
        </is>
      </c>
      <c r="B1263" s="46" t="inlineStr">
        <is>
          <t>R-HB-1262</t>
        </is>
      </c>
      <c r="C1263" s="48" t="inlineStr">
        <is>
          <t>항공</t>
        </is>
      </c>
      <c r="D1263" s="48" t="inlineStr">
        <is>
          <t>인천공항</t>
        </is>
      </c>
      <c r="E1263" s="46" t="inlineStr">
        <is>
          <t>ICN</t>
        </is>
      </c>
      <c r="F1263" s="48" t="inlineStr">
        <is>
          <t>선전공항</t>
        </is>
      </c>
      <c r="G1263" s="46" t="inlineStr">
        <is>
          <t>SZX</t>
        </is>
      </c>
      <c r="H1263" s="47" t="n">
        <v>45994</v>
      </c>
      <c r="I1263" s="52" t="n">
        <v>45995</v>
      </c>
      <c r="J1263" s="52" t="n">
        <v>45995</v>
      </c>
      <c r="K1263" s="53" t="n">
        <v>135</v>
      </c>
    </row>
    <row r="1264" ht="15" customHeight="1" s="32">
      <c r="A1264" s="46" t="inlineStr">
        <is>
          <t>L-HB-1263</t>
        </is>
      </c>
      <c r="B1264" s="46" t="inlineStr">
        <is>
          <t>R-HB-1263</t>
        </is>
      </c>
      <c r="C1264" s="48" t="inlineStr">
        <is>
          <t>항공</t>
        </is>
      </c>
      <c r="D1264" s="48" t="inlineStr">
        <is>
          <t>인천공항</t>
        </is>
      </c>
      <c r="E1264" s="46" t="inlineStr">
        <is>
          <t>ICN</t>
        </is>
      </c>
      <c r="F1264" s="48" t="inlineStr">
        <is>
          <t>시애틀공항</t>
        </is>
      </c>
      <c r="G1264" s="46" t="inlineStr">
        <is>
          <t>SEA</t>
        </is>
      </c>
      <c r="H1264" s="47" t="n">
        <v>45995</v>
      </c>
      <c r="I1264" s="52" t="n">
        <v>45998</v>
      </c>
      <c r="J1264" s="52" t="n">
        <v>45998</v>
      </c>
      <c r="K1264" s="53" t="n">
        <v>135</v>
      </c>
    </row>
    <row r="1265" ht="15" customHeight="1" s="32">
      <c r="A1265" s="46" t="inlineStr">
        <is>
          <t>L-HB-1264</t>
        </is>
      </c>
      <c r="B1265" s="46" t="inlineStr">
        <is>
          <t>R-HB-1264</t>
        </is>
      </c>
      <c r="C1265" s="48" t="inlineStr">
        <is>
          <t>항공</t>
        </is>
      </c>
      <c r="D1265" s="48" t="inlineStr">
        <is>
          <t>인천공항</t>
        </is>
      </c>
      <c r="E1265" s="46" t="inlineStr">
        <is>
          <t>ICN</t>
        </is>
      </c>
      <c r="F1265" s="48" t="inlineStr">
        <is>
          <t>토론토공항</t>
        </is>
      </c>
      <c r="G1265" s="46" t="inlineStr">
        <is>
          <t>YYZ</t>
        </is>
      </c>
      <c r="H1265" s="47" t="n">
        <v>45995</v>
      </c>
      <c r="I1265" s="52" t="n">
        <v>45999</v>
      </c>
      <c r="J1265" s="52" t="n">
        <v>45998</v>
      </c>
      <c r="K1265" s="53" t="n">
        <v>135</v>
      </c>
    </row>
    <row r="1266" ht="15" customHeight="1" s="32">
      <c r="A1266" s="46" t="inlineStr">
        <is>
          <t>L-HB-1265</t>
        </is>
      </c>
      <c r="B1266" s="46" t="inlineStr">
        <is>
          <t>R-HB-1265</t>
        </is>
      </c>
      <c r="C1266" s="48" t="inlineStr">
        <is>
          <t>항공</t>
        </is>
      </c>
      <c r="D1266" s="48" t="inlineStr">
        <is>
          <t>인천공항</t>
        </is>
      </c>
      <c r="E1266" s="46" t="inlineStr">
        <is>
          <t>ICN</t>
        </is>
      </c>
      <c r="F1266" s="48" t="inlineStr">
        <is>
          <t>델리공항</t>
        </is>
      </c>
      <c r="G1266" s="46" t="inlineStr">
        <is>
          <t>DEL</t>
        </is>
      </c>
      <c r="H1266" s="47" t="n">
        <v>45996</v>
      </c>
      <c r="I1266" s="52" t="n">
        <v>45999</v>
      </c>
      <c r="J1266" s="52" t="n">
        <v>45999</v>
      </c>
      <c r="K1266" s="53" t="n">
        <v>135</v>
      </c>
    </row>
    <row r="1267" ht="15" customHeight="1" s="32">
      <c r="A1267" s="46" t="inlineStr">
        <is>
          <t>L-HB-1266</t>
        </is>
      </c>
      <c r="B1267" s="46" t="inlineStr">
        <is>
          <t>R-HB-1266</t>
        </is>
      </c>
      <c r="C1267" s="48" t="inlineStr">
        <is>
          <t>해상</t>
        </is>
      </c>
      <c r="D1267" s="48" t="inlineStr">
        <is>
          <t>부산항</t>
        </is>
      </c>
      <c r="E1267" s="46" t="inlineStr">
        <is>
          <t>KRPUS</t>
        </is>
      </c>
      <c r="F1267" s="48" t="inlineStr">
        <is>
          <t>서커우항</t>
        </is>
      </c>
      <c r="G1267" s="46" t="inlineStr">
        <is>
          <t>CNSHK</t>
        </is>
      </c>
      <c r="H1267" s="47" t="n">
        <v>45996</v>
      </c>
      <c r="I1267" s="52" t="n">
        <v>46002</v>
      </c>
      <c r="J1267" s="52" t="n">
        <v>46002</v>
      </c>
      <c r="K1267" s="53" t="n">
        <v>530</v>
      </c>
    </row>
    <row r="1268" ht="15" customHeight="1" s="32">
      <c r="A1268" s="46" t="inlineStr">
        <is>
          <t>L-HB-1267</t>
        </is>
      </c>
      <c r="B1268" s="46" t="inlineStr">
        <is>
          <t>R-HB-1267</t>
        </is>
      </c>
      <c r="C1268" s="48" t="inlineStr">
        <is>
          <t>항공</t>
        </is>
      </c>
      <c r="D1268" s="48" t="inlineStr">
        <is>
          <t>인천공항</t>
        </is>
      </c>
      <c r="E1268" s="46" t="inlineStr">
        <is>
          <t>ICN</t>
        </is>
      </c>
      <c r="F1268" s="48" t="inlineStr">
        <is>
          <t>로스앤젤레스공항</t>
        </is>
      </c>
      <c r="G1268" s="46" t="inlineStr">
        <is>
          <t>LAX</t>
        </is>
      </c>
      <c r="H1268" s="47" t="n">
        <v>45997</v>
      </c>
      <c r="I1268" s="52" t="n">
        <v>46001</v>
      </c>
      <c r="J1268" s="52" t="n">
        <v>46001</v>
      </c>
      <c r="K1268" s="53" t="n">
        <v>409.45</v>
      </c>
    </row>
    <row r="1269" ht="15" customHeight="1" s="32">
      <c r="A1269" s="46" t="inlineStr">
        <is>
          <t>L-HB-1268</t>
        </is>
      </c>
      <c r="B1269" s="46" t="inlineStr">
        <is>
          <t>R-HB-1268</t>
        </is>
      </c>
      <c r="C1269" s="48" t="inlineStr">
        <is>
          <t>항공</t>
        </is>
      </c>
      <c r="D1269" s="48" t="inlineStr">
        <is>
          <t>인천공항</t>
        </is>
      </c>
      <c r="E1269" s="46" t="inlineStr">
        <is>
          <t>ICN</t>
        </is>
      </c>
      <c r="F1269" s="48" t="inlineStr">
        <is>
          <t>하노이공항</t>
        </is>
      </c>
      <c r="G1269" s="46" t="inlineStr">
        <is>
          <t>HAN</t>
        </is>
      </c>
      <c r="H1269" s="47" t="n">
        <v>45997</v>
      </c>
      <c r="I1269" s="52" t="n">
        <v>45999</v>
      </c>
      <c r="J1269" s="52" t="n">
        <v>45999</v>
      </c>
      <c r="K1269" s="53" t="n">
        <v>135</v>
      </c>
    </row>
    <row r="1270" ht="15" customHeight="1" s="32">
      <c r="A1270" s="46" t="inlineStr">
        <is>
          <t>L-HB-1269</t>
        </is>
      </c>
      <c r="B1270" s="46" t="inlineStr">
        <is>
          <t>R-HB-1269</t>
        </is>
      </c>
      <c r="C1270" s="48" t="inlineStr">
        <is>
          <t>해상</t>
        </is>
      </c>
      <c r="D1270" s="48" t="inlineStr">
        <is>
          <t>부산항</t>
        </is>
      </c>
      <c r="E1270" s="46" t="inlineStr">
        <is>
          <t>KRPUS</t>
        </is>
      </c>
      <c r="F1270" s="48" t="inlineStr">
        <is>
          <t>상하이항</t>
        </is>
      </c>
      <c r="G1270" s="46" t="inlineStr">
        <is>
          <t>CNSHA</t>
        </is>
      </c>
      <c r="H1270" s="47" t="n">
        <v>45997</v>
      </c>
      <c r="I1270" s="52" t="n">
        <v>46003</v>
      </c>
      <c r="J1270" s="52" t="n">
        <v>46003</v>
      </c>
      <c r="K1270" s="53" t="n">
        <v>530</v>
      </c>
    </row>
    <row r="1271" ht="15" customHeight="1" s="32">
      <c r="A1271" s="46" t="inlineStr">
        <is>
          <t>L-HB-1270</t>
        </is>
      </c>
      <c r="B1271" s="46" t="inlineStr">
        <is>
          <t>R-HB-1270</t>
        </is>
      </c>
      <c r="C1271" s="48" t="inlineStr">
        <is>
          <t>항공</t>
        </is>
      </c>
      <c r="D1271" s="48" t="inlineStr">
        <is>
          <t>인천공항</t>
        </is>
      </c>
      <c r="E1271" s="46" t="inlineStr">
        <is>
          <t>ICN</t>
        </is>
      </c>
      <c r="F1271" s="48" t="inlineStr">
        <is>
          <t>델리공항</t>
        </is>
      </c>
      <c r="G1271" s="46" t="inlineStr">
        <is>
          <t>DEL</t>
        </is>
      </c>
      <c r="H1271" s="47" t="n">
        <v>45998</v>
      </c>
      <c r="I1271" s="52" t="n">
        <v>46001</v>
      </c>
      <c r="J1271" s="52" t="n">
        <v>46000</v>
      </c>
      <c r="K1271" s="53" t="n">
        <v>218.76</v>
      </c>
    </row>
    <row r="1272" ht="15" customHeight="1" s="32">
      <c r="A1272" s="46" t="inlineStr">
        <is>
          <t>L-HB-1271</t>
        </is>
      </c>
      <c r="B1272" s="46" t="inlineStr">
        <is>
          <t>R-HB-1271</t>
        </is>
      </c>
      <c r="C1272" s="48" t="inlineStr">
        <is>
          <t>항공</t>
        </is>
      </c>
      <c r="D1272" s="48" t="inlineStr">
        <is>
          <t>인천공항</t>
        </is>
      </c>
      <c r="E1272" s="46" t="inlineStr">
        <is>
          <t>ICN</t>
        </is>
      </c>
      <c r="F1272" s="48" t="inlineStr">
        <is>
          <t>로스앤젤레스공항</t>
        </is>
      </c>
      <c r="G1272" s="46" t="inlineStr">
        <is>
          <t>LAX</t>
        </is>
      </c>
      <c r="H1272" s="47" t="n">
        <v>45999</v>
      </c>
      <c r="I1272" s="52" t="n">
        <v>46003</v>
      </c>
      <c r="J1272" s="52" t="n">
        <v>46003</v>
      </c>
      <c r="K1272" s="53" t="n">
        <v>135</v>
      </c>
    </row>
    <row r="1273" ht="15" customHeight="1" s="32">
      <c r="A1273" s="46" t="inlineStr">
        <is>
          <t>L-HB-1272</t>
        </is>
      </c>
      <c r="B1273" s="46" t="inlineStr">
        <is>
          <t>R-HB-1272</t>
        </is>
      </c>
      <c r="C1273" s="48" t="inlineStr">
        <is>
          <t>항공</t>
        </is>
      </c>
      <c r="D1273" s="48" t="inlineStr">
        <is>
          <t>인천공항</t>
        </is>
      </c>
      <c r="E1273" s="46" t="inlineStr">
        <is>
          <t>ICN</t>
        </is>
      </c>
      <c r="F1273" s="48" t="inlineStr">
        <is>
          <t>토론토공항</t>
        </is>
      </c>
      <c r="G1273" s="46" t="inlineStr">
        <is>
          <t>YYZ</t>
        </is>
      </c>
      <c r="H1273" s="47" t="n">
        <v>45999</v>
      </c>
      <c r="I1273" s="52" t="n">
        <v>46003</v>
      </c>
      <c r="J1273" s="52" t="n">
        <v>46003</v>
      </c>
      <c r="K1273" s="53" t="n">
        <v>135</v>
      </c>
    </row>
    <row r="1274" ht="15" customHeight="1" s="32">
      <c r="A1274" s="46" t="inlineStr">
        <is>
          <t>L-HB-1273</t>
        </is>
      </c>
      <c r="B1274" s="46" t="inlineStr">
        <is>
          <t>R-HB-1273</t>
        </is>
      </c>
      <c r="C1274" s="48" t="inlineStr">
        <is>
          <t>항공</t>
        </is>
      </c>
      <c r="D1274" s="48" t="inlineStr">
        <is>
          <t>인천공항</t>
        </is>
      </c>
      <c r="E1274" s="46" t="inlineStr">
        <is>
          <t>ICN</t>
        </is>
      </c>
      <c r="F1274" s="48" t="inlineStr">
        <is>
          <t>선전공항</t>
        </is>
      </c>
      <c r="G1274" s="46" t="inlineStr">
        <is>
          <t>SZX</t>
        </is>
      </c>
      <c r="H1274" s="47" t="n">
        <v>45999</v>
      </c>
      <c r="I1274" s="52" t="n">
        <v>46000</v>
      </c>
      <c r="J1274" s="52" t="n">
        <v>46000</v>
      </c>
      <c r="K1274" s="53" t="n">
        <v>369.54</v>
      </c>
    </row>
    <row r="1275" ht="15" customHeight="1" s="32">
      <c r="A1275" s="46" t="inlineStr">
        <is>
          <t>L-HB-1274</t>
        </is>
      </c>
      <c r="B1275" s="46" t="inlineStr">
        <is>
          <t>R-HB-1274</t>
        </is>
      </c>
      <c r="C1275" s="48" t="inlineStr">
        <is>
          <t>항공</t>
        </is>
      </c>
      <c r="D1275" s="48" t="inlineStr">
        <is>
          <t>인천공항</t>
        </is>
      </c>
      <c r="E1275" s="46" t="inlineStr">
        <is>
          <t>ICN</t>
        </is>
      </c>
      <c r="F1275" s="48" t="inlineStr">
        <is>
          <t>델리공항</t>
        </is>
      </c>
      <c r="G1275" s="46" t="inlineStr">
        <is>
          <t>DEL</t>
        </is>
      </c>
      <c r="H1275" s="47" t="n">
        <v>46003</v>
      </c>
      <c r="I1275" s="52" t="n">
        <v>46007</v>
      </c>
      <c r="J1275" s="52" t="n">
        <v>46007</v>
      </c>
      <c r="K1275" s="53" t="n">
        <v>135</v>
      </c>
    </row>
    <row r="1276" ht="15" customHeight="1" s="32">
      <c r="A1276" s="46" t="inlineStr">
        <is>
          <t>L-HB-1275</t>
        </is>
      </c>
      <c r="B1276" s="46" t="inlineStr">
        <is>
          <t>R-HB-1275</t>
        </is>
      </c>
      <c r="C1276" s="48" t="inlineStr">
        <is>
          <t>항공</t>
        </is>
      </c>
      <c r="D1276" s="48" t="inlineStr">
        <is>
          <t>인천공항</t>
        </is>
      </c>
      <c r="E1276" s="46" t="inlineStr">
        <is>
          <t>ICN</t>
        </is>
      </c>
      <c r="F1276" s="48" t="inlineStr">
        <is>
          <t>시애틀공항</t>
        </is>
      </c>
      <c r="G1276" s="46" t="inlineStr">
        <is>
          <t>SEA</t>
        </is>
      </c>
      <c r="H1276" s="47" t="n">
        <v>46005</v>
      </c>
      <c r="I1276" s="52" t="n">
        <v>46007</v>
      </c>
      <c r="J1276" s="52" t="n">
        <v>46007</v>
      </c>
      <c r="K1276" s="53" t="n">
        <v>135.17</v>
      </c>
    </row>
    <row r="1277" ht="15" customHeight="1" s="32">
      <c r="A1277" s="46" t="inlineStr">
        <is>
          <t>L-HB-1276</t>
        </is>
      </c>
      <c r="B1277" s="46" t="inlineStr">
        <is>
          <t>R-HB-1276</t>
        </is>
      </c>
      <c r="C1277" s="48" t="inlineStr">
        <is>
          <t>항공</t>
        </is>
      </c>
      <c r="D1277" s="48" t="inlineStr">
        <is>
          <t>인천공항</t>
        </is>
      </c>
      <c r="E1277" s="46" t="inlineStr">
        <is>
          <t>ICN</t>
        </is>
      </c>
      <c r="F1277" s="48" t="inlineStr">
        <is>
          <t>프랑크푸르트공항</t>
        </is>
      </c>
      <c r="G1277" s="46" t="inlineStr">
        <is>
          <t>FRA</t>
        </is>
      </c>
      <c r="H1277" s="47" t="n">
        <v>46005</v>
      </c>
      <c r="I1277" s="52" t="n">
        <v>46010</v>
      </c>
      <c r="J1277" s="52" t="n">
        <v>46009</v>
      </c>
      <c r="K1277" s="53" t="n">
        <v>457.57</v>
      </c>
    </row>
    <row r="1278" ht="15" customHeight="1" s="32">
      <c r="A1278" s="46" t="inlineStr">
        <is>
          <t>L-HB-1277</t>
        </is>
      </c>
      <c r="B1278" s="46" t="inlineStr">
        <is>
          <t>R-HB-1277</t>
        </is>
      </c>
      <c r="C1278" s="48" t="inlineStr">
        <is>
          <t>항공</t>
        </is>
      </c>
      <c r="D1278" s="48" t="inlineStr">
        <is>
          <t>인천공항</t>
        </is>
      </c>
      <c r="E1278" s="46" t="inlineStr">
        <is>
          <t>ICN</t>
        </is>
      </c>
      <c r="F1278" s="48" t="inlineStr">
        <is>
          <t>프랑크푸르트공항</t>
        </is>
      </c>
      <c r="G1278" s="46" t="inlineStr">
        <is>
          <t>FRA</t>
        </is>
      </c>
      <c r="H1278" s="47" t="n">
        <v>46005</v>
      </c>
      <c r="I1278" s="52" t="n">
        <v>46008</v>
      </c>
      <c r="J1278" s="52" t="n">
        <v>46008</v>
      </c>
      <c r="K1278" s="53" t="n">
        <v>135</v>
      </c>
    </row>
    <row r="1279" ht="15" customHeight="1" s="32">
      <c r="A1279" s="46" t="inlineStr">
        <is>
          <t>L-HB-1278</t>
        </is>
      </c>
      <c r="B1279" s="46" t="inlineStr">
        <is>
          <t>R-HB-1278</t>
        </is>
      </c>
      <c r="C1279" s="48" t="inlineStr">
        <is>
          <t>항공</t>
        </is>
      </c>
      <c r="D1279" s="48" t="inlineStr">
        <is>
          <t>인천공항</t>
        </is>
      </c>
      <c r="E1279" s="46" t="inlineStr">
        <is>
          <t>ICN</t>
        </is>
      </c>
      <c r="F1279" s="48" t="inlineStr">
        <is>
          <t>프랑크푸르트공항</t>
        </is>
      </c>
      <c r="G1279" s="46" t="inlineStr">
        <is>
          <t>FRA</t>
        </is>
      </c>
      <c r="H1279" s="47" t="n">
        <v>46005</v>
      </c>
      <c r="I1279" s="52" t="n">
        <v>46008</v>
      </c>
      <c r="J1279" s="52" t="n">
        <v>46008</v>
      </c>
      <c r="K1279" s="53" t="n">
        <v>146.44</v>
      </c>
    </row>
    <row r="1280" ht="15" customHeight="1" s="32">
      <c r="A1280" s="46" t="inlineStr">
        <is>
          <t>L-HB-1279</t>
        </is>
      </c>
      <c r="B1280" s="46" t="inlineStr">
        <is>
          <t>R-HB-1279</t>
        </is>
      </c>
      <c r="C1280" s="48" t="inlineStr">
        <is>
          <t>항공</t>
        </is>
      </c>
      <c r="D1280" s="48" t="inlineStr">
        <is>
          <t>인천공항</t>
        </is>
      </c>
      <c r="E1280" s="46" t="inlineStr">
        <is>
          <t>ICN</t>
        </is>
      </c>
      <c r="F1280" s="48" t="inlineStr">
        <is>
          <t>충칭공항</t>
        </is>
      </c>
      <c r="G1280" s="46" t="inlineStr">
        <is>
          <t>CKG</t>
        </is>
      </c>
      <c r="H1280" s="47" t="n">
        <v>46007</v>
      </c>
      <c r="I1280" s="52" t="n">
        <v>46010</v>
      </c>
      <c r="J1280" s="52" t="n">
        <v>46012</v>
      </c>
      <c r="K1280" s="53" t="n">
        <v>135</v>
      </c>
    </row>
    <row r="1281" ht="15" customHeight="1" s="32">
      <c r="A1281" s="46" t="inlineStr">
        <is>
          <t>L-HB-1280</t>
        </is>
      </c>
      <c r="B1281" s="46" t="inlineStr">
        <is>
          <t>R-HB-1280</t>
        </is>
      </c>
      <c r="C1281" s="48" t="inlineStr">
        <is>
          <t>항공</t>
        </is>
      </c>
      <c r="D1281" s="48" t="inlineStr">
        <is>
          <t>인천공항</t>
        </is>
      </c>
      <c r="E1281" s="46" t="inlineStr">
        <is>
          <t>ICN</t>
        </is>
      </c>
      <c r="F1281" s="48" t="inlineStr">
        <is>
          <t>충칭공항</t>
        </is>
      </c>
      <c r="G1281" s="46" t="inlineStr">
        <is>
          <t>CKG</t>
        </is>
      </c>
      <c r="H1281" s="47" t="n">
        <v>46007</v>
      </c>
      <c r="I1281" s="52" t="n">
        <v>46010</v>
      </c>
      <c r="J1281" s="52" t="n">
        <v>46010</v>
      </c>
      <c r="K1281" s="53" t="n">
        <v>135</v>
      </c>
    </row>
    <row r="1282" ht="15" customHeight="1" s="32">
      <c r="A1282" s="46" t="inlineStr">
        <is>
          <t>L-HB-1281</t>
        </is>
      </c>
      <c r="B1282" s="46" t="inlineStr">
        <is>
          <t>R-HB-1281</t>
        </is>
      </c>
      <c r="C1282" s="48" t="inlineStr">
        <is>
          <t>항공</t>
        </is>
      </c>
      <c r="D1282" s="48" t="inlineStr">
        <is>
          <t>인천공항</t>
        </is>
      </c>
      <c r="E1282" s="46" t="inlineStr">
        <is>
          <t>ICN</t>
        </is>
      </c>
      <c r="F1282" s="48" t="inlineStr">
        <is>
          <t>로스앤젤레스공항</t>
        </is>
      </c>
      <c r="G1282" s="46" t="inlineStr">
        <is>
          <t>LAX</t>
        </is>
      </c>
      <c r="H1282" s="47" t="n">
        <v>46010</v>
      </c>
      <c r="I1282" s="52" t="n">
        <v>46012</v>
      </c>
      <c r="J1282" s="52" t="n">
        <v>46013</v>
      </c>
      <c r="K1282" s="53" t="n">
        <v>219.07</v>
      </c>
    </row>
    <row r="1283" ht="15" customHeight="1" s="32">
      <c r="A1283" s="46" t="inlineStr">
        <is>
          <t>L-HB-1282</t>
        </is>
      </c>
      <c r="B1283" s="46" t="inlineStr">
        <is>
          <t>R-HB-1282</t>
        </is>
      </c>
      <c r="C1283" s="48" t="inlineStr">
        <is>
          <t>항공</t>
        </is>
      </c>
      <c r="D1283" s="48" t="inlineStr">
        <is>
          <t>인천공항</t>
        </is>
      </c>
      <c r="E1283" s="46" t="inlineStr">
        <is>
          <t>ICN</t>
        </is>
      </c>
      <c r="F1283" s="48" t="inlineStr">
        <is>
          <t>시애틀공항</t>
        </is>
      </c>
      <c r="G1283" s="46" t="inlineStr">
        <is>
          <t>SEA</t>
        </is>
      </c>
      <c r="H1283" s="47" t="n">
        <v>46010</v>
      </c>
      <c r="I1283" s="52" t="n">
        <v>46012</v>
      </c>
      <c r="J1283" s="52" t="n">
        <v>46012</v>
      </c>
      <c r="K1283" s="53" t="n">
        <v>135</v>
      </c>
    </row>
    <row r="1284" ht="15" customHeight="1" s="32">
      <c r="A1284" s="46" t="inlineStr">
        <is>
          <t>L-HB-1283</t>
        </is>
      </c>
      <c r="B1284" s="46" t="inlineStr">
        <is>
          <t>R-HB-1283</t>
        </is>
      </c>
      <c r="C1284" s="48" t="inlineStr">
        <is>
          <t>항공</t>
        </is>
      </c>
      <c r="D1284" s="48" t="inlineStr">
        <is>
          <t>인천공항</t>
        </is>
      </c>
      <c r="E1284" s="46" t="inlineStr">
        <is>
          <t>ICN</t>
        </is>
      </c>
      <c r="F1284" s="48" t="inlineStr">
        <is>
          <t>하노이공항</t>
        </is>
      </c>
      <c r="G1284" s="46" t="inlineStr">
        <is>
          <t>HAN</t>
        </is>
      </c>
      <c r="H1284" s="47" t="n">
        <v>46010</v>
      </c>
      <c r="I1284" s="52" t="n">
        <v>46012</v>
      </c>
      <c r="J1284" s="52" t="n">
        <v>46012</v>
      </c>
      <c r="K1284" s="53" t="n">
        <v>267.74</v>
      </c>
    </row>
    <row r="1285" ht="15" customHeight="1" s="32">
      <c r="A1285" s="46" t="inlineStr">
        <is>
          <t>L-HB-1284</t>
        </is>
      </c>
      <c r="B1285" s="46" t="inlineStr">
        <is>
          <t>R-HB-1284</t>
        </is>
      </c>
      <c r="C1285" s="48" t="inlineStr">
        <is>
          <t>항공</t>
        </is>
      </c>
      <c r="D1285" s="48" t="inlineStr">
        <is>
          <t>인천공항</t>
        </is>
      </c>
      <c r="E1285" s="46" t="inlineStr">
        <is>
          <t>ICN</t>
        </is>
      </c>
      <c r="F1285" s="48" t="inlineStr">
        <is>
          <t>시애틀공항</t>
        </is>
      </c>
      <c r="G1285" s="46" t="inlineStr">
        <is>
          <t>SEA</t>
        </is>
      </c>
      <c r="H1285" s="47" t="n">
        <v>46011</v>
      </c>
      <c r="I1285" s="52" t="n">
        <v>46014</v>
      </c>
      <c r="J1285" s="52" t="n">
        <v>46013</v>
      </c>
      <c r="K1285" s="53" t="n">
        <v>281.12</v>
      </c>
    </row>
    <row r="1286" ht="15" customHeight="1" s="32">
      <c r="A1286" s="46" t="inlineStr">
        <is>
          <t>L-HB-1285</t>
        </is>
      </c>
      <c r="B1286" s="46" t="inlineStr">
        <is>
          <t>R-HB-1285</t>
        </is>
      </c>
      <c r="C1286" s="48" t="inlineStr">
        <is>
          <t>항공</t>
        </is>
      </c>
      <c r="D1286" s="48" t="inlineStr">
        <is>
          <t>인천공항</t>
        </is>
      </c>
      <c r="E1286" s="46" t="inlineStr">
        <is>
          <t>ICN</t>
        </is>
      </c>
      <c r="F1286" s="48" t="inlineStr">
        <is>
          <t>과달라하라공항</t>
        </is>
      </c>
      <c r="G1286" s="46" t="inlineStr">
        <is>
          <t>GDL</t>
        </is>
      </c>
      <c r="H1286" s="47" t="n">
        <v>46011</v>
      </c>
      <c r="I1286" s="52" t="n">
        <v>46015</v>
      </c>
      <c r="J1286" s="52" t="n">
        <v>46014</v>
      </c>
      <c r="K1286" s="53" t="n">
        <v>135</v>
      </c>
    </row>
    <row r="1287" ht="15" customHeight="1" s="32">
      <c r="A1287" s="46" t="inlineStr">
        <is>
          <t>L-HB-1286</t>
        </is>
      </c>
      <c r="B1287" s="46" t="inlineStr">
        <is>
          <t>R-HB-1286</t>
        </is>
      </c>
      <c r="C1287" s="48" t="inlineStr">
        <is>
          <t>항공</t>
        </is>
      </c>
      <c r="D1287" s="48" t="inlineStr">
        <is>
          <t>인천공항</t>
        </is>
      </c>
      <c r="E1287" s="46" t="inlineStr">
        <is>
          <t>ICN</t>
        </is>
      </c>
      <c r="F1287" s="48" t="inlineStr">
        <is>
          <t>델리공항</t>
        </is>
      </c>
      <c r="G1287" s="46" t="inlineStr">
        <is>
          <t>DEL</t>
        </is>
      </c>
      <c r="H1287" s="47" t="n">
        <v>46011</v>
      </c>
      <c r="I1287" s="52" t="n">
        <v>46014</v>
      </c>
      <c r="J1287" s="52" t="n">
        <v>46014</v>
      </c>
      <c r="K1287" s="53" t="n">
        <v>135</v>
      </c>
    </row>
    <row r="1288" ht="15" customHeight="1" s="32">
      <c r="A1288" s="46" t="inlineStr">
        <is>
          <t>L-HB-1287</t>
        </is>
      </c>
      <c r="B1288" s="46" t="inlineStr">
        <is>
          <t>R-HB-1287</t>
        </is>
      </c>
      <c r="C1288" s="48" t="inlineStr">
        <is>
          <t>항공</t>
        </is>
      </c>
      <c r="D1288" s="48" t="inlineStr">
        <is>
          <t>인천공항</t>
        </is>
      </c>
      <c r="E1288" s="46" t="inlineStr">
        <is>
          <t>ICN</t>
        </is>
      </c>
      <c r="F1288" s="48" t="inlineStr">
        <is>
          <t>토론토공항</t>
        </is>
      </c>
      <c r="G1288" s="46" t="inlineStr">
        <is>
          <t>YYZ</t>
        </is>
      </c>
      <c r="H1288" s="47" t="n">
        <v>46012</v>
      </c>
      <c r="I1288" s="52" t="n">
        <v>46016</v>
      </c>
      <c r="J1288" s="52" t="n">
        <v>46017</v>
      </c>
      <c r="K1288" s="53" t="n">
        <v>135</v>
      </c>
    </row>
    <row r="1289" ht="15" customHeight="1" s="32">
      <c r="A1289" s="46" t="inlineStr">
        <is>
          <t>L-HB-1288</t>
        </is>
      </c>
      <c r="B1289" s="46" t="inlineStr">
        <is>
          <t>R-HB-1288</t>
        </is>
      </c>
      <c r="C1289" s="48" t="inlineStr">
        <is>
          <t>항공</t>
        </is>
      </c>
      <c r="D1289" s="48" t="inlineStr">
        <is>
          <t>인천공항</t>
        </is>
      </c>
      <c r="E1289" s="46" t="inlineStr">
        <is>
          <t>ICN</t>
        </is>
      </c>
      <c r="F1289" s="48" t="inlineStr">
        <is>
          <t>토론토공항</t>
        </is>
      </c>
      <c r="G1289" s="46" t="inlineStr">
        <is>
          <t>YYZ</t>
        </is>
      </c>
      <c r="H1289" s="47" t="n">
        <v>46012</v>
      </c>
      <c r="I1289" s="52" t="n">
        <v>46016</v>
      </c>
      <c r="J1289" s="52" t="n">
        <v>46016</v>
      </c>
      <c r="K1289" s="53" t="n">
        <v>135</v>
      </c>
    </row>
    <row r="1290" ht="15" customHeight="1" s="32">
      <c r="A1290" s="46" t="inlineStr">
        <is>
          <t>L-HB-1289</t>
        </is>
      </c>
      <c r="B1290" s="46" t="inlineStr">
        <is>
          <t>R-HB-1289</t>
        </is>
      </c>
      <c r="C1290" s="48" t="inlineStr">
        <is>
          <t>항공</t>
        </is>
      </c>
      <c r="D1290" s="48" t="inlineStr">
        <is>
          <t>인천공항</t>
        </is>
      </c>
      <c r="E1290" s="46" t="inlineStr">
        <is>
          <t>ICN</t>
        </is>
      </c>
      <c r="F1290" s="48" t="inlineStr">
        <is>
          <t>프랑크푸르트공항</t>
        </is>
      </c>
      <c r="G1290" s="46" t="inlineStr">
        <is>
          <t>FRA</t>
        </is>
      </c>
      <c r="H1290" s="47" t="n">
        <v>46012</v>
      </c>
      <c r="I1290" s="52" t="n">
        <v>46017</v>
      </c>
      <c r="J1290" s="52" t="n">
        <v>46017</v>
      </c>
      <c r="K1290" s="53" t="n">
        <v>210.2</v>
      </c>
    </row>
    <row r="1291" ht="15" customHeight="1" s="32">
      <c r="A1291" s="46" t="inlineStr">
        <is>
          <t>L-HB-1290</t>
        </is>
      </c>
      <c r="B1291" s="46" t="inlineStr">
        <is>
          <t>R-HB-1290</t>
        </is>
      </c>
      <c r="C1291" s="48" t="inlineStr">
        <is>
          <t>항공</t>
        </is>
      </c>
      <c r="D1291" s="48" t="inlineStr">
        <is>
          <t>인천공항</t>
        </is>
      </c>
      <c r="E1291" s="46" t="inlineStr">
        <is>
          <t>ICN</t>
        </is>
      </c>
      <c r="F1291" s="48" t="inlineStr">
        <is>
          <t>선전공항</t>
        </is>
      </c>
      <c r="G1291" s="46" t="inlineStr">
        <is>
          <t>SZX</t>
        </is>
      </c>
      <c r="H1291" s="47" t="n">
        <v>46012</v>
      </c>
      <c r="I1291" s="52" t="n">
        <v>46015</v>
      </c>
      <c r="J1291" s="52" t="n">
        <v>46016</v>
      </c>
      <c r="K1291" s="53" t="n">
        <v>135</v>
      </c>
    </row>
    <row r="1292" ht="15" customHeight="1" s="32">
      <c r="A1292" s="46" t="inlineStr">
        <is>
          <t>L-HB-1291</t>
        </is>
      </c>
      <c r="B1292" s="46" t="inlineStr">
        <is>
          <t>R-HB-1291</t>
        </is>
      </c>
      <c r="C1292" s="48" t="inlineStr">
        <is>
          <t>항공</t>
        </is>
      </c>
      <c r="D1292" s="48" t="inlineStr">
        <is>
          <t>인천공항</t>
        </is>
      </c>
      <c r="E1292" s="46" t="inlineStr">
        <is>
          <t>ICN</t>
        </is>
      </c>
      <c r="F1292" s="48" t="inlineStr">
        <is>
          <t>과달라하라공항</t>
        </is>
      </c>
      <c r="G1292" s="46" t="inlineStr">
        <is>
          <t>GDL</t>
        </is>
      </c>
      <c r="H1292" s="47" t="n">
        <v>46015</v>
      </c>
      <c r="I1292" s="52" t="n">
        <v>46019</v>
      </c>
      <c r="J1292" s="52" t="n">
        <v>46019</v>
      </c>
      <c r="K1292" s="53" t="n">
        <v>143.14</v>
      </c>
    </row>
    <row r="1293" ht="15" customHeight="1" s="32">
      <c r="A1293" s="46" t="inlineStr">
        <is>
          <t>L-HB-1292</t>
        </is>
      </c>
      <c r="B1293" s="46" t="inlineStr">
        <is>
          <t>R-HB-1292</t>
        </is>
      </c>
      <c r="C1293" s="48" t="inlineStr">
        <is>
          <t>항공</t>
        </is>
      </c>
      <c r="D1293" s="48" t="inlineStr">
        <is>
          <t>인천공항</t>
        </is>
      </c>
      <c r="E1293" s="46" t="inlineStr">
        <is>
          <t>ICN</t>
        </is>
      </c>
      <c r="F1293" s="48" t="inlineStr">
        <is>
          <t>과달라하라공항</t>
        </is>
      </c>
      <c r="G1293" s="46" t="inlineStr">
        <is>
          <t>GDL</t>
        </is>
      </c>
      <c r="H1293" s="47" t="n">
        <v>46015</v>
      </c>
      <c r="I1293" s="52" t="n">
        <v>46018</v>
      </c>
      <c r="J1293" s="52" t="n">
        <v>46019</v>
      </c>
      <c r="K1293" s="53" t="n">
        <v>135</v>
      </c>
    </row>
    <row r="1294" ht="15" customHeight="1" s="32">
      <c r="A1294" s="46" t="inlineStr">
        <is>
          <t>L-HB-1293</t>
        </is>
      </c>
      <c r="B1294" s="46" t="inlineStr">
        <is>
          <t>R-HB-1293</t>
        </is>
      </c>
      <c r="C1294" s="48" t="inlineStr">
        <is>
          <t>항공</t>
        </is>
      </c>
      <c r="D1294" s="48" t="inlineStr">
        <is>
          <t>인천공항</t>
        </is>
      </c>
      <c r="E1294" s="46" t="inlineStr">
        <is>
          <t>ICN</t>
        </is>
      </c>
      <c r="F1294" s="48" t="inlineStr">
        <is>
          <t>로스앤젤레스공항</t>
        </is>
      </c>
      <c r="G1294" s="46" t="inlineStr">
        <is>
          <t>LAX</t>
        </is>
      </c>
      <c r="H1294" s="47" t="n">
        <v>46016</v>
      </c>
      <c r="I1294" s="52" t="n">
        <v>46018</v>
      </c>
      <c r="J1294" s="52" t="n">
        <v>46018</v>
      </c>
      <c r="K1294" s="53" t="n">
        <v>144.83</v>
      </c>
    </row>
    <row r="1295" ht="15" customHeight="1" s="32">
      <c r="A1295" s="46" t="inlineStr">
        <is>
          <t>L-HB-1294</t>
        </is>
      </c>
      <c r="B1295" s="46" t="inlineStr">
        <is>
          <t>R-HB-1294</t>
        </is>
      </c>
      <c r="C1295" s="48" t="inlineStr">
        <is>
          <t>항공</t>
        </is>
      </c>
      <c r="D1295" s="48" t="inlineStr">
        <is>
          <t>인천공항</t>
        </is>
      </c>
      <c r="E1295" s="46" t="inlineStr">
        <is>
          <t>ICN</t>
        </is>
      </c>
      <c r="F1295" s="48" t="inlineStr">
        <is>
          <t>하노이공항</t>
        </is>
      </c>
      <c r="G1295" s="46" t="inlineStr">
        <is>
          <t>HAN</t>
        </is>
      </c>
      <c r="H1295" s="47" t="n">
        <v>46017</v>
      </c>
      <c r="I1295" s="52" t="n">
        <v>46019</v>
      </c>
      <c r="J1295" s="52" t="n">
        <v>46018</v>
      </c>
      <c r="K1295" s="53" t="n">
        <v>135</v>
      </c>
    </row>
    <row r="1296" ht="15" customHeight="1" s="32">
      <c r="A1296" s="46" t="inlineStr">
        <is>
          <t>L-HB-1295</t>
        </is>
      </c>
      <c r="B1296" s="46" t="inlineStr">
        <is>
          <t>R-HB-1295</t>
        </is>
      </c>
      <c r="C1296" s="48" t="inlineStr">
        <is>
          <t>항공</t>
        </is>
      </c>
      <c r="D1296" s="48" t="inlineStr">
        <is>
          <t>인천공항</t>
        </is>
      </c>
      <c r="E1296" s="46" t="inlineStr">
        <is>
          <t>ICN</t>
        </is>
      </c>
      <c r="F1296" s="48" t="inlineStr">
        <is>
          <t>충칭공항</t>
        </is>
      </c>
      <c r="G1296" s="46" t="inlineStr">
        <is>
          <t>CKG</t>
        </is>
      </c>
      <c r="H1296" s="47" t="n">
        <v>46017</v>
      </c>
      <c r="I1296" s="52" t="n">
        <v>46020</v>
      </c>
      <c r="J1296" s="52" t="n">
        <v>46020</v>
      </c>
      <c r="K1296" s="53" t="n">
        <v>260.54</v>
      </c>
    </row>
    <row r="1297" ht="15" customHeight="1" s="32">
      <c r="A1297" s="46" t="inlineStr">
        <is>
          <t>L-HB-1296</t>
        </is>
      </c>
      <c r="B1297" s="46" t="inlineStr">
        <is>
          <t>R-HB-1296</t>
        </is>
      </c>
      <c r="C1297" s="48" t="inlineStr">
        <is>
          <t>해상</t>
        </is>
      </c>
      <c r="D1297" s="48" t="inlineStr">
        <is>
          <t>부산항</t>
        </is>
      </c>
      <c r="E1297" s="46" t="inlineStr">
        <is>
          <t>KRPUS</t>
        </is>
      </c>
      <c r="F1297" s="48" t="inlineStr">
        <is>
          <t>하이퐁항</t>
        </is>
      </c>
      <c r="G1297" s="46" t="inlineStr">
        <is>
          <t>VNHPH</t>
        </is>
      </c>
      <c r="H1297" s="47" t="n">
        <v>46018</v>
      </c>
      <c r="I1297" s="52" t="n">
        <v>46026</v>
      </c>
      <c r="J1297" s="52" t="n">
        <v>46026</v>
      </c>
      <c r="K1297" s="53" t="n">
        <v>530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31" min="1" max="1"/>
    <col width="14" customWidth="1" style="31" min="2" max="8"/>
    <col width="16" customWidth="1" style="31" min="9" max="9"/>
    <col width="10" customWidth="1" style="31" min="10" max="10"/>
    <col width="13" customWidth="1" style="31" min="11" max="11"/>
  </cols>
  <sheetData>
    <row r="1" ht="15" customHeight="1" s="32">
      <c r="A1" s="39" t="inlineStr">
        <is>
          <t>거래월</t>
        </is>
      </c>
      <c r="B1" s="39" t="inlineStr">
        <is>
          <t>미국 (USD)</t>
        </is>
      </c>
      <c r="C1" s="39" t="inlineStr">
        <is>
          <t>멕시코 (USD)</t>
        </is>
      </c>
      <c r="D1" s="39" t="inlineStr">
        <is>
          <t>캐나다 (USD)</t>
        </is>
      </c>
      <c r="E1" s="39" t="inlineStr">
        <is>
          <t>독일 (USD)</t>
        </is>
      </c>
      <c r="F1" s="39" t="inlineStr">
        <is>
          <t>베트남 (USD)</t>
        </is>
      </c>
      <c r="G1" s="39" t="inlineStr">
        <is>
          <t>인도 (USD)</t>
        </is>
      </c>
      <c r="H1" s="39" t="inlineStr">
        <is>
          <t>중국 (USD)</t>
        </is>
      </c>
      <c r="I1" s="39" t="inlineStr">
        <is>
          <t>합계 (USD)</t>
        </is>
      </c>
      <c r="J1" s="39" t="inlineStr">
        <is>
          <t>전월대비</t>
        </is>
      </c>
      <c r="K1" s="39" t="inlineStr">
        <is>
          <t>금액 빈칸 행수</t>
        </is>
      </c>
    </row>
    <row r="2" ht="15" customHeight="1" s="32">
      <c r="A2" s="44" t="inlineStr">
        <is>
          <t>2023-01</t>
        </is>
      </c>
      <c r="B2" s="54">
        <f>SUMIFS(수출실적!$L$2:$L$1297,수출실적!$C$2:$C$1297,$A2,수출실적!$G$2:$G$1297,"미국")</f>
        <v/>
      </c>
      <c r="C2" s="54">
        <f>SUMIFS(수출실적!$L$2:$L$1297,수출실적!$C$2:$C$1297,$A2,수출실적!$G$2:$G$1297,"멕시코")</f>
        <v/>
      </c>
      <c r="D2" s="54">
        <f>SUMIFS(수출실적!$L$2:$L$1297,수출실적!$C$2:$C$1297,$A2,수출실적!$G$2:$G$1297,"캐나다")</f>
        <v/>
      </c>
      <c r="E2" s="54">
        <f>SUMIFS(수출실적!$L$2:$L$1297,수출실적!$C$2:$C$1297,$A2,수출실적!$G$2:$G$1297,"독일")</f>
        <v/>
      </c>
      <c r="F2" s="54">
        <f>SUMIFS(수출실적!$L$2:$L$1297,수출실적!$C$2:$C$1297,$A2,수출실적!$G$2:$G$1297,"베트남")</f>
        <v/>
      </c>
      <c r="G2" s="54">
        <f>SUMIFS(수출실적!$L$2:$L$1297,수출실적!$C$2:$C$1297,$A2,수출실적!$G$2:$G$1297,"인도")</f>
        <v/>
      </c>
      <c r="H2" s="54">
        <f>SUMIFS(수출실적!$L$2:$L$1297,수출실적!$C$2:$C$1297,$A2,수출실적!$G$2:$G$1297,"중국")</f>
        <v/>
      </c>
      <c r="I2" s="54">
        <f>SUM(B2:H2)</f>
        <v/>
      </c>
      <c r="J2" s="55" t="n"/>
      <c r="K2" s="44">
        <f>SUMPRODUCT((수출실적!$C$2:$C$1297=$A2)*(수출실적!$L$2:$L$1297=""))</f>
        <v/>
      </c>
    </row>
    <row r="3" ht="15" customHeight="1" s="32">
      <c r="A3" s="44" t="inlineStr">
        <is>
          <t>2023-02</t>
        </is>
      </c>
      <c r="B3" s="54">
        <f>SUMIFS(수출실적!$L$2:$L$1297,수출실적!$C$2:$C$1297,$A3,수출실적!$G$2:$G$1297,"미국")</f>
        <v/>
      </c>
      <c r="C3" s="54">
        <f>SUMIFS(수출실적!$L$2:$L$1297,수출실적!$C$2:$C$1297,$A3,수출실적!$G$2:$G$1297,"멕시코")</f>
        <v/>
      </c>
      <c r="D3" s="54">
        <f>SUMIFS(수출실적!$L$2:$L$1297,수출실적!$C$2:$C$1297,$A3,수출실적!$G$2:$G$1297,"캐나다")</f>
        <v/>
      </c>
      <c r="E3" s="54">
        <f>SUMIFS(수출실적!$L$2:$L$1297,수출실적!$C$2:$C$1297,$A3,수출실적!$G$2:$G$1297,"독일")</f>
        <v/>
      </c>
      <c r="F3" s="54">
        <f>SUMIFS(수출실적!$L$2:$L$1297,수출실적!$C$2:$C$1297,$A3,수출실적!$G$2:$G$1297,"베트남")</f>
        <v/>
      </c>
      <c r="G3" s="54">
        <f>SUMIFS(수출실적!$L$2:$L$1297,수출실적!$C$2:$C$1297,$A3,수출실적!$G$2:$G$1297,"인도")</f>
        <v/>
      </c>
      <c r="H3" s="54">
        <f>SUMIFS(수출실적!$L$2:$L$1297,수출실적!$C$2:$C$1297,$A3,수출실적!$G$2:$G$1297,"중국")</f>
        <v/>
      </c>
      <c r="I3" s="54">
        <f>SUM(B3:H3)</f>
        <v/>
      </c>
      <c r="J3" s="55">
        <f>IF(I2=0,"",I3/I2-1)</f>
        <v/>
      </c>
      <c r="K3" s="44">
        <f>SUMPRODUCT((수출실적!$C$2:$C$1297=$A3)*(수출실적!$L$2:$L$1297=""))</f>
        <v/>
      </c>
    </row>
    <row r="4" ht="15" customHeight="1" s="32">
      <c r="A4" s="44" t="inlineStr">
        <is>
          <t>2023-03</t>
        </is>
      </c>
      <c r="B4" s="54">
        <f>SUMIFS(수출실적!$L$2:$L$1297,수출실적!$C$2:$C$1297,$A4,수출실적!$G$2:$G$1297,"미국")</f>
        <v/>
      </c>
      <c r="C4" s="54">
        <f>SUMIFS(수출실적!$L$2:$L$1297,수출실적!$C$2:$C$1297,$A4,수출실적!$G$2:$G$1297,"멕시코")</f>
        <v/>
      </c>
      <c r="D4" s="54">
        <f>SUMIFS(수출실적!$L$2:$L$1297,수출실적!$C$2:$C$1297,$A4,수출실적!$G$2:$G$1297,"캐나다")</f>
        <v/>
      </c>
      <c r="E4" s="54">
        <f>SUMIFS(수출실적!$L$2:$L$1297,수출실적!$C$2:$C$1297,$A4,수출실적!$G$2:$G$1297,"독일")</f>
        <v/>
      </c>
      <c r="F4" s="54">
        <f>SUMIFS(수출실적!$L$2:$L$1297,수출실적!$C$2:$C$1297,$A4,수출실적!$G$2:$G$1297,"베트남")</f>
        <v/>
      </c>
      <c r="G4" s="54">
        <f>SUMIFS(수출실적!$L$2:$L$1297,수출실적!$C$2:$C$1297,$A4,수출실적!$G$2:$G$1297,"인도")</f>
        <v/>
      </c>
      <c r="H4" s="54">
        <f>SUMIFS(수출실적!$L$2:$L$1297,수출실적!$C$2:$C$1297,$A4,수출실적!$G$2:$G$1297,"중국")</f>
        <v/>
      </c>
      <c r="I4" s="54">
        <f>SUM(B4:H4)</f>
        <v/>
      </c>
      <c r="J4" s="55">
        <f>IF(I3=0,"",I4/I3-1)</f>
        <v/>
      </c>
      <c r="K4" s="44">
        <f>SUMPRODUCT((수출실적!$C$2:$C$1297=$A4)*(수출실적!$L$2:$L$1297=""))</f>
        <v/>
      </c>
    </row>
    <row r="5" ht="15" customHeight="1" s="32">
      <c r="A5" s="44" t="inlineStr">
        <is>
          <t>2023-04</t>
        </is>
      </c>
      <c r="B5" s="54">
        <f>SUMIFS(수출실적!$L$2:$L$1297,수출실적!$C$2:$C$1297,$A5,수출실적!$G$2:$G$1297,"미국")</f>
        <v/>
      </c>
      <c r="C5" s="54">
        <f>SUMIFS(수출실적!$L$2:$L$1297,수출실적!$C$2:$C$1297,$A5,수출실적!$G$2:$G$1297,"멕시코")</f>
        <v/>
      </c>
      <c r="D5" s="54">
        <f>SUMIFS(수출실적!$L$2:$L$1297,수출실적!$C$2:$C$1297,$A5,수출실적!$G$2:$G$1297,"캐나다")</f>
        <v/>
      </c>
      <c r="E5" s="54">
        <f>SUMIFS(수출실적!$L$2:$L$1297,수출실적!$C$2:$C$1297,$A5,수출실적!$G$2:$G$1297,"독일")</f>
        <v/>
      </c>
      <c r="F5" s="54">
        <f>SUMIFS(수출실적!$L$2:$L$1297,수출실적!$C$2:$C$1297,$A5,수출실적!$G$2:$G$1297,"베트남")</f>
        <v/>
      </c>
      <c r="G5" s="54">
        <f>SUMIFS(수출실적!$L$2:$L$1297,수출실적!$C$2:$C$1297,$A5,수출실적!$G$2:$G$1297,"인도")</f>
        <v/>
      </c>
      <c r="H5" s="54">
        <f>SUMIFS(수출실적!$L$2:$L$1297,수출실적!$C$2:$C$1297,$A5,수출실적!$G$2:$G$1297,"중국")</f>
        <v/>
      </c>
      <c r="I5" s="54">
        <f>SUM(B5:H5)</f>
        <v/>
      </c>
      <c r="J5" s="55">
        <f>IF(I4=0,"",I5/I4-1)</f>
        <v/>
      </c>
      <c r="K5" s="44">
        <f>SUMPRODUCT((수출실적!$C$2:$C$1297=$A5)*(수출실적!$L$2:$L$1297=""))</f>
        <v/>
      </c>
    </row>
    <row r="6" ht="15" customHeight="1" s="32">
      <c r="A6" s="44" t="inlineStr">
        <is>
          <t>2023-05</t>
        </is>
      </c>
      <c r="B6" s="54">
        <f>SUMIFS(수출실적!$L$2:$L$1297,수출실적!$C$2:$C$1297,$A6,수출실적!$G$2:$G$1297,"미국")</f>
        <v/>
      </c>
      <c r="C6" s="54">
        <f>SUMIFS(수출실적!$L$2:$L$1297,수출실적!$C$2:$C$1297,$A6,수출실적!$G$2:$G$1297,"멕시코")</f>
        <v/>
      </c>
      <c r="D6" s="54">
        <f>SUMIFS(수출실적!$L$2:$L$1297,수출실적!$C$2:$C$1297,$A6,수출실적!$G$2:$G$1297,"캐나다")</f>
        <v/>
      </c>
      <c r="E6" s="54">
        <f>SUMIFS(수출실적!$L$2:$L$1297,수출실적!$C$2:$C$1297,$A6,수출실적!$G$2:$G$1297,"독일")</f>
        <v/>
      </c>
      <c r="F6" s="54">
        <f>SUMIFS(수출실적!$L$2:$L$1297,수출실적!$C$2:$C$1297,$A6,수출실적!$G$2:$G$1297,"베트남")</f>
        <v/>
      </c>
      <c r="G6" s="54">
        <f>SUMIFS(수출실적!$L$2:$L$1297,수출실적!$C$2:$C$1297,$A6,수출실적!$G$2:$G$1297,"인도")</f>
        <v/>
      </c>
      <c r="H6" s="54">
        <f>SUMIFS(수출실적!$L$2:$L$1297,수출실적!$C$2:$C$1297,$A6,수출실적!$G$2:$G$1297,"중국")</f>
        <v/>
      </c>
      <c r="I6" s="54">
        <f>SUM(B6:H6)</f>
        <v/>
      </c>
      <c r="J6" s="55">
        <f>IF(I5=0,"",I6/I5-1)</f>
        <v/>
      </c>
      <c r="K6" s="44">
        <f>SUMPRODUCT((수출실적!$C$2:$C$1297=$A6)*(수출실적!$L$2:$L$1297=""))</f>
        <v/>
      </c>
    </row>
    <row r="7" ht="15" customHeight="1" s="32">
      <c r="A7" s="44" t="inlineStr">
        <is>
          <t>2023-06</t>
        </is>
      </c>
      <c r="B7" s="54">
        <f>SUMIFS(수출실적!$L$2:$L$1297,수출실적!$C$2:$C$1297,$A7,수출실적!$G$2:$G$1297,"미국")</f>
        <v/>
      </c>
      <c r="C7" s="54">
        <f>SUMIFS(수출실적!$L$2:$L$1297,수출실적!$C$2:$C$1297,$A7,수출실적!$G$2:$G$1297,"멕시코")</f>
        <v/>
      </c>
      <c r="D7" s="54">
        <f>SUMIFS(수출실적!$L$2:$L$1297,수출실적!$C$2:$C$1297,$A7,수출실적!$G$2:$G$1297,"캐나다")</f>
        <v/>
      </c>
      <c r="E7" s="54">
        <f>SUMIFS(수출실적!$L$2:$L$1297,수출실적!$C$2:$C$1297,$A7,수출실적!$G$2:$G$1297,"독일")</f>
        <v/>
      </c>
      <c r="F7" s="54">
        <f>SUMIFS(수출실적!$L$2:$L$1297,수출실적!$C$2:$C$1297,$A7,수출실적!$G$2:$G$1297,"베트남")</f>
        <v/>
      </c>
      <c r="G7" s="54">
        <f>SUMIFS(수출실적!$L$2:$L$1297,수출실적!$C$2:$C$1297,$A7,수출실적!$G$2:$G$1297,"인도")</f>
        <v/>
      </c>
      <c r="H7" s="54">
        <f>SUMIFS(수출실적!$L$2:$L$1297,수출실적!$C$2:$C$1297,$A7,수출실적!$G$2:$G$1297,"중국")</f>
        <v/>
      </c>
      <c r="I7" s="54">
        <f>SUM(B7:H7)</f>
        <v/>
      </c>
      <c r="J7" s="55">
        <f>IF(I6=0,"",I7/I6-1)</f>
        <v/>
      </c>
      <c r="K7" s="44">
        <f>SUMPRODUCT((수출실적!$C$2:$C$1297=$A7)*(수출실적!$L$2:$L$1297=""))</f>
        <v/>
      </c>
    </row>
    <row r="8" ht="15" customHeight="1" s="32">
      <c r="A8" s="44" t="inlineStr">
        <is>
          <t>2023-07</t>
        </is>
      </c>
      <c r="B8" s="54">
        <f>SUMIFS(수출실적!$L$2:$L$1297,수출실적!$C$2:$C$1297,$A8,수출실적!$G$2:$G$1297,"미국")</f>
        <v/>
      </c>
      <c r="C8" s="54">
        <f>SUMIFS(수출실적!$L$2:$L$1297,수출실적!$C$2:$C$1297,$A8,수출실적!$G$2:$G$1297,"멕시코")</f>
        <v/>
      </c>
      <c r="D8" s="54">
        <f>SUMIFS(수출실적!$L$2:$L$1297,수출실적!$C$2:$C$1297,$A8,수출실적!$G$2:$G$1297,"캐나다")</f>
        <v/>
      </c>
      <c r="E8" s="54">
        <f>SUMIFS(수출실적!$L$2:$L$1297,수출실적!$C$2:$C$1297,$A8,수출실적!$G$2:$G$1297,"독일")</f>
        <v/>
      </c>
      <c r="F8" s="54">
        <f>SUMIFS(수출실적!$L$2:$L$1297,수출실적!$C$2:$C$1297,$A8,수출실적!$G$2:$G$1297,"베트남")</f>
        <v/>
      </c>
      <c r="G8" s="54">
        <f>SUMIFS(수출실적!$L$2:$L$1297,수출실적!$C$2:$C$1297,$A8,수출실적!$G$2:$G$1297,"인도")</f>
        <v/>
      </c>
      <c r="H8" s="54">
        <f>SUMIFS(수출실적!$L$2:$L$1297,수출실적!$C$2:$C$1297,$A8,수출실적!$G$2:$G$1297,"중국")</f>
        <v/>
      </c>
      <c r="I8" s="54">
        <f>SUM(B8:H8)</f>
        <v/>
      </c>
      <c r="J8" s="55">
        <f>IF(I7=0,"",I8/I7-1)</f>
        <v/>
      </c>
      <c r="K8" s="44">
        <f>SUMPRODUCT((수출실적!$C$2:$C$1297=$A8)*(수출실적!$L$2:$L$1297=""))</f>
        <v/>
      </c>
    </row>
    <row r="9" ht="15" customHeight="1" s="32">
      <c r="A9" s="44" t="inlineStr">
        <is>
          <t>2023-08</t>
        </is>
      </c>
      <c r="B9" s="54">
        <f>SUMIFS(수출실적!$L$2:$L$1297,수출실적!$C$2:$C$1297,$A9,수출실적!$G$2:$G$1297,"미국")</f>
        <v/>
      </c>
      <c r="C9" s="54">
        <f>SUMIFS(수출실적!$L$2:$L$1297,수출실적!$C$2:$C$1297,$A9,수출실적!$G$2:$G$1297,"멕시코")</f>
        <v/>
      </c>
      <c r="D9" s="54">
        <f>SUMIFS(수출실적!$L$2:$L$1297,수출실적!$C$2:$C$1297,$A9,수출실적!$G$2:$G$1297,"캐나다")</f>
        <v/>
      </c>
      <c r="E9" s="54">
        <f>SUMIFS(수출실적!$L$2:$L$1297,수출실적!$C$2:$C$1297,$A9,수출실적!$G$2:$G$1297,"독일")</f>
        <v/>
      </c>
      <c r="F9" s="54">
        <f>SUMIFS(수출실적!$L$2:$L$1297,수출실적!$C$2:$C$1297,$A9,수출실적!$G$2:$G$1297,"베트남")</f>
        <v/>
      </c>
      <c r="G9" s="54">
        <f>SUMIFS(수출실적!$L$2:$L$1297,수출실적!$C$2:$C$1297,$A9,수출실적!$G$2:$G$1297,"인도")</f>
        <v/>
      </c>
      <c r="H9" s="54">
        <f>SUMIFS(수출실적!$L$2:$L$1297,수출실적!$C$2:$C$1297,$A9,수출실적!$G$2:$G$1297,"중국")</f>
        <v/>
      </c>
      <c r="I9" s="54">
        <f>SUM(B9:H9)</f>
        <v/>
      </c>
      <c r="J9" s="55">
        <f>IF(I8=0,"",I9/I8-1)</f>
        <v/>
      </c>
      <c r="K9" s="44">
        <f>SUMPRODUCT((수출실적!$C$2:$C$1297=$A9)*(수출실적!$L$2:$L$1297=""))</f>
        <v/>
      </c>
    </row>
    <row r="10" ht="15" customHeight="1" s="32">
      <c r="A10" s="44" t="inlineStr">
        <is>
          <t>2023-09</t>
        </is>
      </c>
      <c r="B10" s="54">
        <f>SUMIFS(수출실적!$L$2:$L$1297,수출실적!$C$2:$C$1297,$A10,수출실적!$G$2:$G$1297,"미국")</f>
        <v/>
      </c>
      <c r="C10" s="54">
        <f>SUMIFS(수출실적!$L$2:$L$1297,수출실적!$C$2:$C$1297,$A10,수출실적!$G$2:$G$1297,"멕시코")</f>
        <v/>
      </c>
      <c r="D10" s="54">
        <f>SUMIFS(수출실적!$L$2:$L$1297,수출실적!$C$2:$C$1297,$A10,수출실적!$G$2:$G$1297,"캐나다")</f>
        <v/>
      </c>
      <c r="E10" s="54">
        <f>SUMIFS(수출실적!$L$2:$L$1297,수출실적!$C$2:$C$1297,$A10,수출실적!$G$2:$G$1297,"독일")</f>
        <v/>
      </c>
      <c r="F10" s="54">
        <f>SUMIFS(수출실적!$L$2:$L$1297,수출실적!$C$2:$C$1297,$A10,수출실적!$G$2:$G$1297,"베트남")</f>
        <v/>
      </c>
      <c r="G10" s="54">
        <f>SUMIFS(수출실적!$L$2:$L$1297,수출실적!$C$2:$C$1297,$A10,수출실적!$G$2:$G$1297,"인도")</f>
        <v/>
      </c>
      <c r="H10" s="54">
        <f>SUMIFS(수출실적!$L$2:$L$1297,수출실적!$C$2:$C$1297,$A10,수출실적!$G$2:$G$1297,"중국")</f>
        <v/>
      </c>
      <c r="I10" s="54">
        <f>SUM(B10:H10)</f>
        <v/>
      </c>
      <c r="J10" s="55">
        <f>IF(I9=0,"",I10/I9-1)</f>
        <v/>
      </c>
      <c r="K10" s="44">
        <f>SUMPRODUCT((수출실적!$C$2:$C$1297=$A10)*(수출실적!$L$2:$L$1297=""))</f>
        <v/>
      </c>
    </row>
    <row r="11" ht="15" customHeight="1" s="32">
      <c r="A11" s="44" t="inlineStr">
        <is>
          <t>2023-10</t>
        </is>
      </c>
      <c r="B11" s="54">
        <f>SUMIFS(수출실적!$L$2:$L$1297,수출실적!$C$2:$C$1297,$A11,수출실적!$G$2:$G$1297,"미국")</f>
        <v/>
      </c>
      <c r="C11" s="54">
        <f>SUMIFS(수출실적!$L$2:$L$1297,수출실적!$C$2:$C$1297,$A11,수출실적!$G$2:$G$1297,"멕시코")</f>
        <v/>
      </c>
      <c r="D11" s="54">
        <f>SUMIFS(수출실적!$L$2:$L$1297,수출실적!$C$2:$C$1297,$A11,수출실적!$G$2:$G$1297,"캐나다")</f>
        <v/>
      </c>
      <c r="E11" s="54">
        <f>SUMIFS(수출실적!$L$2:$L$1297,수출실적!$C$2:$C$1297,$A11,수출실적!$G$2:$G$1297,"독일")</f>
        <v/>
      </c>
      <c r="F11" s="54">
        <f>SUMIFS(수출실적!$L$2:$L$1297,수출실적!$C$2:$C$1297,$A11,수출실적!$G$2:$G$1297,"베트남")</f>
        <v/>
      </c>
      <c r="G11" s="54">
        <f>SUMIFS(수출실적!$L$2:$L$1297,수출실적!$C$2:$C$1297,$A11,수출실적!$G$2:$G$1297,"인도")</f>
        <v/>
      </c>
      <c r="H11" s="54">
        <f>SUMIFS(수출실적!$L$2:$L$1297,수출실적!$C$2:$C$1297,$A11,수출실적!$G$2:$G$1297,"중국")</f>
        <v/>
      </c>
      <c r="I11" s="54">
        <f>SUM(B11:H11)</f>
        <v/>
      </c>
      <c r="J11" s="55">
        <f>IF(I10=0,"",I11/I10-1)</f>
        <v/>
      </c>
      <c r="K11" s="44">
        <f>SUMPRODUCT((수출실적!$C$2:$C$1297=$A11)*(수출실적!$L$2:$L$1297=""))</f>
        <v/>
      </c>
    </row>
    <row r="12" ht="15" customHeight="1" s="32">
      <c r="A12" s="44" t="inlineStr">
        <is>
          <t>2023-11</t>
        </is>
      </c>
      <c r="B12" s="54">
        <f>SUMIFS(수출실적!$L$2:$L$1297,수출실적!$C$2:$C$1297,$A12,수출실적!$G$2:$G$1297,"미국")</f>
        <v/>
      </c>
      <c r="C12" s="54">
        <f>SUMIFS(수출실적!$L$2:$L$1297,수출실적!$C$2:$C$1297,$A12,수출실적!$G$2:$G$1297,"멕시코")</f>
        <v/>
      </c>
      <c r="D12" s="54">
        <f>SUMIFS(수출실적!$L$2:$L$1297,수출실적!$C$2:$C$1297,$A12,수출실적!$G$2:$G$1297,"캐나다")</f>
        <v/>
      </c>
      <c r="E12" s="54">
        <f>SUMIFS(수출실적!$L$2:$L$1297,수출실적!$C$2:$C$1297,$A12,수출실적!$G$2:$G$1297,"독일")</f>
        <v/>
      </c>
      <c r="F12" s="54">
        <f>SUMIFS(수출실적!$L$2:$L$1297,수출실적!$C$2:$C$1297,$A12,수출실적!$G$2:$G$1297,"베트남")</f>
        <v/>
      </c>
      <c r="G12" s="54">
        <f>SUMIFS(수출실적!$L$2:$L$1297,수출실적!$C$2:$C$1297,$A12,수출실적!$G$2:$G$1297,"인도")</f>
        <v/>
      </c>
      <c r="H12" s="54">
        <f>SUMIFS(수출실적!$L$2:$L$1297,수출실적!$C$2:$C$1297,$A12,수출실적!$G$2:$G$1297,"중국")</f>
        <v/>
      </c>
      <c r="I12" s="54">
        <f>SUM(B12:H12)</f>
        <v/>
      </c>
      <c r="J12" s="55">
        <f>IF(I11=0,"",I12/I11-1)</f>
        <v/>
      </c>
      <c r="K12" s="44">
        <f>SUMPRODUCT((수출실적!$C$2:$C$1297=$A12)*(수출실적!$L$2:$L$1297=""))</f>
        <v/>
      </c>
    </row>
    <row r="13" ht="15" customHeight="1" s="32">
      <c r="A13" s="44" t="inlineStr">
        <is>
          <t>2023-12</t>
        </is>
      </c>
      <c r="B13" s="54">
        <f>SUMIFS(수출실적!$L$2:$L$1297,수출실적!$C$2:$C$1297,$A13,수출실적!$G$2:$G$1297,"미국")</f>
        <v/>
      </c>
      <c r="C13" s="54">
        <f>SUMIFS(수출실적!$L$2:$L$1297,수출실적!$C$2:$C$1297,$A13,수출실적!$G$2:$G$1297,"멕시코")</f>
        <v/>
      </c>
      <c r="D13" s="54">
        <f>SUMIFS(수출실적!$L$2:$L$1297,수출실적!$C$2:$C$1297,$A13,수출실적!$G$2:$G$1297,"캐나다")</f>
        <v/>
      </c>
      <c r="E13" s="54">
        <f>SUMIFS(수출실적!$L$2:$L$1297,수출실적!$C$2:$C$1297,$A13,수출실적!$G$2:$G$1297,"독일")</f>
        <v/>
      </c>
      <c r="F13" s="54">
        <f>SUMIFS(수출실적!$L$2:$L$1297,수출실적!$C$2:$C$1297,$A13,수출실적!$G$2:$G$1297,"베트남")</f>
        <v/>
      </c>
      <c r="G13" s="54">
        <f>SUMIFS(수출실적!$L$2:$L$1297,수출실적!$C$2:$C$1297,$A13,수출실적!$G$2:$G$1297,"인도")</f>
        <v/>
      </c>
      <c r="H13" s="54">
        <f>SUMIFS(수출실적!$L$2:$L$1297,수출실적!$C$2:$C$1297,$A13,수출실적!$G$2:$G$1297,"중국")</f>
        <v/>
      </c>
      <c r="I13" s="54">
        <f>SUM(B13:H13)</f>
        <v/>
      </c>
      <c r="J13" s="55">
        <f>IF(I12=0,"",I13/I12-1)</f>
        <v/>
      </c>
      <c r="K13" s="44">
        <f>SUMPRODUCT((수출실적!$C$2:$C$1297=$A13)*(수출실적!$L$2:$L$1297=""))</f>
        <v/>
      </c>
    </row>
    <row r="14" ht="15" customHeight="1" s="32">
      <c r="A14" s="44" t="inlineStr">
        <is>
          <t>2024-01</t>
        </is>
      </c>
      <c r="B14" s="54">
        <f>SUMIFS(수출실적!$L$2:$L$1297,수출실적!$C$2:$C$1297,$A14,수출실적!$G$2:$G$1297,"미국")</f>
        <v/>
      </c>
      <c r="C14" s="54">
        <f>SUMIFS(수출실적!$L$2:$L$1297,수출실적!$C$2:$C$1297,$A14,수출실적!$G$2:$G$1297,"멕시코")</f>
        <v/>
      </c>
      <c r="D14" s="54">
        <f>SUMIFS(수출실적!$L$2:$L$1297,수출실적!$C$2:$C$1297,$A14,수출실적!$G$2:$G$1297,"캐나다")</f>
        <v/>
      </c>
      <c r="E14" s="54">
        <f>SUMIFS(수출실적!$L$2:$L$1297,수출실적!$C$2:$C$1297,$A14,수출실적!$G$2:$G$1297,"독일")</f>
        <v/>
      </c>
      <c r="F14" s="54">
        <f>SUMIFS(수출실적!$L$2:$L$1297,수출실적!$C$2:$C$1297,$A14,수출실적!$G$2:$G$1297,"베트남")</f>
        <v/>
      </c>
      <c r="G14" s="54">
        <f>SUMIFS(수출실적!$L$2:$L$1297,수출실적!$C$2:$C$1297,$A14,수출실적!$G$2:$G$1297,"인도")</f>
        <v/>
      </c>
      <c r="H14" s="54">
        <f>SUMIFS(수출실적!$L$2:$L$1297,수출실적!$C$2:$C$1297,$A14,수출실적!$G$2:$G$1297,"중국")</f>
        <v/>
      </c>
      <c r="I14" s="54">
        <f>SUM(B14:H14)</f>
        <v/>
      </c>
      <c r="J14" s="55">
        <f>IF(I13=0,"",I14/I13-1)</f>
        <v/>
      </c>
      <c r="K14" s="44">
        <f>SUMPRODUCT((수출실적!$C$2:$C$1297=$A14)*(수출실적!$L$2:$L$1297=""))</f>
        <v/>
      </c>
    </row>
    <row r="15" ht="15" customHeight="1" s="32">
      <c r="A15" s="44" t="inlineStr">
        <is>
          <t>2024-02</t>
        </is>
      </c>
      <c r="B15" s="54">
        <f>SUMIFS(수출실적!$L$2:$L$1297,수출실적!$C$2:$C$1297,$A15,수출실적!$G$2:$G$1297,"미국")</f>
        <v/>
      </c>
      <c r="C15" s="54">
        <f>SUMIFS(수출실적!$L$2:$L$1297,수출실적!$C$2:$C$1297,$A15,수출실적!$G$2:$G$1297,"멕시코")</f>
        <v/>
      </c>
      <c r="D15" s="54">
        <f>SUMIFS(수출실적!$L$2:$L$1297,수출실적!$C$2:$C$1297,$A15,수출실적!$G$2:$G$1297,"캐나다")</f>
        <v/>
      </c>
      <c r="E15" s="54">
        <f>SUMIFS(수출실적!$L$2:$L$1297,수출실적!$C$2:$C$1297,$A15,수출실적!$G$2:$G$1297,"독일")</f>
        <v/>
      </c>
      <c r="F15" s="54">
        <f>SUMIFS(수출실적!$L$2:$L$1297,수출실적!$C$2:$C$1297,$A15,수출실적!$G$2:$G$1297,"베트남")</f>
        <v/>
      </c>
      <c r="G15" s="54">
        <f>SUMIFS(수출실적!$L$2:$L$1297,수출실적!$C$2:$C$1297,$A15,수출실적!$G$2:$G$1297,"인도")</f>
        <v/>
      </c>
      <c r="H15" s="54">
        <f>SUMIFS(수출실적!$L$2:$L$1297,수출실적!$C$2:$C$1297,$A15,수출실적!$G$2:$G$1297,"중국")</f>
        <v/>
      </c>
      <c r="I15" s="54">
        <f>SUM(B15:H15)</f>
        <v/>
      </c>
      <c r="J15" s="55">
        <f>IF(I14=0,"",I15/I14-1)</f>
        <v/>
      </c>
      <c r="K15" s="44">
        <f>SUMPRODUCT((수출실적!$C$2:$C$1297=$A15)*(수출실적!$L$2:$L$1297=""))</f>
        <v/>
      </c>
    </row>
    <row r="16" ht="15" customHeight="1" s="32">
      <c r="A16" s="44" t="inlineStr">
        <is>
          <t>2024-03</t>
        </is>
      </c>
      <c r="B16" s="54">
        <f>SUMIFS(수출실적!$L$2:$L$1297,수출실적!$C$2:$C$1297,$A16,수출실적!$G$2:$G$1297,"미국")</f>
        <v/>
      </c>
      <c r="C16" s="54">
        <f>SUMIFS(수출실적!$L$2:$L$1297,수출실적!$C$2:$C$1297,$A16,수출실적!$G$2:$G$1297,"멕시코")</f>
        <v/>
      </c>
      <c r="D16" s="54">
        <f>SUMIFS(수출실적!$L$2:$L$1297,수출실적!$C$2:$C$1297,$A16,수출실적!$G$2:$G$1297,"캐나다")</f>
        <v/>
      </c>
      <c r="E16" s="54">
        <f>SUMIFS(수출실적!$L$2:$L$1297,수출실적!$C$2:$C$1297,$A16,수출실적!$G$2:$G$1297,"독일")</f>
        <v/>
      </c>
      <c r="F16" s="54">
        <f>SUMIFS(수출실적!$L$2:$L$1297,수출실적!$C$2:$C$1297,$A16,수출실적!$G$2:$G$1297,"베트남")</f>
        <v/>
      </c>
      <c r="G16" s="54">
        <f>SUMIFS(수출실적!$L$2:$L$1297,수출실적!$C$2:$C$1297,$A16,수출실적!$G$2:$G$1297,"인도")</f>
        <v/>
      </c>
      <c r="H16" s="54">
        <f>SUMIFS(수출실적!$L$2:$L$1297,수출실적!$C$2:$C$1297,$A16,수출실적!$G$2:$G$1297,"중국")</f>
        <v/>
      </c>
      <c r="I16" s="54">
        <f>SUM(B16:H16)</f>
        <v/>
      </c>
      <c r="J16" s="55">
        <f>IF(I15=0,"",I16/I15-1)</f>
        <v/>
      </c>
      <c r="K16" s="44">
        <f>SUMPRODUCT((수출실적!$C$2:$C$1297=$A16)*(수출실적!$L$2:$L$1297=""))</f>
        <v/>
      </c>
    </row>
    <row r="17" ht="15" customHeight="1" s="32">
      <c r="A17" s="44" t="inlineStr">
        <is>
          <t>2024-04</t>
        </is>
      </c>
      <c r="B17" s="54">
        <f>SUMIFS(수출실적!$L$2:$L$1297,수출실적!$C$2:$C$1297,$A17,수출실적!$G$2:$G$1297,"미국")</f>
        <v/>
      </c>
      <c r="C17" s="54">
        <f>SUMIFS(수출실적!$L$2:$L$1297,수출실적!$C$2:$C$1297,$A17,수출실적!$G$2:$G$1297,"멕시코")</f>
        <v/>
      </c>
      <c r="D17" s="54">
        <f>SUMIFS(수출실적!$L$2:$L$1297,수출실적!$C$2:$C$1297,$A17,수출실적!$G$2:$G$1297,"캐나다")</f>
        <v/>
      </c>
      <c r="E17" s="54">
        <f>SUMIFS(수출실적!$L$2:$L$1297,수출실적!$C$2:$C$1297,$A17,수출실적!$G$2:$G$1297,"독일")</f>
        <v/>
      </c>
      <c r="F17" s="54">
        <f>SUMIFS(수출실적!$L$2:$L$1297,수출실적!$C$2:$C$1297,$A17,수출실적!$G$2:$G$1297,"베트남")</f>
        <v/>
      </c>
      <c r="G17" s="54">
        <f>SUMIFS(수출실적!$L$2:$L$1297,수출실적!$C$2:$C$1297,$A17,수출실적!$G$2:$G$1297,"인도")</f>
        <v/>
      </c>
      <c r="H17" s="54">
        <f>SUMIFS(수출실적!$L$2:$L$1297,수출실적!$C$2:$C$1297,$A17,수출실적!$G$2:$G$1297,"중국")</f>
        <v/>
      </c>
      <c r="I17" s="54">
        <f>SUM(B17:H17)</f>
        <v/>
      </c>
      <c r="J17" s="55">
        <f>IF(I16=0,"",I17/I16-1)</f>
        <v/>
      </c>
      <c r="K17" s="44">
        <f>SUMPRODUCT((수출실적!$C$2:$C$1297=$A17)*(수출실적!$L$2:$L$1297=""))</f>
        <v/>
      </c>
    </row>
    <row r="18" ht="15" customHeight="1" s="32">
      <c r="A18" s="44" t="inlineStr">
        <is>
          <t>2024-05</t>
        </is>
      </c>
      <c r="B18" s="54">
        <f>SUMIFS(수출실적!$L$2:$L$1297,수출실적!$C$2:$C$1297,$A18,수출실적!$G$2:$G$1297,"미국")</f>
        <v/>
      </c>
      <c r="C18" s="54">
        <f>SUMIFS(수출실적!$L$2:$L$1297,수출실적!$C$2:$C$1297,$A18,수출실적!$G$2:$G$1297,"멕시코")</f>
        <v/>
      </c>
      <c r="D18" s="54">
        <f>SUMIFS(수출실적!$L$2:$L$1297,수출실적!$C$2:$C$1297,$A18,수출실적!$G$2:$G$1297,"캐나다")</f>
        <v/>
      </c>
      <c r="E18" s="54">
        <f>SUMIFS(수출실적!$L$2:$L$1297,수출실적!$C$2:$C$1297,$A18,수출실적!$G$2:$G$1297,"독일")</f>
        <v/>
      </c>
      <c r="F18" s="54">
        <f>SUMIFS(수출실적!$L$2:$L$1297,수출실적!$C$2:$C$1297,$A18,수출실적!$G$2:$G$1297,"베트남")</f>
        <v/>
      </c>
      <c r="G18" s="54">
        <f>SUMIFS(수출실적!$L$2:$L$1297,수출실적!$C$2:$C$1297,$A18,수출실적!$G$2:$G$1297,"인도")</f>
        <v/>
      </c>
      <c r="H18" s="54">
        <f>SUMIFS(수출실적!$L$2:$L$1297,수출실적!$C$2:$C$1297,$A18,수출실적!$G$2:$G$1297,"중국")</f>
        <v/>
      </c>
      <c r="I18" s="54">
        <f>SUM(B18:H18)</f>
        <v/>
      </c>
      <c r="J18" s="55">
        <f>IF(I17=0,"",I18/I17-1)</f>
        <v/>
      </c>
      <c r="K18" s="44">
        <f>SUMPRODUCT((수출실적!$C$2:$C$1297=$A18)*(수출실적!$L$2:$L$1297=""))</f>
        <v/>
      </c>
    </row>
    <row r="19" ht="15" customHeight="1" s="32">
      <c r="A19" s="44" t="inlineStr">
        <is>
          <t>2024-06</t>
        </is>
      </c>
      <c r="B19" s="54">
        <f>SUMIFS(수출실적!$L$2:$L$1297,수출실적!$C$2:$C$1297,$A19,수출실적!$G$2:$G$1297,"미국")</f>
        <v/>
      </c>
      <c r="C19" s="54">
        <f>SUMIFS(수출실적!$L$2:$L$1297,수출실적!$C$2:$C$1297,$A19,수출실적!$G$2:$G$1297,"멕시코")</f>
        <v/>
      </c>
      <c r="D19" s="54">
        <f>SUMIFS(수출실적!$L$2:$L$1297,수출실적!$C$2:$C$1297,$A19,수출실적!$G$2:$G$1297,"캐나다")</f>
        <v/>
      </c>
      <c r="E19" s="54">
        <f>SUMIFS(수출실적!$L$2:$L$1297,수출실적!$C$2:$C$1297,$A19,수출실적!$G$2:$G$1297,"독일")</f>
        <v/>
      </c>
      <c r="F19" s="54">
        <f>SUMIFS(수출실적!$L$2:$L$1297,수출실적!$C$2:$C$1297,$A19,수출실적!$G$2:$G$1297,"베트남")</f>
        <v/>
      </c>
      <c r="G19" s="54">
        <f>SUMIFS(수출실적!$L$2:$L$1297,수출실적!$C$2:$C$1297,$A19,수출실적!$G$2:$G$1297,"인도")</f>
        <v/>
      </c>
      <c r="H19" s="54">
        <f>SUMIFS(수출실적!$L$2:$L$1297,수출실적!$C$2:$C$1297,$A19,수출실적!$G$2:$G$1297,"중국")</f>
        <v/>
      </c>
      <c r="I19" s="54">
        <f>SUM(B19:H19)</f>
        <v/>
      </c>
      <c r="J19" s="55">
        <f>IF(I18=0,"",I19/I18-1)</f>
        <v/>
      </c>
      <c r="K19" s="44">
        <f>SUMPRODUCT((수출실적!$C$2:$C$1297=$A19)*(수출실적!$L$2:$L$1297=""))</f>
        <v/>
      </c>
    </row>
    <row r="20" ht="15" customHeight="1" s="32">
      <c r="A20" s="44" t="inlineStr">
        <is>
          <t>2024-07</t>
        </is>
      </c>
      <c r="B20" s="54">
        <f>SUMIFS(수출실적!$L$2:$L$1297,수출실적!$C$2:$C$1297,$A20,수출실적!$G$2:$G$1297,"미국")</f>
        <v/>
      </c>
      <c r="C20" s="54">
        <f>SUMIFS(수출실적!$L$2:$L$1297,수출실적!$C$2:$C$1297,$A20,수출실적!$G$2:$G$1297,"멕시코")</f>
        <v/>
      </c>
      <c r="D20" s="54">
        <f>SUMIFS(수출실적!$L$2:$L$1297,수출실적!$C$2:$C$1297,$A20,수출실적!$G$2:$G$1297,"캐나다")</f>
        <v/>
      </c>
      <c r="E20" s="54">
        <f>SUMIFS(수출실적!$L$2:$L$1297,수출실적!$C$2:$C$1297,$A20,수출실적!$G$2:$G$1297,"독일")</f>
        <v/>
      </c>
      <c r="F20" s="54">
        <f>SUMIFS(수출실적!$L$2:$L$1297,수출실적!$C$2:$C$1297,$A20,수출실적!$G$2:$G$1297,"베트남")</f>
        <v/>
      </c>
      <c r="G20" s="54">
        <f>SUMIFS(수출실적!$L$2:$L$1297,수출실적!$C$2:$C$1297,$A20,수출실적!$G$2:$G$1297,"인도")</f>
        <v/>
      </c>
      <c r="H20" s="54">
        <f>SUMIFS(수출실적!$L$2:$L$1297,수출실적!$C$2:$C$1297,$A20,수출실적!$G$2:$G$1297,"중국")</f>
        <v/>
      </c>
      <c r="I20" s="54">
        <f>SUM(B20:H20)</f>
        <v/>
      </c>
      <c r="J20" s="55">
        <f>IF(I19=0,"",I20/I19-1)</f>
        <v/>
      </c>
      <c r="K20" s="44">
        <f>SUMPRODUCT((수출실적!$C$2:$C$1297=$A20)*(수출실적!$L$2:$L$1297=""))</f>
        <v/>
      </c>
    </row>
    <row r="21" ht="15" customHeight="1" s="32">
      <c r="A21" s="44" t="inlineStr">
        <is>
          <t>2024-08</t>
        </is>
      </c>
      <c r="B21" s="54">
        <f>SUMIFS(수출실적!$L$2:$L$1297,수출실적!$C$2:$C$1297,$A21,수출실적!$G$2:$G$1297,"미국")</f>
        <v/>
      </c>
      <c r="C21" s="54">
        <f>SUMIFS(수출실적!$L$2:$L$1297,수출실적!$C$2:$C$1297,$A21,수출실적!$G$2:$G$1297,"멕시코")</f>
        <v/>
      </c>
      <c r="D21" s="54">
        <f>SUMIFS(수출실적!$L$2:$L$1297,수출실적!$C$2:$C$1297,$A21,수출실적!$G$2:$G$1297,"캐나다")</f>
        <v/>
      </c>
      <c r="E21" s="54">
        <f>SUMIFS(수출실적!$L$2:$L$1297,수출실적!$C$2:$C$1297,$A21,수출실적!$G$2:$G$1297,"독일")</f>
        <v/>
      </c>
      <c r="F21" s="54">
        <f>SUMIFS(수출실적!$L$2:$L$1297,수출실적!$C$2:$C$1297,$A21,수출실적!$G$2:$G$1297,"베트남")</f>
        <v/>
      </c>
      <c r="G21" s="54">
        <f>SUMIFS(수출실적!$L$2:$L$1297,수출실적!$C$2:$C$1297,$A21,수출실적!$G$2:$G$1297,"인도")</f>
        <v/>
      </c>
      <c r="H21" s="54">
        <f>SUMIFS(수출실적!$L$2:$L$1297,수출실적!$C$2:$C$1297,$A21,수출실적!$G$2:$G$1297,"중국")</f>
        <v/>
      </c>
      <c r="I21" s="54">
        <f>SUM(B21:H21)</f>
        <v/>
      </c>
      <c r="J21" s="55">
        <f>IF(I20=0,"",I21/I20-1)</f>
        <v/>
      </c>
      <c r="K21" s="44">
        <f>SUMPRODUCT((수출실적!$C$2:$C$1297=$A21)*(수출실적!$L$2:$L$1297=""))</f>
        <v/>
      </c>
    </row>
    <row r="22" ht="15" customHeight="1" s="32">
      <c r="A22" s="44" t="inlineStr">
        <is>
          <t>2024-09</t>
        </is>
      </c>
      <c r="B22" s="54">
        <f>SUMIFS(수출실적!$L$2:$L$1297,수출실적!$C$2:$C$1297,$A22,수출실적!$G$2:$G$1297,"미국")</f>
        <v/>
      </c>
      <c r="C22" s="54">
        <f>SUMIFS(수출실적!$L$2:$L$1297,수출실적!$C$2:$C$1297,$A22,수출실적!$G$2:$G$1297,"멕시코")</f>
        <v/>
      </c>
      <c r="D22" s="54">
        <f>SUMIFS(수출실적!$L$2:$L$1297,수출실적!$C$2:$C$1297,$A22,수출실적!$G$2:$G$1297,"캐나다")</f>
        <v/>
      </c>
      <c r="E22" s="54">
        <f>SUMIFS(수출실적!$L$2:$L$1297,수출실적!$C$2:$C$1297,$A22,수출실적!$G$2:$G$1297,"독일")</f>
        <v/>
      </c>
      <c r="F22" s="54">
        <f>SUMIFS(수출실적!$L$2:$L$1297,수출실적!$C$2:$C$1297,$A22,수출실적!$G$2:$G$1297,"베트남")</f>
        <v/>
      </c>
      <c r="G22" s="54">
        <f>SUMIFS(수출실적!$L$2:$L$1297,수출실적!$C$2:$C$1297,$A22,수출실적!$G$2:$G$1297,"인도")</f>
        <v/>
      </c>
      <c r="H22" s="54">
        <f>SUMIFS(수출실적!$L$2:$L$1297,수출실적!$C$2:$C$1297,$A22,수출실적!$G$2:$G$1297,"중국")</f>
        <v/>
      </c>
      <c r="I22" s="54">
        <f>SUM(B22:H22)</f>
        <v/>
      </c>
      <c r="J22" s="55">
        <f>IF(I21=0,"",I22/I21-1)</f>
        <v/>
      </c>
      <c r="K22" s="44">
        <f>SUMPRODUCT((수출실적!$C$2:$C$1297=$A22)*(수출실적!$L$2:$L$1297=""))</f>
        <v/>
      </c>
    </row>
    <row r="23" ht="15" customHeight="1" s="32">
      <c r="A23" s="44" t="inlineStr">
        <is>
          <t>2024-10</t>
        </is>
      </c>
      <c r="B23" s="54">
        <f>SUMIFS(수출실적!$L$2:$L$1297,수출실적!$C$2:$C$1297,$A23,수출실적!$G$2:$G$1297,"미국")</f>
        <v/>
      </c>
      <c r="C23" s="54">
        <f>SUMIFS(수출실적!$L$2:$L$1297,수출실적!$C$2:$C$1297,$A23,수출실적!$G$2:$G$1297,"멕시코")</f>
        <v/>
      </c>
      <c r="D23" s="54">
        <f>SUMIFS(수출실적!$L$2:$L$1297,수출실적!$C$2:$C$1297,$A23,수출실적!$G$2:$G$1297,"캐나다")</f>
        <v/>
      </c>
      <c r="E23" s="54">
        <f>SUMIFS(수출실적!$L$2:$L$1297,수출실적!$C$2:$C$1297,$A23,수출실적!$G$2:$G$1297,"독일")</f>
        <v/>
      </c>
      <c r="F23" s="54">
        <f>SUMIFS(수출실적!$L$2:$L$1297,수출실적!$C$2:$C$1297,$A23,수출실적!$G$2:$G$1297,"베트남")</f>
        <v/>
      </c>
      <c r="G23" s="54">
        <f>SUMIFS(수출실적!$L$2:$L$1297,수출실적!$C$2:$C$1297,$A23,수출실적!$G$2:$G$1297,"인도")</f>
        <v/>
      </c>
      <c r="H23" s="54">
        <f>SUMIFS(수출실적!$L$2:$L$1297,수출실적!$C$2:$C$1297,$A23,수출실적!$G$2:$G$1297,"중국")</f>
        <v/>
      </c>
      <c r="I23" s="54">
        <f>SUM(B23:H23)</f>
        <v/>
      </c>
      <c r="J23" s="55">
        <f>IF(I22=0,"",I23/I22-1)</f>
        <v/>
      </c>
      <c r="K23" s="44">
        <f>SUMPRODUCT((수출실적!$C$2:$C$1297=$A23)*(수출실적!$L$2:$L$1297=""))</f>
        <v/>
      </c>
    </row>
    <row r="24" ht="15" customHeight="1" s="32">
      <c r="A24" s="44" t="inlineStr">
        <is>
          <t>2024-11</t>
        </is>
      </c>
      <c r="B24" s="54">
        <f>SUMIFS(수출실적!$L$2:$L$1297,수출실적!$C$2:$C$1297,$A24,수출실적!$G$2:$G$1297,"미국")</f>
        <v/>
      </c>
      <c r="C24" s="54">
        <f>SUMIFS(수출실적!$L$2:$L$1297,수출실적!$C$2:$C$1297,$A24,수출실적!$G$2:$G$1297,"멕시코")</f>
        <v/>
      </c>
      <c r="D24" s="54">
        <f>SUMIFS(수출실적!$L$2:$L$1297,수출실적!$C$2:$C$1297,$A24,수출실적!$G$2:$G$1297,"캐나다")</f>
        <v/>
      </c>
      <c r="E24" s="54">
        <f>SUMIFS(수출실적!$L$2:$L$1297,수출실적!$C$2:$C$1297,$A24,수출실적!$G$2:$G$1297,"독일")</f>
        <v/>
      </c>
      <c r="F24" s="54">
        <f>SUMIFS(수출실적!$L$2:$L$1297,수출실적!$C$2:$C$1297,$A24,수출실적!$G$2:$G$1297,"베트남")</f>
        <v/>
      </c>
      <c r="G24" s="54">
        <f>SUMIFS(수출실적!$L$2:$L$1297,수출실적!$C$2:$C$1297,$A24,수출실적!$G$2:$G$1297,"인도")</f>
        <v/>
      </c>
      <c r="H24" s="54">
        <f>SUMIFS(수출실적!$L$2:$L$1297,수출실적!$C$2:$C$1297,$A24,수출실적!$G$2:$G$1297,"중국")</f>
        <v/>
      </c>
      <c r="I24" s="54">
        <f>SUM(B24:H24)</f>
        <v/>
      </c>
      <c r="J24" s="55">
        <f>IF(I23=0,"",I24/I23-1)</f>
        <v/>
      </c>
      <c r="K24" s="44">
        <f>SUMPRODUCT((수출실적!$C$2:$C$1297=$A24)*(수출실적!$L$2:$L$1297=""))</f>
        <v/>
      </c>
    </row>
    <row r="25" ht="15" customHeight="1" s="32">
      <c r="A25" s="44" t="inlineStr">
        <is>
          <t>2024-12</t>
        </is>
      </c>
      <c r="B25" s="54">
        <f>SUMIFS(수출실적!$L$2:$L$1297,수출실적!$C$2:$C$1297,$A25,수출실적!$G$2:$G$1297,"미국")</f>
        <v/>
      </c>
      <c r="C25" s="54">
        <f>SUMIFS(수출실적!$L$2:$L$1297,수출실적!$C$2:$C$1297,$A25,수출실적!$G$2:$G$1297,"멕시코")</f>
        <v/>
      </c>
      <c r="D25" s="54">
        <f>SUMIFS(수출실적!$L$2:$L$1297,수출실적!$C$2:$C$1297,$A25,수출실적!$G$2:$G$1297,"캐나다")</f>
        <v/>
      </c>
      <c r="E25" s="54">
        <f>SUMIFS(수출실적!$L$2:$L$1297,수출실적!$C$2:$C$1297,$A25,수출실적!$G$2:$G$1297,"독일")</f>
        <v/>
      </c>
      <c r="F25" s="54">
        <f>SUMIFS(수출실적!$L$2:$L$1297,수출실적!$C$2:$C$1297,$A25,수출실적!$G$2:$G$1297,"베트남")</f>
        <v/>
      </c>
      <c r="G25" s="54">
        <f>SUMIFS(수출실적!$L$2:$L$1297,수출실적!$C$2:$C$1297,$A25,수출실적!$G$2:$G$1297,"인도")</f>
        <v/>
      </c>
      <c r="H25" s="54">
        <f>SUMIFS(수출실적!$L$2:$L$1297,수출실적!$C$2:$C$1297,$A25,수출실적!$G$2:$G$1297,"중국")</f>
        <v/>
      </c>
      <c r="I25" s="54">
        <f>SUM(B25:H25)</f>
        <v/>
      </c>
      <c r="J25" s="55">
        <f>IF(I24=0,"",I25/I24-1)</f>
        <v/>
      </c>
      <c r="K25" s="44">
        <f>SUMPRODUCT((수출실적!$C$2:$C$1297=$A25)*(수출실적!$L$2:$L$1297=""))</f>
        <v/>
      </c>
    </row>
    <row r="26" ht="15" customHeight="1" s="32">
      <c r="A26" s="44" t="inlineStr">
        <is>
          <t>2025-01</t>
        </is>
      </c>
      <c r="B26" s="54">
        <f>SUMIFS(수출실적!$L$2:$L$1297,수출실적!$C$2:$C$1297,$A26,수출실적!$G$2:$G$1297,"미국")</f>
        <v/>
      </c>
      <c r="C26" s="54">
        <f>SUMIFS(수출실적!$L$2:$L$1297,수출실적!$C$2:$C$1297,$A26,수출실적!$G$2:$G$1297,"멕시코")</f>
        <v/>
      </c>
      <c r="D26" s="54">
        <f>SUMIFS(수출실적!$L$2:$L$1297,수출실적!$C$2:$C$1297,$A26,수출실적!$G$2:$G$1297,"캐나다")</f>
        <v/>
      </c>
      <c r="E26" s="54">
        <f>SUMIFS(수출실적!$L$2:$L$1297,수출실적!$C$2:$C$1297,$A26,수출실적!$G$2:$G$1297,"독일")</f>
        <v/>
      </c>
      <c r="F26" s="54">
        <f>SUMIFS(수출실적!$L$2:$L$1297,수출실적!$C$2:$C$1297,$A26,수출실적!$G$2:$G$1297,"베트남")</f>
        <v/>
      </c>
      <c r="G26" s="54">
        <f>SUMIFS(수출실적!$L$2:$L$1297,수출실적!$C$2:$C$1297,$A26,수출실적!$G$2:$G$1297,"인도")</f>
        <v/>
      </c>
      <c r="H26" s="54">
        <f>SUMIFS(수출실적!$L$2:$L$1297,수출실적!$C$2:$C$1297,$A26,수출실적!$G$2:$G$1297,"중국")</f>
        <v/>
      </c>
      <c r="I26" s="54">
        <f>SUM(B26:H26)</f>
        <v/>
      </c>
      <c r="J26" s="55">
        <f>IF(I25=0,"",I26/I25-1)</f>
        <v/>
      </c>
      <c r="K26" s="44">
        <f>SUMPRODUCT((수출실적!$C$2:$C$1297=$A26)*(수출실적!$L$2:$L$1297=""))</f>
        <v/>
      </c>
    </row>
    <row r="27" ht="15" customHeight="1" s="32">
      <c r="A27" s="44" t="inlineStr">
        <is>
          <t>2025-02</t>
        </is>
      </c>
      <c r="B27" s="54">
        <f>SUMIFS(수출실적!$L$2:$L$1297,수출실적!$C$2:$C$1297,$A27,수출실적!$G$2:$G$1297,"미국")</f>
        <v/>
      </c>
      <c r="C27" s="54">
        <f>SUMIFS(수출실적!$L$2:$L$1297,수출실적!$C$2:$C$1297,$A27,수출실적!$G$2:$G$1297,"멕시코")</f>
        <v/>
      </c>
      <c r="D27" s="54">
        <f>SUMIFS(수출실적!$L$2:$L$1297,수출실적!$C$2:$C$1297,$A27,수출실적!$G$2:$G$1297,"캐나다")</f>
        <v/>
      </c>
      <c r="E27" s="54">
        <f>SUMIFS(수출실적!$L$2:$L$1297,수출실적!$C$2:$C$1297,$A27,수출실적!$G$2:$G$1297,"독일")</f>
        <v/>
      </c>
      <c r="F27" s="54">
        <f>SUMIFS(수출실적!$L$2:$L$1297,수출실적!$C$2:$C$1297,$A27,수출실적!$G$2:$G$1297,"베트남")</f>
        <v/>
      </c>
      <c r="G27" s="54">
        <f>SUMIFS(수출실적!$L$2:$L$1297,수출실적!$C$2:$C$1297,$A27,수출실적!$G$2:$G$1297,"인도")</f>
        <v/>
      </c>
      <c r="H27" s="54">
        <f>SUMIFS(수출실적!$L$2:$L$1297,수출실적!$C$2:$C$1297,$A27,수출실적!$G$2:$G$1297,"중국")</f>
        <v/>
      </c>
      <c r="I27" s="54">
        <f>SUM(B27:H27)</f>
        <v/>
      </c>
      <c r="J27" s="55">
        <f>IF(I26=0,"",I27/I26-1)</f>
        <v/>
      </c>
      <c r="K27" s="44">
        <f>SUMPRODUCT((수출실적!$C$2:$C$1297=$A27)*(수출실적!$L$2:$L$1297=""))</f>
        <v/>
      </c>
    </row>
    <row r="28" ht="15" customHeight="1" s="32">
      <c r="A28" s="44" t="inlineStr">
        <is>
          <t>2025-03</t>
        </is>
      </c>
      <c r="B28" s="54">
        <f>SUMIFS(수출실적!$L$2:$L$1297,수출실적!$C$2:$C$1297,$A28,수출실적!$G$2:$G$1297,"미국")</f>
        <v/>
      </c>
      <c r="C28" s="54">
        <f>SUMIFS(수출실적!$L$2:$L$1297,수출실적!$C$2:$C$1297,$A28,수출실적!$G$2:$G$1297,"멕시코")</f>
        <v/>
      </c>
      <c r="D28" s="54">
        <f>SUMIFS(수출실적!$L$2:$L$1297,수출실적!$C$2:$C$1297,$A28,수출실적!$G$2:$G$1297,"캐나다")</f>
        <v/>
      </c>
      <c r="E28" s="54">
        <f>SUMIFS(수출실적!$L$2:$L$1297,수출실적!$C$2:$C$1297,$A28,수출실적!$G$2:$G$1297,"독일")</f>
        <v/>
      </c>
      <c r="F28" s="54">
        <f>SUMIFS(수출실적!$L$2:$L$1297,수출실적!$C$2:$C$1297,$A28,수출실적!$G$2:$G$1297,"베트남")</f>
        <v/>
      </c>
      <c r="G28" s="54">
        <f>SUMIFS(수출실적!$L$2:$L$1297,수출실적!$C$2:$C$1297,$A28,수출실적!$G$2:$G$1297,"인도")</f>
        <v/>
      </c>
      <c r="H28" s="54">
        <f>SUMIFS(수출실적!$L$2:$L$1297,수출실적!$C$2:$C$1297,$A28,수출실적!$G$2:$G$1297,"중국")</f>
        <v/>
      </c>
      <c r="I28" s="54">
        <f>SUM(B28:H28)</f>
        <v/>
      </c>
      <c r="J28" s="55">
        <f>IF(I27=0,"",I28/I27-1)</f>
        <v/>
      </c>
      <c r="K28" s="44">
        <f>SUMPRODUCT((수출실적!$C$2:$C$1297=$A28)*(수출실적!$L$2:$L$1297=""))</f>
        <v/>
      </c>
    </row>
    <row r="29" ht="15" customHeight="1" s="32">
      <c r="A29" s="44" t="inlineStr">
        <is>
          <t>2025-04</t>
        </is>
      </c>
      <c r="B29" s="54">
        <f>SUMIFS(수출실적!$L$2:$L$1297,수출실적!$C$2:$C$1297,$A29,수출실적!$G$2:$G$1297,"미국")</f>
        <v/>
      </c>
      <c r="C29" s="54">
        <f>SUMIFS(수출실적!$L$2:$L$1297,수출실적!$C$2:$C$1297,$A29,수출실적!$G$2:$G$1297,"멕시코")</f>
        <v/>
      </c>
      <c r="D29" s="54">
        <f>SUMIFS(수출실적!$L$2:$L$1297,수출실적!$C$2:$C$1297,$A29,수출실적!$G$2:$G$1297,"캐나다")</f>
        <v/>
      </c>
      <c r="E29" s="54">
        <f>SUMIFS(수출실적!$L$2:$L$1297,수출실적!$C$2:$C$1297,$A29,수출실적!$G$2:$G$1297,"독일")</f>
        <v/>
      </c>
      <c r="F29" s="54">
        <f>SUMIFS(수출실적!$L$2:$L$1297,수출실적!$C$2:$C$1297,$A29,수출실적!$G$2:$G$1297,"베트남")</f>
        <v/>
      </c>
      <c r="G29" s="54">
        <f>SUMIFS(수출실적!$L$2:$L$1297,수출실적!$C$2:$C$1297,$A29,수출실적!$G$2:$G$1297,"인도")</f>
        <v/>
      </c>
      <c r="H29" s="54">
        <f>SUMIFS(수출실적!$L$2:$L$1297,수출실적!$C$2:$C$1297,$A29,수출실적!$G$2:$G$1297,"중국")</f>
        <v/>
      </c>
      <c r="I29" s="54">
        <f>SUM(B29:H29)</f>
        <v/>
      </c>
      <c r="J29" s="55">
        <f>IF(I28=0,"",I29/I28-1)</f>
        <v/>
      </c>
      <c r="K29" s="44">
        <f>SUMPRODUCT((수출실적!$C$2:$C$1297=$A29)*(수출실적!$L$2:$L$1297=""))</f>
        <v/>
      </c>
    </row>
    <row r="30" ht="15" customHeight="1" s="32">
      <c r="A30" s="44" t="inlineStr">
        <is>
          <t>2025-05</t>
        </is>
      </c>
      <c r="B30" s="54">
        <f>SUMIFS(수출실적!$L$2:$L$1297,수출실적!$C$2:$C$1297,$A30,수출실적!$G$2:$G$1297,"미국")</f>
        <v/>
      </c>
      <c r="C30" s="54">
        <f>SUMIFS(수출실적!$L$2:$L$1297,수출실적!$C$2:$C$1297,$A30,수출실적!$G$2:$G$1297,"멕시코")</f>
        <v/>
      </c>
      <c r="D30" s="54">
        <f>SUMIFS(수출실적!$L$2:$L$1297,수출실적!$C$2:$C$1297,$A30,수출실적!$G$2:$G$1297,"캐나다")</f>
        <v/>
      </c>
      <c r="E30" s="54">
        <f>SUMIFS(수출실적!$L$2:$L$1297,수출실적!$C$2:$C$1297,$A30,수출실적!$G$2:$G$1297,"독일")</f>
        <v/>
      </c>
      <c r="F30" s="54">
        <f>SUMIFS(수출실적!$L$2:$L$1297,수출실적!$C$2:$C$1297,$A30,수출실적!$G$2:$G$1297,"베트남")</f>
        <v/>
      </c>
      <c r="G30" s="54">
        <f>SUMIFS(수출실적!$L$2:$L$1297,수출실적!$C$2:$C$1297,$A30,수출실적!$G$2:$G$1297,"인도")</f>
        <v/>
      </c>
      <c r="H30" s="54">
        <f>SUMIFS(수출실적!$L$2:$L$1297,수출실적!$C$2:$C$1297,$A30,수출실적!$G$2:$G$1297,"중국")</f>
        <v/>
      </c>
      <c r="I30" s="54">
        <f>SUM(B30:H30)</f>
        <v/>
      </c>
      <c r="J30" s="55">
        <f>IF(I29=0,"",I30/I29-1)</f>
        <v/>
      </c>
      <c r="K30" s="44">
        <f>SUMPRODUCT((수출실적!$C$2:$C$1297=$A30)*(수출실적!$L$2:$L$1297=""))</f>
        <v/>
      </c>
    </row>
    <row r="31" ht="15" customHeight="1" s="32">
      <c r="A31" s="44" t="inlineStr">
        <is>
          <t>2025-06</t>
        </is>
      </c>
      <c r="B31" s="54">
        <f>SUMIFS(수출실적!$L$2:$L$1297,수출실적!$C$2:$C$1297,$A31,수출실적!$G$2:$G$1297,"미국")</f>
        <v/>
      </c>
      <c r="C31" s="54">
        <f>SUMIFS(수출실적!$L$2:$L$1297,수출실적!$C$2:$C$1297,$A31,수출실적!$G$2:$G$1297,"멕시코")</f>
        <v/>
      </c>
      <c r="D31" s="54">
        <f>SUMIFS(수출실적!$L$2:$L$1297,수출실적!$C$2:$C$1297,$A31,수출실적!$G$2:$G$1297,"캐나다")</f>
        <v/>
      </c>
      <c r="E31" s="54">
        <f>SUMIFS(수출실적!$L$2:$L$1297,수출실적!$C$2:$C$1297,$A31,수출실적!$G$2:$G$1297,"독일")</f>
        <v/>
      </c>
      <c r="F31" s="54">
        <f>SUMIFS(수출실적!$L$2:$L$1297,수출실적!$C$2:$C$1297,$A31,수출실적!$G$2:$G$1297,"베트남")</f>
        <v/>
      </c>
      <c r="G31" s="54">
        <f>SUMIFS(수출실적!$L$2:$L$1297,수출실적!$C$2:$C$1297,$A31,수출실적!$G$2:$G$1297,"인도")</f>
        <v/>
      </c>
      <c r="H31" s="54">
        <f>SUMIFS(수출실적!$L$2:$L$1297,수출실적!$C$2:$C$1297,$A31,수출실적!$G$2:$G$1297,"중국")</f>
        <v/>
      </c>
      <c r="I31" s="54">
        <f>SUM(B31:H31)</f>
        <v/>
      </c>
      <c r="J31" s="55">
        <f>IF(I30=0,"",I31/I30-1)</f>
        <v/>
      </c>
      <c r="K31" s="44">
        <f>SUMPRODUCT((수출실적!$C$2:$C$1297=$A31)*(수출실적!$L$2:$L$1297=""))</f>
        <v/>
      </c>
    </row>
    <row r="32" ht="15" customHeight="1" s="32">
      <c r="A32" s="44" t="inlineStr">
        <is>
          <t>2025-07</t>
        </is>
      </c>
      <c r="B32" s="54">
        <f>SUMIFS(수출실적!$L$2:$L$1297,수출실적!$C$2:$C$1297,$A32,수출실적!$G$2:$G$1297,"미국")</f>
        <v/>
      </c>
      <c r="C32" s="54">
        <f>SUMIFS(수출실적!$L$2:$L$1297,수출실적!$C$2:$C$1297,$A32,수출실적!$G$2:$G$1297,"멕시코")</f>
        <v/>
      </c>
      <c r="D32" s="54">
        <f>SUMIFS(수출실적!$L$2:$L$1297,수출실적!$C$2:$C$1297,$A32,수출실적!$G$2:$G$1297,"캐나다")</f>
        <v/>
      </c>
      <c r="E32" s="54">
        <f>SUMIFS(수출실적!$L$2:$L$1297,수출실적!$C$2:$C$1297,$A32,수출실적!$G$2:$G$1297,"독일")</f>
        <v/>
      </c>
      <c r="F32" s="54">
        <f>SUMIFS(수출실적!$L$2:$L$1297,수출실적!$C$2:$C$1297,$A32,수출실적!$G$2:$G$1297,"베트남")</f>
        <v/>
      </c>
      <c r="G32" s="54">
        <f>SUMIFS(수출실적!$L$2:$L$1297,수출실적!$C$2:$C$1297,$A32,수출실적!$G$2:$G$1297,"인도")</f>
        <v/>
      </c>
      <c r="H32" s="54">
        <f>SUMIFS(수출실적!$L$2:$L$1297,수출실적!$C$2:$C$1297,$A32,수출실적!$G$2:$G$1297,"중국")</f>
        <v/>
      </c>
      <c r="I32" s="54">
        <f>SUM(B32:H32)</f>
        <v/>
      </c>
      <c r="J32" s="55">
        <f>IF(I31=0,"",I32/I31-1)</f>
        <v/>
      </c>
      <c r="K32" s="44">
        <f>SUMPRODUCT((수출실적!$C$2:$C$1297=$A32)*(수출실적!$L$2:$L$1297=""))</f>
        <v/>
      </c>
    </row>
    <row r="33" ht="15" customHeight="1" s="32">
      <c r="A33" s="44" t="inlineStr">
        <is>
          <t>2025-08</t>
        </is>
      </c>
      <c r="B33" s="54">
        <f>SUMIFS(수출실적!$L$2:$L$1297,수출실적!$C$2:$C$1297,$A33,수출실적!$G$2:$G$1297,"미국")</f>
        <v/>
      </c>
      <c r="C33" s="54">
        <f>SUMIFS(수출실적!$L$2:$L$1297,수출실적!$C$2:$C$1297,$A33,수출실적!$G$2:$G$1297,"멕시코")</f>
        <v/>
      </c>
      <c r="D33" s="54">
        <f>SUMIFS(수출실적!$L$2:$L$1297,수출실적!$C$2:$C$1297,$A33,수출실적!$G$2:$G$1297,"캐나다")</f>
        <v/>
      </c>
      <c r="E33" s="54">
        <f>SUMIFS(수출실적!$L$2:$L$1297,수출실적!$C$2:$C$1297,$A33,수출실적!$G$2:$G$1297,"독일")</f>
        <v/>
      </c>
      <c r="F33" s="54">
        <f>SUMIFS(수출실적!$L$2:$L$1297,수출실적!$C$2:$C$1297,$A33,수출실적!$G$2:$G$1297,"베트남")</f>
        <v/>
      </c>
      <c r="G33" s="54">
        <f>SUMIFS(수출실적!$L$2:$L$1297,수출실적!$C$2:$C$1297,$A33,수출실적!$G$2:$G$1297,"인도")</f>
        <v/>
      </c>
      <c r="H33" s="54">
        <f>SUMIFS(수출실적!$L$2:$L$1297,수출실적!$C$2:$C$1297,$A33,수출실적!$G$2:$G$1297,"중국")</f>
        <v/>
      </c>
      <c r="I33" s="54">
        <f>SUM(B33:H33)</f>
        <v/>
      </c>
      <c r="J33" s="55">
        <f>IF(I32=0,"",I33/I32-1)</f>
        <v/>
      </c>
      <c r="K33" s="44">
        <f>SUMPRODUCT((수출실적!$C$2:$C$1297=$A33)*(수출실적!$L$2:$L$1297=""))</f>
        <v/>
      </c>
    </row>
    <row r="34" ht="15" customHeight="1" s="32">
      <c r="A34" s="44" t="inlineStr">
        <is>
          <t>2025-09</t>
        </is>
      </c>
      <c r="B34" s="54">
        <f>SUMIFS(수출실적!$L$2:$L$1297,수출실적!$C$2:$C$1297,$A34,수출실적!$G$2:$G$1297,"미국")</f>
        <v/>
      </c>
      <c r="C34" s="54">
        <f>SUMIFS(수출실적!$L$2:$L$1297,수출실적!$C$2:$C$1297,$A34,수출실적!$G$2:$G$1297,"멕시코")</f>
        <v/>
      </c>
      <c r="D34" s="54">
        <f>SUMIFS(수출실적!$L$2:$L$1297,수출실적!$C$2:$C$1297,$A34,수출실적!$G$2:$G$1297,"캐나다")</f>
        <v/>
      </c>
      <c r="E34" s="54">
        <f>SUMIFS(수출실적!$L$2:$L$1297,수출실적!$C$2:$C$1297,$A34,수출실적!$G$2:$G$1297,"독일")</f>
        <v/>
      </c>
      <c r="F34" s="54">
        <f>SUMIFS(수출실적!$L$2:$L$1297,수출실적!$C$2:$C$1297,$A34,수출실적!$G$2:$G$1297,"베트남")</f>
        <v/>
      </c>
      <c r="G34" s="54">
        <f>SUMIFS(수출실적!$L$2:$L$1297,수출실적!$C$2:$C$1297,$A34,수출실적!$G$2:$G$1297,"인도")</f>
        <v/>
      </c>
      <c r="H34" s="54">
        <f>SUMIFS(수출실적!$L$2:$L$1297,수출실적!$C$2:$C$1297,$A34,수출실적!$G$2:$G$1297,"중국")</f>
        <v/>
      </c>
      <c r="I34" s="54">
        <f>SUM(B34:H34)</f>
        <v/>
      </c>
      <c r="J34" s="55">
        <f>IF(I33=0,"",I34/I33-1)</f>
        <v/>
      </c>
      <c r="K34" s="44">
        <f>SUMPRODUCT((수출실적!$C$2:$C$1297=$A34)*(수출실적!$L$2:$L$1297=""))</f>
        <v/>
      </c>
    </row>
    <row r="35" ht="15" customHeight="1" s="32">
      <c r="A35" s="44" t="inlineStr">
        <is>
          <t>2025-10</t>
        </is>
      </c>
      <c r="B35" s="54">
        <f>SUMIFS(수출실적!$L$2:$L$1297,수출실적!$C$2:$C$1297,$A35,수출실적!$G$2:$G$1297,"미국")</f>
        <v/>
      </c>
      <c r="C35" s="54">
        <f>SUMIFS(수출실적!$L$2:$L$1297,수출실적!$C$2:$C$1297,$A35,수출실적!$G$2:$G$1297,"멕시코")</f>
        <v/>
      </c>
      <c r="D35" s="54">
        <f>SUMIFS(수출실적!$L$2:$L$1297,수출실적!$C$2:$C$1297,$A35,수출실적!$G$2:$G$1297,"캐나다")</f>
        <v/>
      </c>
      <c r="E35" s="54">
        <f>SUMIFS(수출실적!$L$2:$L$1297,수출실적!$C$2:$C$1297,$A35,수출실적!$G$2:$G$1297,"독일")</f>
        <v/>
      </c>
      <c r="F35" s="54">
        <f>SUMIFS(수출실적!$L$2:$L$1297,수출실적!$C$2:$C$1297,$A35,수출실적!$G$2:$G$1297,"베트남")</f>
        <v/>
      </c>
      <c r="G35" s="54">
        <f>SUMIFS(수출실적!$L$2:$L$1297,수출실적!$C$2:$C$1297,$A35,수출실적!$G$2:$G$1297,"인도")</f>
        <v/>
      </c>
      <c r="H35" s="54">
        <f>SUMIFS(수출실적!$L$2:$L$1297,수출실적!$C$2:$C$1297,$A35,수출실적!$G$2:$G$1297,"중국")</f>
        <v/>
      </c>
      <c r="I35" s="54">
        <f>SUM(B35:H35)</f>
        <v/>
      </c>
      <c r="J35" s="55">
        <f>IF(I34=0,"",I35/I34-1)</f>
        <v/>
      </c>
      <c r="K35" s="44">
        <f>SUMPRODUCT((수출실적!$C$2:$C$1297=$A35)*(수출실적!$L$2:$L$1297=""))</f>
        <v/>
      </c>
    </row>
    <row r="36" ht="15" customHeight="1" s="32">
      <c r="A36" s="44" t="inlineStr">
        <is>
          <t>2025-11</t>
        </is>
      </c>
      <c r="B36" s="54">
        <f>SUMIFS(수출실적!$L$2:$L$1297,수출실적!$C$2:$C$1297,$A36,수출실적!$G$2:$G$1297,"미국")</f>
        <v/>
      </c>
      <c r="C36" s="54">
        <f>SUMIFS(수출실적!$L$2:$L$1297,수출실적!$C$2:$C$1297,$A36,수출실적!$G$2:$G$1297,"멕시코")</f>
        <v/>
      </c>
      <c r="D36" s="54">
        <f>SUMIFS(수출실적!$L$2:$L$1297,수출실적!$C$2:$C$1297,$A36,수출실적!$G$2:$G$1297,"캐나다")</f>
        <v/>
      </c>
      <c r="E36" s="54">
        <f>SUMIFS(수출실적!$L$2:$L$1297,수출실적!$C$2:$C$1297,$A36,수출실적!$G$2:$G$1297,"독일")</f>
        <v/>
      </c>
      <c r="F36" s="54">
        <f>SUMIFS(수출실적!$L$2:$L$1297,수출실적!$C$2:$C$1297,$A36,수출실적!$G$2:$G$1297,"베트남")</f>
        <v/>
      </c>
      <c r="G36" s="54">
        <f>SUMIFS(수출실적!$L$2:$L$1297,수출실적!$C$2:$C$1297,$A36,수출실적!$G$2:$G$1297,"인도")</f>
        <v/>
      </c>
      <c r="H36" s="54">
        <f>SUMIFS(수출실적!$L$2:$L$1297,수출실적!$C$2:$C$1297,$A36,수출실적!$G$2:$G$1297,"중국")</f>
        <v/>
      </c>
      <c r="I36" s="54">
        <f>SUM(B36:H36)</f>
        <v/>
      </c>
      <c r="J36" s="55">
        <f>IF(I35=0,"",I36/I35-1)</f>
        <v/>
      </c>
      <c r="K36" s="44">
        <f>SUMPRODUCT((수출실적!$C$2:$C$1297=$A36)*(수출실적!$L$2:$L$1297=""))</f>
        <v/>
      </c>
    </row>
    <row r="37" ht="15" customHeight="1" s="32">
      <c r="A37" s="44" t="inlineStr">
        <is>
          <t>2025-12</t>
        </is>
      </c>
      <c r="B37" s="54">
        <f>SUMIFS(수출실적!$L$2:$L$1297,수출실적!$C$2:$C$1297,$A37,수출실적!$G$2:$G$1297,"미국")</f>
        <v/>
      </c>
      <c r="C37" s="54">
        <f>SUMIFS(수출실적!$L$2:$L$1297,수출실적!$C$2:$C$1297,$A37,수출실적!$G$2:$G$1297,"멕시코")</f>
        <v/>
      </c>
      <c r="D37" s="54">
        <f>SUMIFS(수출실적!$L$2:$L$1297,수출실적!$C$2:$C$1297,$A37,수출실적!$G$2:$G$1297,"캐나다")</f>
        <v/>
      </c>
      <c r="E37" s="54">
        <f>SUMIFS(수출실적!$L$2:$L$1297,수출실적!$C$2:$C$1297,$A37,수출실적!$G$2:$G$1297,"독일")</f>
        <v/>
      </c>
      <c r="F37" s="54">
        <f>SUMIFS(수출실적!$L$2:$L$1297,수출실적!$C$2:$C$1297,$A37,수출실적!$G$2:$G$1297,"베트남")</f>
        <v/>
      </c>
      <c r="G37" s="54">
        <f>SUMIFS(수출실적!$L$2:$L$1297,수출실적!$C$2:$C$1297,$A37,수출실적!$G$2:$G$1297,"인도")</f>
        <v/>
      </c>
      <c r="H37" s="54">
        <f>SUMIFS(수출실적!$L$2:$L$1297,수출실적!$C$2:$C$1297,$A37,수출실적!$G$2:$G$1297,"중국")</f>
        <v/>
      </c>
      <c r="I37" s="54">
        <f>SUM(B37:H37)</f>
        <v/>
      </c>
      <c r="J37" s="55">
        <f>IF(I36=0,"",I37/I36-1)</f>
        <v/>
      </c>
      <c r="K37" s="44">
        <f>SUMPRODUCT((수출실적!$C$2:$C$1297=$A37)*(수출실적!$L$2:$L$1297=""))</f>
        <v/>
      </c>
    </row>
    <row r="39" ht="15" customHeight="1" s="32">
      <c r="A39" s="42" t="inlineStr">
        <is>
          <t>금액은 수출실적 시트 합계(SUMIFS). 금액 빈칸은 0으로 더해지므로 '금액 빈칸 행수'가 0이 아닌 달은 합계를 그대로 쓰지 말 것.</t>
        </is>
      </c>
    </row>
    <row r="40" ht="15" customHeight="1" s="32">
      <c r="A40" s="42" t="inlineStr">
        <is>
          <t>회사 자체 수출 흐름 참고용. 대시보드 안정성(목적국 수입금액 CV·급감)은 공개 무역통계로 계산하며 이 표와 다름.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16" customWidth="1" style="31" min="2" max="2"/>
    <col width="18" customWidth="1" style="31" min="3" max="5"/>
    <col width="8" customWidth="1" style="31" min="6" max="6"/>
    <col width="90" customWidth="1" style="31" min="7" max="7"/>
  </cols>
  <sheetData>
    <row r="1" ht="20.1" customHeight="1" s="32">
      <c r="A1" s="38" t="inlineStr">
        <is>
          <t>한빛반도체 생성 근거 — 삼성전자 DS부문 사업보고서 수치를 1/500로 축소한 가상 데이터</t>
        </is>
      </c>
    </row>
    <row r="2" ht="15" customHeight="1" s="32">
      <c r="A2" s="42" t="inlineStr">
        <is>
          <t>파란 글씨 = 사업보고서 원문 값(입력) · 노란 칸 = 가정값 · 검정 = 수식. 실제 회사의 수출 내역이 아님.</t>
        </is>
      </c>
    </row>
    <row r="4" ht="15" customHeight="1" s="32">
      <c r="A4" s="56" t="inlineStr">
        <is>
          <t>A. 사업보고서 원문 수치</t>
        </is>
      </c>
    </row>
    <row r="5" ht="15" customHeight="1" s="32">
      <c r="A5" s="39" t="inlineStr">
        <is>
          <t>항목</t>
        </is>
      </c>
      <c r="B5" s="43" t="inlineStr">
        <is>
          <t>2022</t>
        </is>
      </c>
      <c r="C5" s="43" t="inlineStr">
        <is>
          <t>2023</t>
        </is>
      </c>
      <c r="D5" s="43" t="inlineStr">
        <is>
          <t>2024</t>
        </is>
      </c>
      <c r="E5" s="43" t="inlineStr">
        <is>
          <t>2025</t>
        </is>
      </c>
      <c r="F5" s="39" t="inlineStr">
        <is>
          <t>단위</t>
        </is>
      </c>
      <c r="G5" s="39" t="inlineStr">
        <is>
          <t>출처</t>
        </is>
      </c>
    </row>
    <row r="6" ht="15" customHeight="1" s="32">
      <c r="A6" s="46" t="inlineStr">
        <is>
          <t>DS부문 매출액</t>
        </is>
      </c>
      <c r="B6" s="57" t="n">
        <v>984553</v>
      </c>
      <c r="C6" s="57" t="n">
        <v>665945</v>
      </c>
      <c r="D6" s="57" t="n">
        <v>1110660</v>
      </c>
      <c r="E6" s="57" t="n">
        <v>1301282</v>
      </c>
      <c r="F6" s="48" t="inlineStr">
        <is>
          <t>억원</t>
        </is>
      </c>
      <c r="G6" s="48" t="inlineStr">
        <is>
          <t>삼성전자 사업보고서(2026.03.10) PDF p.43 '4. 매출 및 수주상황' (제57·56·55기) / 2022: 사업보고서(2024.03.12) PDF p.38</t>
        </is>
      </c>
    </row>
    <row r="7" ht="15" customHeight="1" s="32">
      <c r="A7" s="48" t="inlineStr">
        <is>
          <t>메모리 매출액</t>
        </is>
      </c>
      <c r="B7" s="57" t="n">
        <v>685349</v>
      </c>
      <c r="C7" s="57" t="n">
        <v>441254</v>
      </c>
      <c r="D7" s="57" t="n">
        <v>844630</v>
      </c>
      <c r="E7" s="57" t="n">
        <v>1040812</v>
      </c>
      <c r="F7" s="48" t="inlineStr">
        <is>
          <t>억원</t>
        </is>
      </c>
      <c r="G7" s="48" t="inlineStr">
        <is>
          <t>삼성전자 사업보고서(2026.03.10) PDF p.44 '(1) 주요 제품별 매출실적' / 2022: 사업보고서(2024.03.12) PDF p.39</t>
        </is>
      </c>
    </row>
    <row r="8" ht="15" customHeight="1" s="32">
      <c r="A8" s="48" t="inlineStr">
        <is>
          <t>별도 내수(국내)</t>
        </is>
      </c>
      <c r="B8" s="57" t="n"/>
      <c r="C8" s="57" t="n">
        <v>205196</v>
      </c>
      <c r="D8" s="57" t="n">
        <v>202978</v>
      </c>
      <c r="E8" s="57" t="n">
        <v>216560</v>
      </c>
      <c r="F8" s="48" t="inlineStr">
        <is>
          <t>억원</t>
        </is>
      </c>
      <c r="G8" s="48" t="inlineStr">
        <is>
          <t>삼성전자 사업보고서(2026.03.10) PDF p.44 '(3) 주요 지역별 매출 현황' (별도 기준, 전사)</t>
        </is>
      </c>
    </row>
    <row r="9" ht="15" customHeight="1" s="32">
      <c r="A9" s="48" t="inlineStr">
        <is>
          <t>별도 수출-미주</t>
        </is>
      </c>
      <c r="B9" s="57" t="n"/>
      <c r="C9" s="57" t="n">
        <v>510934</v>
      </c>
      <c r="D9" s="57" t="n">
        <v>613533</v>
      </c>
      <c r="E9" s="57" t="n">
        <v>678942</v>
      </c>
      <c r="F9" s="48" t="inlineStr">
        <is>
          <t>억원</t>
        </is>
      </c>
      <c r="G9" s="48" t="inlineStr">
        <is>
          <t>同上</t>
        </is>
      </c>
    </row>
    <row r="10" ht="15" customHeight="1" s="32">
      <c r="A10" s="48" t="inlineStr">
        <is>
          <t>별도 수출-유럽</t>
        </is>
      </c>
      <c r="B10" s="57" t="n"/>
      <c r="C10" s="57" t="n">
        <v>239342</v>
      </c>
      <c r="D10" s="57" t="n">
        <v>290967</v>
      </c>
      <c r="E10" s="57" t="n">
        <v>312307</v>
      </c>
      <c r="F10" s="48" t="inlineStr">
        <is>
          <t>억원</t>
        </is>
      </c>
      <c r="G10" s="48" t="inlineStr">
        <is>
          <t>同上</t>
        </is>
      </c>
    </row>
    <row r="11" ht="15" customHeight="1" s="32">
      <c r="A11" s="48" t="inlineStr">
        <is>
          <t>별도 수출-아시아·아프리카</t>
        </is>
      </c>
      <c r="B11" s="57" t="n"/>
      <c r="C11" s="57" t="n">
        <v>326262</v>
      </c>
      <c r="D11" s="57" t="n">
        <v>333769</v>
      </c>
      <c r="E11" s="57" t="n">
        <v>456870</v>
      </c>
      <c r="F11" s="48" t="inlineStr">
        <is>
          <t>억원</t>
        </is>
      </c>
      <c r="G11" s="48" t="inlineStr">
        <is>
          <t>同上</t>
        </is>
      </c>
    </row>
    <row r="12" ht="15" customHeight="1" s="32">
      <c r="A12" s="48" t="inlineStr">
        <is>
          <t>별도 수출-중국</t>
        </is>
      </c>
      <c r="B12" s="57" t="n"/>
      <c r="C12" s="57" t="n">
        <v>422007</v>
      </c>
      <c r="D12" s="57" t="n">
        <v>649275</v>
      </c>
      <c r="E12" s="57" t="n">
        <v>715751</v>
      </c>
      <c r="F12" s="48" t="inlineStr">
        <is>
          <t>억원</t>
        </is>
      </c>
      <c r="G12" s="48" t="inlineStr">
        <is>
          <t>同上</t>
        </is>
      </c>
    </row>
    <row r="13" ht="15" customHeight="1" s="32">
      <c r="A13" s="48" t="inlineStr">
        <is>
          <t>메모리 평균판매가격 전년비</t>
        </is>
      </c>
      <c r="B13" s="58" t="n"/>
      <c r="C13" s="58" t="n">
        <v>-0.45</v>
      </c>
      <c r="D13" s="58" t="n">
        <v>0.63</v>
      </c>
      <c r="E13" s="58" t="n">
        <v>0.14</v>
      </c>
      <c r="F13" s="48" t="inlineStr">
        <is>
          <t>비율</t>
        </is>
      </c>
      <c r="G13" s="48" t="inlineStr">
        <is>
          <t>삼성전자 사업보고서 '주요 제품 등의 가격 변동 현황': 2023 PDF p.30(2024.03.12), 2024 PDF p.30(2025.03.11), 2025 PDF p.35(2026.03.10)</t>
        </is>
      </c>
    </row>
    <row r="14" ht="15" customHeight="1" s="32">
      <c r="A14" s="46" t="inlineStr">
        <is>
          <t>SK하이닉스 DRAM/(DRAM+NAND) 비중 (삼성 미공시 → 대용)</t>
        </is>
      </c>
      <c r="B14" s="58" t="n"/>
      <c r="C14" s="58" t="n">
        <v>0.682691838328815</v>
      </c>
      <c r="D14" s="58" t="n">
        <v>0.698869177056771</v>
      </c>
      <c r="E14" s="58" t="n">
        <v>0.7835634368597481</v>
      </c>
      <c r="F14" s="48" t="inlineStr">
        <is>
          <t>비율</t>
        </is>
      </c>
      <c r="G14" s="46" t="inlineStr">
        <is>
          <t>SK하이닉스 사업보고서 연결 주석 '매출액' 제품별: 2025·2024 PDF p.143(2026.03.17), 2023 PDF p.143(2025.03.19)</t>
        </is>
      </c>
    </row>
    <row r="15" ht="15" customHeight="1" s="32">
      <c r="A15" s="46" t="n"/>
      <c r="B15" s="46" t="n"/>
      <c r="C15" s="46" t="n"/>
      <c r="D15" s="46" t="n"/>
      <c r="E15" s="46" t="n"/>
      <c r="F15" s="46" t="n"/>
      <c r="G15" s="46" t="n"/>
    </row>
    <row r="16" ht="15" customHeight="1" s="32">
      <c r="A16" s="56" t="inlineStr">
        <is>
          <t>B. 가정값</t>
        </is>
      </c>
      <c r="B16" s="46" t="n"/>
      <c r="C16" s="46" t="n"/>
      <c r="D16" s="46" t="n"/>
      <c r="E16" s="46" t="n"/>
      <c r="F16" s="46" t="n"/>
      <c r="G16" s="46" t="n"/>
    </row>
    <row r="17" ht="15" customHeight="1" s="32">
      <c r="A17" s="39" t="inlineStr">
        <is>
          <t>가정</t>
        </is>
      </c>
      <c r="B17" s="39" t="inlineStr">
        <is>
          <t>값</t>
        </is>
      </c>
      <c r="C17" s="43" t="inlineStr">
        <is>
          <t>2023</t>
        </is>
      </c>
      <c r="D17" s="43" t="inlineStr">
        <is>
          <t>2024</t>
        </is>
      </c>
      <c r="E17" s="43" t="inlineStr">
        <is>
          <t>2025</t>
        </is>
      </c>
      <c r="F17" s="39" t="n"/>
      <c r="G17" s="39" t="inlineStr">
        <is>
          <t>설명</t>
        </is>
      </c>
    </row>
    <row r="18" ht="15" customHeight="1" s="32">
      <c r="A18" s="48" t="inlineStr">
        <is>
          <t>축소 배율 (1/n)</t>
        </is>
      </c>
      <c r="B18" s="59" t="n">
        <v>500</v>
      </c>
      <c r="C18" s="46" t="n"/>
      <c r="D18" s="46" t="n"/>
      <c r="E18" s="46" t="n"/>
      <c r="F18" s="46" t="n"/>
      <c r="G18" s="48" t="inlineStr">
        <is>
          <t>가상 중견기업 규모로 맞추기 위한 배율. 두 회사 동일 적용 → 두 회사의 상대 규모는 원문 비율 유지</t>
        </is>
      </c>
    </row>
    <row r="19" ht="15" customHeight="1" s="32">
      <c r="A19" s="46" t="inlineStr">
        <is>
          <t>HBM 비중 (DRAM 중)</t>
        </is>
      </c>
      <c r="B19" s="46" t="n"/>
      <c r="C19" s="60" t="n">
        <v>0.1</v>
      </c>
      <c r="D19" s="60" t="n">
        <v>0.2</v>
      </c>
      <c r="E19" s="60" t="n">
        <v>0.3</v>
      </c>
      <c r="F19" s="46" t="n"/>
      <c r="G19" s="48" t="inlineStr">
        <is>
          <t>사업보고서에 HBM 매출 비중 수치 없음 → 가정값. HBM 품목을 따로 두려고 넣음</t>
        </is>
      </c>
    </row>
    <row r="20" ht="15" customHeight="1" s="32">
      <c r="A20" s="48" t="inlineStr">
        <is>
          <t>권역 '미주' 중 미국 비중</t>
        </is>
      </c>
      <c r="B20" s="60" t="n">
        <v>0.85</v>
      </c>
      <c r="C20" s="46" t="n"/>
      <c r="D20" s="46" t="n"/>
      <c r="E20" s="46" t="n"/>
      <c r="F20" s="46" t="n"/>
      <c r="G20" s="48" t="inlineStr">
        <is>
          <t>사업보고서는 권역 단위만 공시 → 국가 배분은 가정</t>
        </is>
      </c>
    </row>
    <row r="21" ht="15" customHeight="1" s="32">
      <c r="A21" s="48" t="inlineStr">
        <is>
          <t>권역 '미주' 중 멕시코 비중</t>
        </is>
      </c>
      <c r="B21" s="60" t="n">
        <v>0.1</v>
      </c>
      <c r="C21" s="46" t="n"/>
      <c r="D21" s="46" t="n"/>
      <c r="E21" s="46" t="n"/>
      <c r="F21" s="46" t="n"/>
      <c r="G21" s="48" t="inlineStr">
        <is>
          <t>사업보고서는 권역 단위만 공시 → 국가 배분은 가정</t>
        </is>
      </c>
    </row>
    <row r="22" ht="15" customHeight="1" s="32">
      <c r="A22" s="48" t="inlineStr">
        <is>
          <t>권역 '미주' 중 캐나다 비중</t>
        </is>
      </c>
      <c r="B22" s="60" t="n">
        <v>0.05</v>
      </c>
      <c r="C22" s="46" t="n"/>
      <c r="D22" s="46" t="n"/>
      <c r="E22" s="46" t="n"/>
      <c r="F22" s="46" t="n"/>
      <c r="G22" s="48" t="inlineStr">
        <is>
          <t>사업보고서는 권역 단위만 공시 → 국가 배분은 가정</t>
        </is>
      </c>
    </row>
    <row r="23" ht="15" customHeight="1" s="32">
      <c r="A23" s="48" t="inlineStr">
        <is>
          <t>권역 '유럽' 대표국 = 독일</t>
        </is>
      </c>
      <c r="B23" s="60" t="n">
        <v>1</v>
      </c>
      <c r="C23" s="46" t="n"/>
      <c r="D23" s="46" t="n"/>
      <c r="E23" s="46" t="n"/>
      <c r="F23" s="46" t="n"/>
      <c r="G23" s="48" t="inlineStr">
        <is>
          <t>권역 전체를 대표 1개국으로 둠 (가정)</t>
        </is>
      </c>
    </row>
    <row r="24" ht="15" customHeight="1" s="32">
      <c r="A24" s="48" t="inlineStr">
        <is>
          <t>권역 '아시아·아프리카' 중 베트남 비중</t>
        </is>
      </c>
      <c r="B24" s="60" t="n">
        <v>0.6</v>
      </c>
      <c r="C24" s="46" t="n"/>
      <c r="D24" s="46" t="n"/>
      <c r="E24" s="46" t="n"/>
      <c r="F24" s="46" t="n"/>
      <c r="G24" s="48" t="inlineStr">
        <is>
          <t>사업보고서는 권역 단위만 공시 → 국가 배분은 가정</t>
        </is>
      </c>
    </row>
    <row r="25" ht="15" customHeight="1" s="32">
      <c r="A25" s="48" t="inlineStr">
        <is>
          <t>권역 '아시아·아프리카' 중 인도 비중</t>
        </is>
      </c>
      <c r="B25" s="60" t="n">
        <v>0.4</v>
      </c>
      <c r="C25" s="46" t="n"/>
      <c r="D25" s="46" t="n"/>
      <c r="E25" s="46" t="n"/>
      <c r="F25" s="46" t="n"/>
      <c r="G25" s="48" t="inlineStr">
        <is>
          <t>사업보고서는 권역 단위만 공시 → 국가 배분은 가정</t>
        </is>
      </c>
    </row>
    <row r="26" ht="15" customHeight="1" s="32">
      <c r="A26" s="48" t="inlineStr">
        <is>
          <t>미국 내 C-HB-01 비중</t>
        </is>
      </c>
      <c r="B26" s="60" t="n">
        <v>0.65</v>
      </c>
      <c r="C26" s="46" t="n"/>
      <c r="D26" s="46" t="n"/>
      <c r="E26" s="46" t="n"/>
      <c r="F26" s="46" t="n"/>
      <c r="G26" s="48" t="inlineStr">
        <is>
          <t>거래처 배분 가정</t>
        </is>
      </c>
    </row>
    <row r="27" ht="15" customHeight="1" s="32">
      <c r="A27" s="48" t="inlineStr">
        <is>
          <t>미국 내 C-HB-02 비중</t>
        </is>
      </c>
      <c r="B27" s="60" t="n">
        <v>0.35</v>
      </c>
      <c r="C27" s="46" t="n"/>
      <c r="D27" s="46" t="n"/>
      <c r="E27" s="46" t="n"/>
      <c r="F27" s="46" t="n"/>
      <c r="G27" s="48" t="inlineStr">
        <is>
          <t>거래처 배분 가정</t>
        </is>
      </c>
    </row>
    <row r="28" ht="15" customHeight="1" s="32">
      <c r="A28" s="48" t="inlineStr">
        <is>
          <t>중국 내 C-HB-08 비중</t>
        </is>
      </c>
      <c r="B28" s="60" t="n">
        <v>0.6</v>
      </c>
      <c r="C28" s="46" t="n"/>
      <c r="D28" s="46" t="n"/>
      <c r="E28" s="46" t="n"/>
      <c r="F28" s="46" t="n"/>
      <c r="G28" s="48" t="inlineStr">
        <is>
          <t>거래처 배분 가정</t>
        </is>
      </c>
    </row>
    <row r="29" ht="15" customHeight="1" s="32">
      <c r="A29" s="48" t="inlineStr">
        <is>
          <t>중국 내 C-HB-09 비중</t>
        </is>
      </c>
      <c r="B29" s="60" t="n">
        <v>0.4</v>
      </c>
      <c r="C29" s="46" t="n"/>
      <c r="D29" s="46" t="n"/>
      <c r="E29" s="46" t="n"/>
      <c r="F29" s="46" t="n"/>
      <c r="G29" s="48" t="inlineStr">
        <is>
          <t>거래처 배분 가정</t>
        </is>
      </c>
    </row>
    <row r="30" ht="15" customHeight="1" s="32">
      <c r="A30" s="48" t="inlineStr">
        <is>
          <t>단가·중량·월별 흐름</t>
        </is>
      </c>
      <c r="B30" s="61" t="inlineStr">
        <is>
          <t>제품정보 참조</t>
        </is>
      </c>
      <c r="C30" s="46" t="n"/>
      <c r="D30" s="46" t="n"/>
      <c r="E30" s="46" t="n"/>
      <c r="F30" s="46" t="n"/>
      <c r="G30" s="46" t="inlineStr">
        <is>
          <t>2023년 평균 기준단가(가정) × 메모리 판매가격 지수(A의 전년비로 연결) · 월별 흐름은 연간 값을 연중 가운데에 두고 로그선형 보간 + ±9% 흔들림(시드 고정) 후 연간 합계를 원문 비율에 맞춤</t>
        </is>
      </c>
    </row>
    <row r="31" ht="15" customHeight="1" s="32">
      <c r="A31" s="48" t="inlineStr">
        <is>
          <t>운송수단</t>
        </is>
      </c>
      <c r="B31" s="61" t="inlineStr">
        <is>
          <t>항공 기본</t>
        </is>
      </c>
      <c r="C31" s="46" t="n"/>
      <c r="D31" s="46" t="n"/>
      <c r="E31" s="46" t="n"/>
      <c r="F31" s="46" t="n"/>
      <c r="G31" s="46" t="inlineStr">
        <is>
          <t>NAND의 중국·베트남 선적만 해상(부산항), 나머지 인천공항 항공 — 가정</t>
        </is>
      </c>
    </row>
    <row r="32" ht="15" customHeight="1" s="32">
      <c r="A32" s="46" t="n"/>
      <c r="B32" s="46" t="n"/>
      <c r="C32" s="46" t="n"/>
      <c r="D32" s="46" t="n"/>
      <c r="E32" s="46" t="n"/>
      <c r="F32" s="46" t="n"/>
      <c r="G32" s="46" t="n"/>
    </row>
    <row r="33" ht="15" customHeight="1" s="32">
      <c r="A33" s="56" t="inlineStr">
        <is>
          <t>C. 산출 — 연간 수출 목표액과 비중</t>
        </is>
      </c>
      <c r="B33" s="46" t="n"/>
      <c r="C33" s="46" t="n"/>
      <c r="D33" s="46" t="n"/>
      <c r="E33" s="46" t="n"/>
      <c r="F33" s="46" t="n"/>
      <c r="G33" s="46" t="n"/>
    </row>
    <row r="34" ht="15" customHeight="1" s="32">
      <c r="A34" s="39" t="inlineStr">
        <is>
          <t>산출 항목</t>
        </is>
      </c>
      <c r="B34" s="39" t="n"/>
      <c r="C34" s="43" t="inlineStr">
        <is>
          <t>2023</t>
        </is>
      </c>
      <c r="D34" s="43" t="inlineStr">
        <is>
          <t>2024</t>
        </is>
      </c>
      <c r="E34" s="43" t="inlineStr">
        <is>
          <t>2025</t>
        </is>
      </c>
      <c r="F34" s="39" t="inlineStr">
        <is>
          <t>단위</t>
        </is>
      </c>
      <c r="G34" s="39" t="inlineStr">
        <is>
          <t>계산</t>
        </is>
      </c>
    </row>
    <row r="35" ht="15" customHeight="1" s="32">
      <c r="A35" s="48" t="inlineStr">
        <is>
          <t>수출 비중 (별도 기준 전사 비율 대용)</t>
        </is>
      </c>
      <c r="B35" s="46" t="n"/>
      <c r="C35" s="62">
        <f>(C9+C10+C11+C12)/((C9+C10+C11+C12)+C8)</f>
        <v/>
      </c>
      <c r="D35" s="62">
        <f>(D9+D10+D11+D12)/((D9+D10+D11+D12)+D8)</f>
        <v/>
      </c>
      <c r="E35" s="62">
        <f>(E9+E10+E11+E12)/((E9+E10+E11+E12)+E8)</f>
        <v/>
      </c>
      <c r="F35" s="46" t="n"/>
      <c r="G35" s="46" t="inlineStr">
        <is>
          <t>DS부문 단독 지역별 매출은 미공시 → 전사 별도 기준 수출비중을 DS부문에 적용</t>
        </is>
      </c>
    </row>
    <row r="36" ht="15" customHeight="1" s="32">
      <c r="A36" s="48" t="inlineStr">
        <is>
          <t>연간 수출 목표액</t>
        </is>
      </c>
      <c r="B36" s="46" t="n"/>
      <c r="C36" s="49">
        <f>C6*C35*100000000/$B$18</f>
        <v/>
      </c>
      <c r="D36" s="49">
        <f>D6*D35*100000000/$B$18</f>
        <v/>
      </c>
      <c r="E36" s="49">
        <f>E6*E35*100000000/$B$18</f>
        <v/>
      </c>
      <c r="F36" s="48" t="inlineStr">
        <is>
          <t>원</t>
        </is>
      </c>
      <c r="G36" s="46" t="inlineStr">
        <is>
          <t>DS부문 매출액 × 수출 비중 ÷ 축소 배율</t>
        </is>
      </c>
    </row>
    <row r="37" ht="15" customHeight="1" s="32">
      <c r="A37" s="48" t="inlineStr">
        <is>
          <t>권역 비중 — 미주</t>
        </is>
      </c>
      <c r="B37" s="46" t="n"/>
      <c r="C37" s="62">
        <f>C9/(C9+C10+C11+C12)</f>
        <v/>
      </c>
      <c r="D37" s="62">
        <f>D9/(D9+D10+D11+D12)</f>
        <v/>
      </c>
      <c r="E37" s="62">
        <f>E9/(E9+E10+E11+E12)</f>
        <v/>
      </c>
      <c r="F37" s="46" t="n"/>
      <c r="G37" s="46" t="n"/>
    </row>
    <row r="38" ht="15" customHeight="1" s="32">
      <c r="A38" s="48" t="inlineStr">
        <is>
          <t>권역 비중 — 유럽</t>
        </is>
      </c>
      <c r="B38" s="46" t="n"/>
      <c r="C38" s="62">
        <f>C10/(C9+C10+C11+C12)</f>
        <v/>
      </c>
      <c r="D38" s="62">
        <f>D10/(D9+D10+D11+D12)</f>
        <v/>
      </c>
      <c r="E38" s="62">
        <f>E10/(E9+E10+E11+E12)</f>
        <v/>
      </c>
      <c r="F38" s="46" t="n"/>
      <c r="G38" s="46" t="n"/>
    </row>
    <row r="39" ht="15" customHeight="1" s="32">
      <c r="A39" s="48" t="inlineStr">
        <is>
          <t>권역 비중 — 아시아·아프리카</t>
        </is>
      </c>
      <c r="B39" s="46" t="n"/>
      <c r="C39" s="62">
        <f>C11/(C9+C10+C11+C12)</f>
        <v/>
      </c>
      <c r="D39" s="62">
        <f>D11/(D9+D10+D11+D12)</f>
        <v/>
      </c>
      <c r="E39" s="62">
        <f>E11/(E9+E10+E11+E12)</f>
        <v/>
      </c>
      <c r="F39" s="46" t="n"/>
      <c r="G39" s="46" t="n"/>
    </row>
    <row r="40" ht="15" customHeight="1" s="32">
      <c r="A40" s="48" t="inlineStr">
        <is>
          <t>권역 비중 — 중국</t>
        </is>
      </c>
      <c r="B40" s="46" t="n"/>
      <c r="C40" s="62">
        <f>C12/(C9+C10+C11+C12)</f>
        <v/>
      </c>
      <c r="D40" s="62">
        <f>D12/(D9+D10+D11+D12)</f>
        <v/>
      </c>
      <c r="E40" s="62">
        <f>E12/(E9+E10+E11+E12)</f>
        <v/>
      </c>
      <c r="F40" s="46" t="n"/>
      <c r="G40" s="46" t="n"/>
    </row>
    <row r="41" ht="15" customHeight="1" s="32">
      <c r="A41" s="48" t="inlineStr">
        <is>
          <t>제품 비중 — 비메모리(모바일AP)</t>
        </is>
      </c>
      <c r="B41" s="46" t="n"/>
      <c r="C41" s="62">
        <f>1-C7/C6</f>
        <v/>
      </c>
      <c r="D41" s="62">
        <f>1-D7/D6</f>
        <v/>
      </c>
      <c r="E41" s="62">
        <f>1-E7/E6</f>
        <v/>
      </c>
      <c r="F41" s="46" t="n"/>
      <c r="G41" s="46" t="n"/>
    </row>
    <row r="42" ht="15" customHeight="1" s="32">
      <c r="A42" s="46" t="n"/>
      <c r="B42" s="46" t="n"/>
      <c r="C42" s="46" t="n"/>
      <c r="D42" s="46" t="n"/>
      <c r="E42" s="46" t="n"/>
      <c r="F42" s="46" t="n"/>
      <c r="G42" s="46" t="n"/>
    </row>
    <row r="43" ht="15" customHeight="1" s="32">
      <c r="A43" s="56" t="inlineStr">
        <is>
          <t>D. 재구성 검증 — 수출실적 시트 합계가 C의 목표액과 맞는지</t>
        </is>
      </c>
      <c r="B43" s="46" t="n"/>
      <c r="C43" s="46" t="n"/>
      <c r="D43" s="46" t="n"/>
      <c r="E43" s="46" t="n"/>
      <c r="F43" s="46" t="n"/>
      <c r="G43" s="46" t="n"/>
    </row>
    <row r="44" ht="15" customHeight="1" s="32">
      <c r="A44" s="39" t="inlineStr">
        <is>
          <t>검증 항목</t>
        </is>
      </c>
      <c r="B44" s="39" t="n"/>
      <c r="C44" s="43" t="inlineStr">
        <is>
          <t>2023</t>
        </is>
      </c>
      <c r="D44" s="43" t="inlineStr">
        <is>
          <t>2024</t>
        </is>
      </c>
      <c r="E44" s="43" t="inlineStr">
        <is>
          <t>2025</t>
        </is>
      </c>
      <c r="F44" s="39" t="inlineStr">
        <is>
          <t>단위</t>
        </is>
      </c>
      <c r="G44" s="39" t="inlineStr">
        <is>
          <t>설명</t>
        </is>
      </c>
    </row>
    <row r="45" ht="15" customHeight="1" s="32">
      <c r="A45" s="48" t="inlineStr">
        <is>
          <t>수출실적 원화환산 합계</t>
        </is>
      </c>
      <c r="B45" s="46" t="n"/>
      <c r="C45" s="49">
        <f>SUMIFS(수출실적!$Q$2:$Q$1297,수출실적!$D$2:$D$1297,2023)</f>
        <v/>
      </c>
      <c r="D45" s="49">
        <f>SUMIFS(수출실적!$Q$2:$Q$1297,수출실적!$D$2:$D$1297,2024)</f>
        <v/>
      </c>
      <c r="E45" s="49">
        <f>SUMIFS(수출실적!$Q$2:$Q$1297,수출실적!$D$2:$D$1297,2025)</f>
        <v/>
      </c>
      <c r="F45" s="48" t="inlineStr">
        <is>
          <t>원</t>
        </is>
      </c>
      <c r="G45" s="48" t="inlineStr">
        <is>
          <t>금액(USD) × 월평균 환율</t>
        </is>
      </c>
    </row>
    <row r="46" ht="15" customHeight="1" s="32">
      <c r="A46" s="48" t="inlineStr">
        <is>
          <t>목표 대비 차이</t>
        </is>
      </c>
      <c r="B46" s="46" t="n"/>
      <c r="C46" s="63">
        <f>C45/C36-1</f>
        <v/>
      </c>
      <c r="D46" s="63">
        <f>D45/D36-1</f>
        <v/>
      </c>
      <c r="E46" s="63">
        <f>E45/E36-1</f>
        <v/>
      </c>
      <c r="F46" s="46" t="n"/>
      <c r="G46" s="48" t="inlineStr">
        <is>
          <t>센트 단위 반올림 차이만 남아야 함 (±0.001% 이내)</t>
        </is>
      </c>
    </row>
    <row r="47" ht="15" customHeight="1" s="32">
      <c r="A47" s="48" t="inlineStr">
        <is>
          <t>수출실적 USD 합계</t>
        </is>
      </c>
      <c r="B47" s="46" t="n"/>
      <c r="C47" s="49">
        <f>SUMIFS(수출실적!$L$2:$L$1297,수출실적!$D$2:$D$1297,2023)</f>
        <v/>
      </c>
      <c r="D47" s="49">
        <f>SUMIFS(수출실적!$L$2:$L$1297,수출실적!$D$2:$D$1297,2024)</f>
        <v/>
      </c>
      <c r="E47" s="49">
        <f>SUMIFS(수출실적!$L$2:$L$1297,수출실적!$D$2:$D$1297,2025)</f>
        <v/>
      </c>
      <c r="F47" s="46" t="inlineStr">
        <is>
          <t>USD</t>
        </is>
      </c>
      <c r="G47" s="46" t="n"/>
    </row>
    <row r="48" ht="15" customHeight="1" s="32">
      <c r="A48" s="48" t="inlineStr">
        <is>
          <t>행 수</t>
        </is>
      </c>
      <c r="B48" s="46" t="n"/>
      <c r="C48" s="46">
        <f>COUNTIFS(수출실적!$D$2:$D$1297,2023)</f>
        <v/>
      </c>
      <c r="D48" s="46">
        <f>COUNTIFS(수출실적!$D$2:$D$1297,2024)</f>
        <v/>
      </c>
      <c r="E48" s="46">
        <f>COUNTIFS(수출실적!$D$2:$D$1297,2025)</f>
        <v/>
      </c>
      <c r="F48" s="46" t="n"/>
      <c r="G48" s="4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2026-09-26T04:26:25Z</dcterms:created>
  <dcterms:modified xmlns:dcterms="http://purl.org/dc/terms/" xmlns:xsi="http://www.w3.org/2001/XMLSchema-instance" xsi:type="dcterms:W3CDTF">2026-09-26T07:14:17Z</dcterms:modified>
  <cp:revision>0</cp:revision>
</cp:coreProperties>
</file>